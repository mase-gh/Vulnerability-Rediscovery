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Volumes/Progress/Projects/Google Drive/Work/Vulnerability Rediscovery/Data/Revisions/Final/"/>
    </mc:Choice>
  </mc:AlternateContent>
  <bookViews>
    <workbookView xWindow="5800" yWindow="1800" windowWidth="27120" windowHeight="17620" tabRatio="500" activeTab="2"/>
  </bookViews>
  <sheets>
    <sheet name="Base" sheetId="1" r:id="rId1"/>
    <sheet name="Sorted" sheetId="2" r:id="rId2"/>
    <sheet name="Master" sheetId="13" r:id="rId3"/>
    <sheet name="Days" sheetId="9" r:id="rId4"/>
    <sheet name="Months" sheetId="12" r:id="rId5"/>
    <sheet name="Days to Months" sheetId="10" r:id="rId6"/>
    <sheet name="Weeks to Months" sheetId="11" r:id="rId7"/>
    <sheet name="Days to Weeks to Months" sheetId="8" r:id="rId8"/>
    <sheet name="Y2Y Aggregate Rate" sheetId="15" r:id="rId9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4" i="13" l="1"/>
  <c r="G1807" i="2"/>
  <c r="G1808" i="2"/>
  <c r="G1809" i="2"/>
  <c r="G1810" i="2"/>
  <c r="G1811" i="2"/>
  <c r="G1812" i="2"/>
  <c r="G1813" i="2"/>
  <c r="G1814" i="2"/>
  <c r="G1817" i="2"/>
  <c r="E1807" i="2"/>
  <c r="E1808" i="2"/>
  <c r="E1809" i="2"/>
  <c r="E1810" i="2"/>
  <c r="E1811" i="2"/>
  <c r="E1812" i="2"/>
  <c r="E1813" i="2"/>
  <c r="E1814" i="2"/>
  <c r="E1815" i="2"/>
  <c r="E1817" i="2"/>
  <c r="I1817" i="2"/>
  <c r="I1808" i="2"/>
  <c r="I1809" i="2"/>
  <c r="I1810" i="2"/>
  <c r="I1811" i="2"/>
  <c r="I1812" i="2"/>
  <c r="I1813" i="2"/>
  <c r="I1814" i="2"/>
  <c r="G1815" i="2"/>
  <c r="I1815" i="2"/>
  <c r="I1807" i="2"/>
  <c r="J115" i="13"/>
  <c r="M105" i="13"/>
  <c r="K106" i="13"/>
  <c r="K113" i="13"/>
  <c r="C114" i="13"/>
  <c r="D114" i="13"/>
  <c r="E114" i="13"/>
  <c r="G114" i="13"/>
  <c r="H114" i="13"/>
  <c r="K114" i="13"/>
  <c r="J114" i="13"/>
  <c r="J113" i="13"/>
  <c r="B113" i="13"/>
  <c r="B87" i="13"/>
  <c r="C87" i="13"/>
  <c r="D87" i="13"/>
  <c r="E87" i="13"/>
  <c r="F87" i="13"/>
  <c r="G87" i="13"/>
  <c r="H87" i="13"/>
  <c r="I87" i="13"/>
  <c r="J87" i="13"/>
  <c r="J108" i="13"/>
  <c r="I114" i="13"/>
  <c r="I113" i="13"/>
  <c r="I115" i="13"/>
  <c r="H113" i="13"/>
  <c r="H115" i="13"/>
  <c r="G113" i="13"/>
  <c r="G115" i="13"/>
  <c r="F114" i="13"/>
  <c r="F113" i="13"/>
  <c r="F115" i="13"/>
  <c r="E113" i="13"/>
  <c r="E115" i="13"/>
  <c r="D113" i="13"/>
  <c r="D115" i="13"/>
  <c r="C113" i="13"/>
  <c r="C115" i="13"/>
  <c r="B114" i="13"/>
  <c r="B115" i="13"/>
  <c r="K108" i="13"/>
  <c r="I108" i="13"/>
  <c r="H108" i="13"/>
  <c r="G108" i="13"/>
  <c r="K101" i="13"/>
  <c r="I101" i="13"/>
  <c r="H101" i="13"/>
  <c r="K93" i="13"/>
  <c r="K92" i="13"/>
  <c r="K94" i="13"/>
  <c r="I94" i="13"/>
  <c r="H94" i="13"/>
  <c r="G94" i="13"/>
  <c r="F94" i="13"/>
  <c r="E94" i="13"/>
  <c r="K86" i="13"/>
  <c r="K85" i="13"/>
  <c r="K87" i="13"/>
  <c r="D1807" i="2"/>
  <c r="H40" i="13"/>
  <c r="H41" i="13"/>
  <c r="H42" i="13"/>
  <c r="H43" i="13"/>
  <c r="H44" i="13"/>
  <c r="H39" i="13"/>
  <c r="I39" i="13"/>
  <c r="G49" i="13"/>
  <c r="H38" i="13"/>
  <c r="I44" i="13"/>
  <c r="I43" i="13"/>
  <c r="I42" i="13"/>
  <c r="I41" i="13"/>
  <c r="I40" i="13"/>
  <c r="I38" i="13"/>
  <c r="E1823" i="2"/>
  <c r="D1809" i="2"/>
  <c r="D1810" i="2"/>
  <c r="D1811" i="2"/>
  <c r="D1813" i="2"/>
  <c r="D1814" i="2"/>
  <c r="D1815" i="2"/>
  <c r="D1817" i="2"/>
  <c r="E1820" i="2"/>
  <c r="F1823" i="2"/>
  <c r="E1822" i="2"/>
  <c r="F1822" i="2"/>
  <c r="Q1206" i="2"/>
  <c r="Q462" i="2"/>
  <c r="Q590" i="2"/>
  <c r="Q1687" i="2"/>
  <c r="Q1589" i="2"/>
  <c r="Q1726" i="2"/>
  <c r="Q1558" i="2"/>
  <c r="Q1715" i="2"/>
  <c r="Q1600" i="2"/>
  <c r="Q1723" i="2"/>
  <c r="Q1675" i="2"/>
  <c r="Q1581" i="2"/>
  <c r="H2" i="13"/>
  <c r="H3" i="13"/>
  <c r="I3" i="13"/>
  <c r="H4" i="13"/>
  <c r="I4" i="13"/>
  <c r="H5" i="13"/>
  <c r="I5" i="13"/>
  <c r="H6" i="13"/>
  <c r="I6" i="13"/>
  <c r="H7" i="13"/>
  <c r="I7" i="13"/>
  <c r="H8" i="13"/>
  <c r="I8" i="13"/>
  <c r="H9" i="13"/>
  <c r="I9" i="13"/>
  <c r="H10" i="13"/>
  <c r="I10" i="13"/>
  <c r="H11" i="13"/>
  <c r="I11" i="13"/>
  <c r="I2" i="13"/>
  <c r="H18" i="13"/>
  <c r="H19" i="13"/>
  <c r="I19" i="13"/>
  <c r="H20" i="13"/>
  <c r="I20" i="13"/>
  <c r="H21" i="13"/>
  <c r="I21" i="13"/>
  <c r="H22" i="13"/>
  <c r="I22" i="13"/>
  <c r="H23" i="13"/>
  <c r="I23" i="13"/>
  <c r="H24" i="13"/>
  <c r="I24" i="13"/>
  <c r="H25" i="13"/>
  <c r="I25" i="13"/>
  <c r="H26" i="13"/>
  <c r="I26" i="13"/>
  <c r="H27" i="13"/>
  <c r="I27" i="13"/>
  <c r="H28" i="13"/>
  <c r="I28" i="13"/>
  <c r="H29" i="13"/>
  <c r="I29" i="13"/>
  <c r="H30" i="13"/>
  <c r="I30" i="13"/>
  <c r="H31" i="13"/>
  <c r="I31" i="13"/>
  <c r="H32" i="13"/>
  <c r="I32" i="13"/>
  <c r="H33" i="13"/>
  <c r="I33" i="13"/>
  <c r="I18" i="13"/>
  <c r="D69" i="13"/>
  <c r="D70" i="13"/>
  <c r="D71" i="13"/>
  <c r="D72" i="13"/>
  <c r="D73" i="13"/>
  <c r="D74" i="13"/>
  <c r="D68" i="13"/>
  <c r="C48" i="13"/>
  <c r="C49" i="13"/>
  <c r="C50" i="13"/>
  <c r="C51" i="13"/>
  <c r="C52" i="13"/>
  <c r="C53" i="13"/>
  <c r="C54" i="13"/>
  <c r="C44" i="13"/>
  <c r="C40" i="13"/>
  <c r="C41" i="13"/>
  <c r="C42" i="13"/>
  <c r="C43" i="13"/>
  <c r="C39" i="13"/>
  <c r="C38" i="13"/>
  <c r="D72" i="15"/>
  <c r="D73" i="15"/>
  <c r="D74" i="15"/>
  <c r="D75" i="15"/>
  <c r="D76" i="15"/>
  <c r="D77" i="15"/>
  <c r="D78" i="15"/>
  <c r="D79" i="15"/>
  <c r="D80" i="15"/>
  <c r="D71" i="15"/>
  <c r="C71" i="15"/>
  <c r="C72" i="15"/>
  <c r="C73" i="15"/>
  <c r="C74" i="15"/>
  <c r="C75" i="15"/>
  <c r="C76" i="15"/>
  <c r="C77" i="15"/>
  <c r="C78" i="15"/>
  <c r="C79" i="15"/>
  <c r="C80" i="15"/>
  <c r="H1814" i="2"/>
  <c r="D56" i="15"/>
  <c r="D57" i="15"/>
  <c r="D58" i="15"/>
  <c r="D59" i="15"/>
  <c r="D60" i="15"/>
  <c r="D61" i="15"/>
  <c r="D62" i="15"/>
  <c r="D63" i="15"/>
  <c r="D64" i="15"/>
  <c r="D55" i="15"/>
  <c r="C55" i="15"/>
  <c r="C56" i="15"/>
  <c r="C57" i="15"/>
  <c r="C58" i="15"/>
  <c r="C59" i="15"/>
  <c r="C60" i="15"/>
  <c r="C61" i="15"/>
  <c r="C62" i="15"/>
  <c r="C63" i="15"/>
  <c r="C64" i="15"/>
  <c r="D39" i="15"/>
  <c r="D40" i="15"/>
  <c r="D41" i="15"/>
  <c r="D42" i="15"/>
  <c r="D43" i="15"/>
  <c r="D44" i="15"/>
  <c r="D45" i="15"/>
  <c r="D46" i="15"/>
  <c r="D47" i="15"/>
  <c r="D38" i="15"/>
  <c r="C38" i="15"/>
  <c r="C39" i="15"/>
  <c r="C40" i="15"/>
  <c r="C41" i="15"/>
  <c r="C42" i="15"/>
  <c r="C43" i="15"/>
  <c r="C44" i="15"/>
  <c r="C45" i="15"/>
  <c r="C46" i="15"/>
  <c r="C47" i="15"/>
  <c r="H1813" i="2"/>
  <c r="H1812" i="2"/>
  <c r="D22" i="15"/>
  <c r="D23" i="15"/>
  <c r="D24" i="15"/>
  <c r="D25" i="15"/>
  <c r="D26" i="15"/>
  <c r="D27" i="15"/>
  <c r="D28" i="15"/>
  <c r="D29" i="15"/>
  <c r="D30" i="15"/>
  <c r="D21" i="15"/>
  <c r="C21" i="15"/>
  <c r="C22" i="15"/>
  <c r="C23" i="15"/>
  <c r="C24" i="15"/>
  <c r="C25" i="15"/>
  <c r="C26" i="15"/>
  <c r="C27" i="15"/>
  <c r="C28" i="15"/>
  <c r="C29" i="15"/>
  <c r="C30" i="15"/>
  <c r="H1811" i="2"/>
  <c r="D5" i="15"/>
  <c r="D6" i="15"/>
  <c r="D7" i="15"/>
  <c r="D8" i="15"/>
  <c r="D9" i="15"/>
  <c r="D10" i="15"/>
  <c r="D11" i="15"/>
  <c r="D12" i="15"/>
  <c r="D13" i="15"/>
  <c r="D4" i="15"/>
  <c r="C6" i="15"/>
  <c r="C7" i="15"/>
  <c r="C8" i="15"/>
  <c r="C9" i="15"/>
  <c r="C10" i="15"/>
  <c r="C11" i="15"/>
  <c r="C12" i="15"/>
  <c r="C13" i="15"/>
  <c r="C5" i="15"/>
  <c r="C4" i="15"/>
  <c r="H1809" i="2"/>
  <c r="C55" i="13"/>
  <c r="C56" i="13"/>
  <c r="D49" i="13"/>
  <c r="D50" i="13"/>
  <c r="D51" i="13"/>
  <c r="D52" i="13"/>
  <c r="D53" i="13"/>
  <c r="D54" i="13"/>
  <c r="D55" i="13"/>
  <c r="D56" i="13"/>
  <c r="D48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18" i="13"/>
  <c r="C2" i="13"/>
  <c r="C3" i="13"/>
  <c r="C4" i="13"/>
  <c r="C5" i="13"/>
  <c r="C6" i="13"/>
  <c r="C7" i="13"/>
  <c r="C8" i="13"/>
  <c r="C9" i="13"/>
  <c r="C10" i="13"/>
  <c r="C11" i="13"/>
  <c r="D3" i="13"/>
  <c r="D4" i="13"/>
  <c r="D5" i="13"/>
  <c r="D6" i="13"/>
  <c r="D7" i="13"/>
  <c r="D8" i="13"/>
  <c r="D9" i="13"/>
  <c r="D10" i="13"/>
  <c r="D11" i="13"/>
  <c r="D2" i="13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86" i="8"/>
  <c r="C98" i="8"/>
  <c r="C99" i="8"/>
  <c r="C100" i="8"/>
  <c r="C101" i="8"/>
  <c r="C88" i="8"/>
  <c r="C89" i="8"/>
  <c r="C90" i="8"/>
  <c r="C91" i="8"/>
  <c r="C92" i="8"/>
  <c r="C93" i="8"/>
  <c r="C94" i="8"/>
  <c r="C95" i="8"/>
  <c r="C96" i="8"/>
  <c r="C97" i="8"/>
  <c r="C87" i="8"/>
  <c r="C86" i="8"/>
  <c r="A1896" i="2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58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A1876" i="2"/>
  <c r="A1875" i="2"/>
  <c r="D1875" i="2"/>
  <c r="D3" i="11"/>
  <c r="D4" i="11"/>
  <c r="D5" i="11"/>
  <c r="D6" i="11"/>
  <c r="D7" i="11"/>
  <c r="D8" i="11"/>
  <c r="D9" i="11"/>
  <c r="D10" i="11"/>
  <c r="D11" i="11"/>
  <c r="D2" i="11"/>
  <c r="C4" i="11"/>
  <c r="C5" i="11"/>
  <c r="C6" i="11"/>
  <c r="C7" i="11"/>
  <c r="C8" i="11"/>
  <c r="C9" i="11"/>
  <c r="C10" i="11"/>
  <c r="C11" i="11"/>
  <c r="C3" i="11"/>
  <c r="C2" i="11"/>
  <c r="C13" i="11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31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32" i="8"/>
  <c r="C52" i="8"/>
  <c r="C31" i="8"/>
  <c r="C8" i="12"/>
  <c r="C7" i="12"/>
  <c r="C6" i="12"/>
  <c r="C5" i="12"/>
  <c r="C4" i="12"/>
  <c r="C3" i="12"/>
  <c r="C2" i="12"/>
  <c r="D6" i="12"/>
  <c r="D7" i="12"/>
  <c r="D8" i="12"/>
  <c r="D5" i="12"/>
  <c r="D4" i="12"/>
  <c r="D3" i="12"/>
  <c r="D2" i="12"/>
  <c r="C9" i="12"/>
  <c r="E1860" i="2"/>
  <c r="C1887" i="2"/>
  <c r="H1817" i="2"/>
  <c r="H1810" i="2"/>
  <c r="H1808" i="2"/>
  <c r="H1807" i="2"/>
  <c r="F1808" i="2"/>
  <c r="F1812" i="2"/>
  <c r="Q8" i="2"/>
  <c r="Q9" i="2"/>
  <c r="Q50" i="2"/>
  <c r="Q68" i="2"/>
  <c r="Q77" i="2"/>
  <c r="Q125" i="2"/>
  <c r="Q151" i="2"/>
  <c r="Q155" i="2"/>
  <c r="Q163" i="2"/>
  <c r="Q166" i="2"/>
  <c r="Q184" i="2"/>
  <c r="Q188" i="2"/>
  <c r="Q204" i="2"/>
  <c r="Q206" i="2"/>
  <c r="Q222" i="2"/>
  <c r="Q223" i="2"/>
  <c r="Q230" i="2"/>
  <c r="Q251" i="2"/>
  <c r="Q256" i="2"/>
  <c r="Q261" i="2"/>
  <c r="Q266" i="2"/>
  <c r="Q272" i="2"/>
  <c r="Q300" i="2"/>
  <c r="Q307" i="2"/>
  <c r="Q332" i="2"/>
  <c r="Q341" i="2"/>
  <c r="Q345" i="2"/>
  <c r="Q348" i="2"/>
  <c r="Q352" i="2"/>
  <c r="Q353" i="2"/>
  <c r="Q354" i="2"/>
  <c r="Q358" i="2"/>
  <c r="Q400" i="2"/>
  <c r="Q417" i="2"/>
  <c r="Q445" i="2"/>
  <c r="Q453" i="2"/>
  <c r="Q459" i="2"/>
  <c r="Q474" i="2"/>
  <c r="Q480" i="2"/>
  <c r="Q500" i="2"/>
  <c r="Q501" i="2"/>
  <c r="Q508" i="2"/>
  <c r="Q522" i="2"/>
  <c r="Q539" i="2"/>
  <c r="Q543" i="2"/>
  <c r="Q560" i="2"/>
  <c r="Q616" i="2"/>
  <c r="Q619" i="2"/>
  <c r="Q621" i="2"/>
  <c r="Q645" i="2"/>
  <c r="Q647" i="2"/>
  <c r="Q651" i="2"/>
  <c r="Q657" i="2"/>
  <c r="Q659" i="2"/>
  <c r="Q667" i="2"/>
  <c r="Q686" i="2"/>
  <c r="Q700" i="2"/>
  <c r="Q720" i="2"/>
  <c r="Q730" i="2"/>
  <c r="Q738" i="2"/>
  <c r="Q759" i="2"/>
  <c r="Q760" i="2"/>
  <c r="Q768" i="2"/>
  <c r="Q776" i="2"/>
  <c r="Q780" i="2"/>
  <c r="Q796" i="2"/>
  <c r="Q800" i="2"/>
  <c r="Q806" i="2"/>
  <c r="Q811" i="2"/>
  <c r="Q814" i="2"/>
  <c r="Q821" i="2"/>
  <c r="Q833" i="2"/>
  <c r="Q837" i="2"/>
  <c r="Q842" i="2"/>
  <c r="Q851" i="2"/>
  <c r="Q854" i="2"/>
  <c r="Q859" i="2"/>
  <c r="Q860" i="2"/>
  <c r="Q870" i="2"/>
  <c r="Q887" i="2"/>
  <c r="Q908" i="2"/>
  <c r="Q913" i="2"/>
  <c r="Q922" i="2"/>
  <c r="Q925" i="2"/>
  <c r="Q926" i="2"/>
  <c r="Q927" i="2"/>
  <c r="Q945" i="2"/>
  <c r="Q959" i="2"/>
  <c r="Q962" i="2"/>
  <c r="Q966" i="2"/>
  <c r="Q981" i="2"/>
  <c r="Q991" i="2"/>
  <c r="Q995" i="2"/>
  <c r="Q1005" i="2"/>
  <c r="Q1008" i="2"/>
  <c r="Q1022" i="2"/>
  <c r="Q1025" i="2"/>
  <c r="Q1036" i="2"/>
  <c r="Q1050" i="2"/>
  <c r="Q1068" i="2"/>
  <c r="Q1072" i="2"/>
  <c r="Q1073" i="2"/>
  <c r="Q1081" i="2"/>
  <c r="Q1084" i="2"/>
  <c r="Q1110" i="2"/>
  <c r="Q1113" i="2"/>
  <c r="Q1118" i="2"/>
  <c r="Q1124" i="2"/>
  <c r="Q1139" i="2"/>
  <c r="Q1141" i="2"/>
  <c r="Q1142" i="2"/>
  <c r="Q1143" i="2"/>
  <c r="Q1150" i="2"/>
  <c r="Q1152" i="2"/>
  <c r="Q1162" i="2"/>
  <c r="Q1167" i="2"/>
  <c r="Q1179" i="2"/>
  <c r="Q1193" i="2"/>
  <c r="Q1195" i="2"/>
  <c r="Q1200" i="2"/>
  <c r="Q1201" i="2"/>
  <c r="Q1209" i="2"/>
  <c r="Q1212" i="2"/>
  <c r="Q1215" i="2"/>
  <c r="Q1221" i="2"/>
  <c r="Q1223" i="2"/>
  <c r="Q1226" i="2"/>
  <c r="Q1229" i="2"/>
  <c r="Q1230" i="2"/>
  <c r="Q1232" i="2"/>
  <c r="Q1235" i="2"/>
  <c r="Q1246" i="2"/>
  <c r="Q1254" i="2"/>
  <c r="Q1256" i="2"/>
  <c r="Q1259" i="2"/>
  <c r="Q1274" i="2"/>
  <c r="Q1277" i="2"/>
  <c r="Q1294" i="2"/>
  <c r="Q1295" i="2"/>
  <c r="Q1306" i="2"/>
  <c r="Q1307" i="2"/>
  <c r="Q1310" i="2"/>
  <c r="Q1328" i="2"/>
  <c r="Q1332" i="2"/>
  <c r="Q1333" i="2"/>
  <c r="Q1337" i="2"/>
  <c r="Q1352" i="2"/>
  <c r="Q1358" i="2"/>
  <c r="Q1365" i="2"/>
  <c r="Q1367" i="2"/>
  <c r="Q1377" i="2"/>
  <c r="Q1386" i="2"/>
  <c r="Q1396" i="2"/>
  <c r="Q1399" i="2"/>
  <c r="Q1404" i="2"/>
  <c r="Q1405" i="2"/>
  <c r="Q1410" i="2"/>
  <c r="Q1413" i="2"/>
  <c r="Q1416" i="2"/>
  <c r="Q1418" i="2"/>
  <c r="Q1421" i="2"/>
  <c r="Q1424" i="2"/>
  <c r="Q1428" i="2"/>
  <c r="Q1441" i="2"/>
  <c r="Q1448" i="2"/>
  <c r="Q1453" i="2"/>
  <c r="Q1465" i="2"/>
  <c r="Q1466" i="2"/>
  <c r="Q1467" i="2"/>
  <c r="Q1477" i="2"/>
  <c r="Q1483" i="2"/>
  <c r="Q1486" i="2"/>
  <c r="Q1488" i="2"/>
  <c r="Q1502" i="2"/>
  <c r="Q1510" i="2"/>
  <c r="Q1524" i="2"/>
  <c r="Q1533" i="2"/>
  <c r="Q1550" i="2"/>
  <c r="Q1552" i="2"/>
  <c r="Q1554" i="2"/>
  <c r="Q1561" i="2"/>
  <c r="Q1623" i="2"/>
  <c r="Q7" i="2"/>
  <c r="C1801" i="1"/>
  <c r="B1801" i="1"/>
  <c r="F1817" i="2"/>
  <c r="F1807" i="2"/>
  <c r="F1815" i="2"/>
  <c r="F1814" i="2"/>
  <c r="F1813" i="2"/>
  <c r="F1811" i="2"/>
  <c r="F1810" i="2"/>
  <c r="F1809" i="2"/>
</calcChain>
</file>

<file path=xl/sharedStrings.xml><?xml version="1.0" encoding="utf-8"?>
<sst xmlns="http://schemas.openxmlformats.org/spreadsheetml/2006/main" count="29035" uniqueCount="4238">
  <si>
    <t>ID</t>
  </si>
  <si>
    <t>Dup Num</t>
  </si>
  <si>
    <t>Component</t>
  </si>
  <si>
    <t>Status</t>
  </si>
  <si>
    <t>Summary</t>
  </si>
  <si>
    <t>AllLabels</t>
  </si>
  <si>
    <t>OS</t>
  </si>
  <si>
    <t>MergedInto</t>
  </si>
  <si>
    <t>Opened</t>
  </si>
  <si>
    <t>Reporter</t>
  </si>
  <si>
    <t>Security_Severity</t>
  </si>
  <si>
    <t>Security_Impact</t>
  </si>
  <si>
    <t>Internals&gt;Plugins&gt;PDF</t>
  </si>
  <si>
    <t>Assigned</t>
  </si>
  <si>
    <t>Heap-use-after-free in std::__1::__tree_const_iterator&lt;std::__1::__value_type&lt;CFX_ByteString CPDF_Obje</t>
  </si>
  <si>
    <t>Clusterfuzz Deadline-Exceeded M-60 Needs-Feedback OS-Linux Pri-1 Reproducible Security_Impact-Stable Security_Severity-High Stability-Memory-AddressSanitizer Type-Bug-Security allpublic</t>
  </si>
  <si>
    <t>Linux</t>
  </si>
  <si>
    <t>clusterf...@chromium.org</t>
  </si>
  <si>
    <t>High</t>
  </si>
  <si>
    <t>Stable</t>
  </si>
  <si>
    <t>Internals&gt;Mojo Security&gt;Audit</t>
  </si>
  <si>
    <t>//services/user/public/interfaces/user_service.mojom needs a security review</t>
  </si>
  <si>
    <t>Deadline-Exceeded M-52 OS-All Pri-1 Security_Impact-Stable Security_Severity-High TE-NeedsFurtherTriage Type-Bug</t>
  </si>
  <si>
    <t>All</t>
  </si>
  <si>
    <t>dcheng@chromium.org</t>
  </si>
  <si>
    <t>//services/tracing/public/interfaces/tracing.mojom needs a security review</t>
  </si>
  <si>
    <t>Blink</t>
  </si>
  <si>
    <t>Fixed</t>
  </si>
  <si>
    <t>security:chrome_1c30000!WebCore::InlineBox::paint+0x70</t>
  </si>
  <si>
    <t>M-5 Pri-1 Restrict-AddIssueComment-EditIssue Security Security_Impact-Stable Security_Severity-High Type-Bug-Security allpublic reward-500</t>
  </si>
  <si>
    <t>woo...@gmail.com</t>
  </si>
  <si>
    <t>Content</t>
  </si>
  <si>
    <t>ASSERT: Bad cast from Event to GestureEvent. UNKNOWN in  Bad cast from Event to GestureEvent</t>
  </si>
  <si>
    <t>Clusterfuzz M-31 OS-All Pri-1 Release-0-M31 Security_Impact-Stable Security_Severity-High Stability-Memory-AddressSanitizer Type-Bug-Security allpublic merge-merged-1650</t>
  </si>
  <si>
    <t>Blink&gt;JavaScript&gt;Language</t>
  </si>
  <si>
    <t>Proxy prototype chain security issue</t>
  </si>
  <si>
    <t>M-54 OS-All Pri-1 Security_Impact-Stable Security_Severity-High Type-Bug allpublic</t>
  </si>
  <si>
    <t>littledan@chromium.org</t>
  </si>
  <si>
    <t>Use after free due to adjacent floats not cleared properly from parents</t>
  </si>
  <si>
    <t>M-9 OS-All Pri-2 Restrict-AddIssueComment-EditIssue Security Security_Impact-Stable Security_Severity-High Type-Bug-Security allpublic</t>
  </si>
  <si>
    <t>infe...@chromium.org</t>
  </si>
  <si>
    <t>Blink Blink&gt;SVG</t>
  </si>
  <si>
    <t>Heap-use-after-free in WebCore::GraphicsContext::restore</t>
  </si>
  <si>
    <t>CVE-2012-2823 M-20 Merge-Merged OS-All Pri-1 Restrict-AddIssueComment-EditIssue Reward-1000 Security_Impact-Stable Security_Severity-High Stability-Memory-AddressSanitizer Type-Bug-Security allpublic</t>
  </si>
  <si>
    <t>miau...@gmail.com</t>
  </si>
  <si>
    <t>ASSERTION FAILED: obj-&gt;isRenderInline() || obj == this UNKNOWN in WebCore::RenderBlock::createLineBoxes</t>
  </si>
  <si>
    <t>Clusterfuzz M-28 Merge-Merged OS-All Pri-1 Release-1 Security_Impact-Stable Security_Severity-High Stability-Memory-AddressSanitizer Type-Bug-Security allpublic merge-Merged-1547 merge-merged-1500</t>
  </si>
  <si>
    <t>Heap-use-after-free in WebCore::V8GCController::opaqueRootForGC</t>
  </si>
  <si>
    <t>Heap-use-after-free in WorkerEventQueue::close</t>
  </si>
  <si>
    <t>CVE-2012-3670 M-19 Merge-Merged OS-All Pri-1 Restrict-AddIssueComment-EditIssue Security_Impact-Stable Security_Severity-High Stability-Memory-AddressSanitizer Type-Bug-Security allpublic</t>
  </si>
  <si>
    <t>Internals&gt;Media</t>
  </si>
  <si>
    <t>Use after free in media BufferedResourceLoader::Start</t>
  </si>
  <si>
    <t>CVE-2011-3882 Clusterfuzz M-15 Merge-Merged OS-All Pri-1 Restrict-AddIssueComment-EditIssue Security_Impact-Stable Security_Severity-High Stability-Memory-AddressSanitizer Type-Bug-Security allpublic merge-merged-874</t>
  </si>
  <si>
    <t>Blink&gt;Bindings Blink&gt;JavaScript</t>
  </si>
  <si>
    <t>Security: heap-buffer-overflow hashtable.</t>
  </si>
  <si>
    <t>CVE-2017-5054 Hotlist-Merge-Approved M-57 NodeJS-Backport-Review OS-Android OS-Chrome OS-Linux OS-Mac OS-Windows Pri-1 Release-1-M57 Security_Impact-Stable Security_Severity-High Type-Bug-Security allpublic merge-merged-5.7 merge-merged-5.8 reward-3000 reward-inprocess</t>
  </si>
  <si>
    <t>Android Chrome Linux Mac Windows</t>
  </si>
  <si>
    <t>ntrip...@gmail.com</t>
  </si>
  <si>
    <t>Heap-use-after-free in WebCore::RenderBlock::determineStartPosition</t>
  </si>
  <si>
    <t>Clusterfuzz Hotlist-Webkit Launch-Status-WIP M-31 Merge-Merged-1700 OS-All Pri-1 Release-1-M31 Security_Impact-Stable Security_Severity-High Stability-Memory-AddressSanitizer Type-Bug-Security allpublic merge-merged-1650</t>
  </si>
  <si>
    <t>Blink Blink&gt;Layout Blink&gt;SVG</t>
  </si>
  <si>
    <t>Use after free in SVG foreignobject rendering.</t>
  </si>
  <si>
    <t>Clusterfuzz M-16 Merge-Merged OS-All Pri-1 Restrict-AddIssueComment-EditIssue Security_Impact-Stable Security_Severity-High Stability-CodeYellow Stability-Memory-AddressSanitizer Type-Bug-Security allpublic</t>
  </si>
  <si>
    <t>Regression: Use-after-free in CounterNode::insertAfter</t>
  </si>
  <si>
    <t>CVE-2011-2824 M-13 Merge-Merged OS-All Pri-1 Restrict-AddIssueComment-EditIssue Reward-1000 Security_Impact-Stable Security_Severity-High Type-Bug-Security allpublic</t>
  </si>
  <si>
    <t>Internals&gt;Skia</t>
  </si>
  <si>
    <t>Heap-buffer-overflow in SkImageFilter::Common::unflatten</t>
  </si>
  <si>
    <t>CVE-2015-1214 M-40 M-41 OS-All Pri-1 Release-0-M41 Security_Impact-Stable Security_Severity-High Stability-Memory-AddressSanitizer Type-Bug-Security allpublic reward-5000</t>
  </si>
  <si>
    <t>cloudfuz...@gmail.com</t>
  </si>
  <si>
    <t>Heap-use-after-free in WebCore::ChildNodeInsertionNotifier::notifyDescendantInsertedIntoDocument</t>
  </si>
  <si>
    <t>CVE-2012-5147 M-24 Merge-Merged OS-All OS-Windows Pri-2 Release-0 Reward-1000 Security_Impact-Stable Security_Severity-High Type-Bug-Security Via-Wizard allpublic reward-decline webkit-id-104982</t>
  </si>
  <si>
    <t>All Windows</t>
  </si>
  <si>
    <t>javg0...@gmail.com</t>
  </si>
  <si>
    <t>Blink&gt;Speech</t>
  </si>
  <si>
    <t>Heap-use-after-free in WebCore::SpeechSynthesis::cancel</t>
  </si>
  <si>
    <t>CVE-2014-1700 M-33 M-34 Merge-Merged-1847 Merge-merged-1750 OS-All Pri-1 Release-2-M33 ReleaseBlock-Stable Security_Impact-Stable Security_Severity-High Type-Bug-Security allpublic reward-4000</t>
  </si>
  <si>
    <t>chamal.d...@gmail.com</t>
  </si>
  <si>
    <t>Blink&gt;Bindings</t>
  </si>
  <si>
    <t>Possibly invalid type cast in blink::V8LazyEventListener::prepareListenerObject</t>
  </si>
  <si>
    <t>CVE-2015-1217 M-41 OS-All Pri-1 Release-0-M41 Security_Impact-Stable Security_Severity-High Type-Bug-Security Via-Wizard allpublic merge-merged-2272 reward-3000</t>
  </si>
  <si>
    <t>pim...@live.nl</t>
  </si>
  <si>
    <t>Merged into 456192</t>
  </si>
  <si>
    <t>Internals Platform&gt;Extensions</t>
  </si>
  <si>
    <t>can instantiate non-public NPAPI plugins from extensions</t>
  </si>
  <si>
    <t>M-9 Pri-1 Restrict-AddIssueComment-EditIssue Security Security_Impact-Stable Security_Severity-High Type-Bug-Regression</t>
  </si>
  <si>
    <t>erikkay@chromium.org</t>
  </si>
  <si>
    <t>Merged into 72214</t>
  </si>
  <si>
    <t>mohamma...@gmail.com</t>
  </si>
  <si>
    <t>UNKNOWN in opj_read_bytes_LE</t>
  </si>
  <si>
    <t>Clusterfuzz M-36 Merge-na OS-All Pri-1 Release-0-M36 Security_Impact-Stable Security_Severity-High Stability-Memory-AddressSanitizer Type-Bug-Security allpublic</t>
  </si>
  <si>
    <t>Stale pointer due to floats not removed (flexible box display)</t>
  </si>
  <si>
    <t>CVE-2011-2818 M-13 OS-All Pri-1 Restrict-AddIssueComment-EditIssue Reward-1000 Security_Impact-Stable Security_Severity-High Type-Bug-Security allpublic</t>
  </si>
  <si>
    <t>martybar...@gmail.com</t>
  </si>
  <si>
    <t>Use after free in Element::recalcStyle due to reparenting issues in treebuilder</t>
  </si>
  <si>
    <t>Clusterfuzz M-14 Merge-Merged Merge-Merged-835 OS-All Pri-1 Restrict-AddIssueComment-EditIssue Security_Impact-Stable Security_Severity-High Stability-Memory-AddressSanitizer Type-Bug-Security allpublic merge-merged-874</t>
  </si>
  <si>
    <t>Internals&gt;Plugins</t>
  </si>
  <si>
    <t>UNKNOWN in PluginObserver::PluginPlaceholderHost::DownloadFinished</t>
  </si>
  <si>
    <t>M-43 Merge-na Pri-1 Release-0-M43 Security_Impact-Stable Security_Severity-High Stability-Crash Type-Bug-Security allpublic reward-0</t>
  </si>
  <si>
    <t>chromium...@gmail.com</t>
  </si>
  <si>
    <t>Heap-double-free in opj_j2k_tcp_destroy</t>
  </si>
  <si>
    <t>Clusterfuzz M-44 M-45 Merge-Merged-2403 Merge-na OS-All Pri-1 Release-0-M45 Security_Impact-Stable Security_Severity-High Stability-Memory-AddressSanitizer Type-Bug-Security allpublic</t>
  </si>
  <si>
    <t>Blink&gt;JavaScript</t>
  </si>
  <si>
    <t>CHECK failure in CHECK(p-&gt;IsSmi()) failed: ../../v8/src/objects-debug.cc(32)</t>
  </si>
  <si>
    <t>CVE-2014-7928 Clusterfuzz M-40 OS-All Pri-2 Release-0-M40 Security_Impact-Stable Security_Severity-High Type-Bug-Security allpublic reward-3500</t>
  </si>
  <si>
    <t>Security: tracking bug for ffmpeg H.264 fixes</t>
  </si>
  <si>
    <t>M-40 Merge-Merged OS-All Pri-1 Release-0-M40 Security_Impact-Stable Security_Severity-High Type-Bug-Security allpublic</t>
  </si>
  <si>
    <t>lcamtuf@google.com</t>
  </si>
  <si>
    <t>Blink&gt;JavaScript&gt;Runtime</t>
  </si>
  <si>
    <t>Crash in v8::Object::FindInstanceInPrototypeChain</t>
  </si>
  <si>
    <t>Clusterfuzz M-50 M-51 NodeJS-Backport-Done OS-All OS-Linux Pri-1 Release-0-M51 Reproducible Security_Impact-Stable Security_Severity-High Stability-Memory-AddressSanitizer Type-Bug-Security allpublic merge-merged-5.1</t>
  </si>
  <si>
    <t>All Linux</t>
  </si>
  <si>
    <t>use after free in InlineBox::dirtyLineBoxes()</t>
  </si>
  <si>
    <t>M-7 OS-All Pri-1 Restrict-AddIssueComment-EditIssue Security Security_Impact-Stable Security_Severity-High Type-Bug-Security allpublic</t>
  </si>
  <si>
    <t>Bad cast in WebCore::RenderBlock::createLineBoxes</t>
  </si>
  <si>
    <t>CVE-2011-3036 M-17 Merge-Merged OS-All Pri-1 Restrict-AddIssueComment-EditIssue Reward-1000 Security_Impact-Stable Security_Severity-High Stability-Memory-AddressSanitizer Type-Bug-Security allpublic</t>
  </si>
  <si>
    <t>RenderIndicator childs not laid out at all.</t>
  </si>
  <si>
    <t>M-8 OS-All Pri-1 Restrict-AddIssueComment-EditIssue Security Security_Impact-Stable Security_Severity-High Type-Bug-Security allpublic reward-topanel</t>
  </si>
  <si>
    <t>Heap-buffer-overflow in SkRectClipBlitter::blitAntiH</t>
  </si>
  <si>
    <t>Clusterfuzz M-25 OS-All Pri-1 Security_Impact-Stable Security_Severity-High Stability-Memory-AddressSanitizer Type-Bug-Security allpublic</t>
  </si>
  <si>
    <t>Heap-use-after-free in WebCore::RenderSVGResourceContainer::markClientForInvalidation</t>
  </si>
  <si>
    <t>Clusterfuzz M-23 Merge-Merged OS-All Pri-1 Security_Impact-Stable Security_Severity-High Stability-Memory-AddressSanitizer Type-Bug-Security allpublic</t>
  </si>
  <si>
    <t>Heap-use-after-free in content::BufferedDataSource::ReadCallback</t>
  </si>
  <si>
    <t>Clusterfuzz M-38 Merge-merged-2125 OS-All Pri-1 Release-0-M38 Security_Impact-Stable Security_Severity-High Stability-Memory-AddressSanitizer Type-Bug-Security allpublic</t>
  </si>
  <si>
    <t>Heap-use-after-free in WebCore::XMLDocumentParser::append</t>
  </si>
  <si>
    <t>CVE-2013-2913 M-30 Merge-Merged OS-All Pri-1 Release-0 Reward-1000 Security_Impact-Stable Security_Severity-High Stability-Memory-AddressSanitizer Stability-ThreadSanitizer Type-Bug-Security allpublic merge-merged-1599 reward-inprocess</t>
  </si>
  <si>
    <t>UNKNOWN in memset</t>
  </si>
  <si>
    <t>Clusterfuzz Nag OS-All Pri-1 Release-0-M38 Security_Impact-Stable Security_Severity-High Stability-Memory-AddressSanitizer Type-Bug-Security allpublic</t>
  </si>
  <si>
    <t>Use after free of RootInlineBox</t>
  </si>
  <si>
    <t>CVE-2011-3236 Clusterfuzz M-14 OS-All Pri-1 Restrict-AddIssueComment-EditIssue Security_Impact-Stable Security_Severity-High Stability-Memory-AddressSanitizer Type-Bug-Security allpublic</t>
  </si>
  <si>
    <t>Blink&gt;WebGL</t>
  </si>
  <si>
    <t>Security: Integer Overflow in WebGL</t>
  </si>
  <si>
    <t>CVE-2015-1219 M-41 Merge-Merged Nag OS-All Pri-1 Release-0-M41 Security_Impact-Stable Security_Severity-High Type-Bug-Security allpublic reward-3000</t>
  </si>
  <si>
    <t>dem...@gmail.com</t>
  </si>
  <si>
    <t>Blink Content&gt;Core</t>
  </si>
  <si>
    <t>Aw snap on github.com with voice search extension installed</t>
  </si>
  <si>
    <t>HasTestcase M-10 Pri-1 Security Security_Impact-Stable Security_Severity-High Stability-Crash Type-Bug-Security allpublic bulkmove reward-500</t>
  </si>
  <si>
    <t>temp01...@gmail.com</t>
  </si>
  <si>
    <t>Internals&gt;Plugins&gt;Flash</t>
  </si>
  <si>
    <t>Adobe Flash Player Out-of-Bound Access Vulnerability</t>
  </si>
  <si>
    <t>CVE-2015-0330 Id-3247 M-40 Merge-na OS-All Pri-1 Security_Impact-Stable Security_Severity-High Type-Bug-Security allpublic reward-2000</t>
  </si>
  <si>
    <t>wengx...@gmail.com</t>
  </si>
  <si>
    <t>Blink Internals&gt;Plugins</t>
  </si>
  <si>
    <t>crash in WebKit::WebPluginContainerImpl::handleEvent()</t>
  </si>
  <si>
    <t>CVE-2011-1459 M-11 OS-All Pri-1 ReleaseBlock-Stable Restrict-AddIssueComment-EditIssue Security Security_Impact-Stable Security_Severity-High Stability-Crash Type-Bug-Security allpublic</t>
  </si>
  <si>
    <t>mal@google.com</t>
  </si>
  <si>
    <t>Blink Blink&gt;JavaScript</t>
  </si>
  <si>
    <t>Security: v8: WebKitPoint() memory corruption</t>
  </si>
  <si>
    <t>Mstone-4.1 Pri-0 Restrict-AddIssueComment-Commit Security Security_Impact-Stable Security_Severity-High Type-Bug-Security allpublic reward-500</t>
  </si>
  <si>
    <t>skylined@chromium.org</t>
  </si>
  <si>
    <t>[MD audit] [RPC] More errors deserializing SkBitmaps!!</t>
  </si>
  <si>
    <t>M-4 Pri-0 Restrict-AddIssueComment-EditIssue Security Security_Impact-Stable Security_Severity-High Type-Bug-Security allpublic</t>
  </si>
  <si>
    <t>scarybea...@gmail.com</t>
  </si>
  <si>
    <t>Use after free due to incorrectly setting document.body to non body elements elements from other docs.</t>
  </si>
  <si>
    <t>CVE-2011-2352 M-12 OS-All Pri-1 ReleaseBlock-Stable Restrict-AddIssueComment-EditIssue Security_Impact-Stable Security_Severity-High Stability-Memory-AddressSanitizer Type-Bug-Security allpublic</t>
  </si>
  <si>
    <t>Heap-use-after-free in WebCore::ContainerNode::removeAllChildren</t>
  </si>
  <si>
    <t>aarya@google.com</t>
  </si>
  <si>
    <t>Platform&gt;NaCl</t>
  </si>
  <si>
    <t>Security: NaCl inner sandbox escape on Windows due to mmap hole bug</t>
  </si>
  <si>
    <t>Arch-All M-36 M-37 Merge-Merged Merge-merged-1985 Merge-merged-2062 Nag OS-Windows Pri-1 Release-1-M36 Security_Impact-Stable Security_Severity-High Type-Bug-Security allpublic</t>
  </si>
  <si>
    <t>Windows</t>
  </si>
  <si>
    <t>mseaborn@chromium.org</t>
  </si>
  <si>
    <t>Heap-use-after-free in WebCore::ContainerNode::cloneChildNodes</t>
  </si>
  <si>
    <t>Clusterfuzz M-22 Merge-Merged OS-All Pri-1 Restrict-AddIssueComment-EditIssue Security-CodeYellow Security_Impact-Stable Security_Severity-High Stability-Memory-AddressSanitizer Type-Bug-Security allpublic</t>
  </si>
  <si>
    <t>Heap-use-after-free in WebCore::RenderBox::enclosingFloatPaintingLayer</t>
  </si>
  <si>
    <t>CVE-2011-3043 M-17 Merge-Merged OS-All Pri-1 Restrict-AddIssueComment-EditIssue Reward-1000 Security_Impact-Stable Security_Severity-High Stability-Memory-AddressSanitizer Type-Bug-Security allpublic</t>
  </si>
  <si>
    <t>Webkit crashes during animation event processing</t>
  </si>
  <si>
    <t>M-9 OS-All Pri-1 Restrict-AddIssueComment-EditIssue Security Security_Impact-Stable Security_Severity-High Type-Bug-Security allpublic</t>
  </si>
  <si>
    <t>Heap-buffer-overflow in opj_j2k_tcp_destroy</t>
  </si>
  <si>
    <t>CVE-2015-1239 Deadline-Exceeded M-43 Nag OS-All Pri-1 Release-0-M43 Security_Impact-Stable Security_Severity-High Stability-Memory-AddressSanitizer Type-Bug-Security allpublic reward-2000</t>
  </si>
  <si>
    <t>Merged into 430891</t>
  </si>
  <si>
    <t>Internals</t>
  </si>
  <si>
    <t>URL Bar Spoofing using History.back() and History.forward</t>
  </si>
  <si>
    <t>CVE-2011-2845 M-15 Merge-Merged OS-All Pri-2 Restrict-AddIssueComment-EditIssue Security_Impact-Stable Security_Severity-High Type-Bug-Security allpublic merge-merged-874 reward-500</t>
  </si>
  <si>
    <t>jconsult...@gmail.com</t>
  </si>
  <si>
    <t>Heap-use-after-free in WebCore::CachedCSSStyleSheet::checkNotify</t>
  </si>
  <si>
    <t>Clusterfuzz M-27 OS-All Pri-1 Release-0 Security_Impact-Stable Security_Severity-High Stability-Memory-AddressSanitizer Type-Bug-Security allpublic merge-merged-chromium</t>
  </si>
  <si>
    <t>libxml2 http://cve.mitre.org/cgi-bin/cvename.cgi?name=CVE-2008-3529</t>
  </si>
  <si>
    <t>M-3 OS-All Pri-0 ReleaseBlock-Stable Restrict-AddIssueComment-EditIssue Security Security_Impact-Stable Security_Severity-High Type-Bug-Security allpublic</t>
  </si>
  <si>
    <t>mar...@chromium.org</t>
  </si>
  <si>
    <t>Integer overflow from "offset + size" in extension.h and fpdfview.cpp</t>
  </si>
  <si>
    <t>M-37 Merge-Merged OS-All Pri-2 Release-0-M37 Security_Impact-Stable Security_Severity-High Type-Bug-Security allpublic reward-ineligible</t>
  </si>
  <si>
    <t>jun_f...@foxitsoftware.com</t>
  </si>
  <si>
    <t>UNKNOWN in media::container_names::DetermineContainer</t>
  </si>
  <si>
    <t>CVE-2014-7908 Clusterfuzz External-Fuzzer-Contribution M-39 Merge-Merged-2171 OS-All Pri-1 Release-0-M39 Security_Impact-Stable Security_Severity-High Stability-Memory-AddressSanitizer Type-Bug-Security allpublic reward-500</t>
  </si>
  <si>
    <t>ASSERTION FAILED: !needsLayout() UNKNOWN in WebCore::RenderSVGResourceClipper::applyClippingToContext</t>
  </si>
  <si>
    <t>CVE-2013-6623 Clusterfuzz External-Fuzzer-Contribution M-31 Merge-To-M-31-30 OS-All Pri-1 Release-0-M31 Security_Impact-Stable Security_Severity-High Stability-Memory-AddressSanitizer Type-Bug-Security allpublic merge-merged-1650 reward-500 wip</t>
  </si>
  <si>
    <t>Merged into 282925</t>
  </si>
  <si>
    <t>japhet@chromium.org</t>
  </si>
  <si>
    <t>Crash on bad rip when opening a PDF</t>
  </si>
  <si>
    <t>CVE-2011-2839 M-13 Merge-Merged Pri-0 Restrict-AddIssueComment-EditIssue Reward-1000 Security_Impact-Stable Security_Severity-High Type-Bug-Security allpublic</t>
  </si>
  <si>
    <t>aohe...@gmail.com</t>
  </si>
  <si>
    <t>SpeechRecognizerImpl UaF</t>
  </si>
  <si>
    <t>IPCFuzz M-28 Merge-Merged OS-All Pri-1 Security-Code28 Security_Impact-Stable Security_Severity-High Type-Bug-Security allpublic</t>
  </si>
  <si>
    <t>aedla@chromium.org</t>
  </si>
  <si>
    <t>Blink Internals Internals&gt;Plugins&gt;PDF</t>
  </si>
  <si>
    <t>Security: Use after free on ~AssociatedURLLoader with pdf plugin</t>
  </si>
  <si>
    <t>CVE-2012-5140 M-23 Merge-Merged Merge-Merged-1453 OS-All Pri-1 Reward-1000 Security_Impact-Stable Security_Severity-High Type-Bug-Security allpublic merge-merged-1271 merge-merged-1312</t>
  </si>
  <si>
    <t>Security: a malicious page may gain access to context of an extension's content script</t>
  </si>
  <si>
    <t>M-5 Pri-0 Restrict-AddIssueComment-EditIssue Security Security_Impact-Stable Security_Severity-High Type-Bug-Security allpublic</t>
  </si>
  <si>
    <t>caseq@chromium.org</t>
  </si>
  <si>
    <t>Blink Blink&gt;WebRTC Internals&gt;Media&gt;Source</t>
  </si>
  <si>
    <t>Heap-use-after-free in WebCore::MediaPlayer::sourceSetTimestampOffset [exploitable]</t>
  </si>
  <si>
    <t>CVE-2012-5137 M-23 Merge-Merged OS-All Pri-0 ReleaseBlock-Stable Security_Impact-Stable Security_Severity-High Type-Bug-Security allpublic reward-7331</t>
  </si>
  <si>
    <t>Security: use-after-free vulnerability in flash player 22.0.0.192</t>
  </si>
  <si>
    <t>M-53 OS-All Pri-1 Security_Impact-Stable Security_Severity-High Type-Bug-Security allpublic reward-3000 reward-inprocess</t>
  </si>
  <si>
    <t>jiezengo...@gmail.com</t>
  </si>
  <si>
    <t>Heap-use-after-free in WebCore::cancelAll</t>
  </si>
  <si>
    <t>M-24 Merge-Merged OS-All Pri-2 Release-1 Security_Impact-Stable Security_Severity-High Stability-Crash Type-Bug-Security allpublic release-private</t>
  </si>
  <si>
    <t>dgerman@google.com</t>
  </si>
  <si>
    <t>Heap-use-after-free in WebCore::CounterNode::lastDescendant</t>
  </si>
  <si>
    <t>CVE-2012-2842 M-20 Merge-Merged OS-All Pri-1 Restrict-AddIssueComment-EditIssue Reward-1000 Security_Impact-Stable Security_Severity-High Stability-Memory-AddressSanitizer Type-Bug-Security allpublic</t>
  </si>
  <si>
    <t>Heap-use-after-free in WebCore::Element::recalcStyle</t>
  </si>
  <si>
    <t>CVE-2011-3089 M-19 Merge-Merged OS-All Pri-1 Restrict-AddIssueComment-EditIssue Reward-1000 Security_Impact-Stable Security_Severity-High Stability-Memory-AddressSanitizer Type-Bug-Security allpublic</t>
  </si>
  <si>
    <t>Merged into 120711</t>
  </si>
  <si>
    <t>REGRESSION (r85964): Use after free in WebCore::RenderObject::localToAbsolute</t>
  </si>
  <si>
    <t>CVE-2011-2820 M-13 OS-All Pri-1 Restrict-AddIssueComment-EditIssue Security_Impact-Stable Security_Severity-High Stability-Crash Stability-Memory-AddressSanitizer Type-Bug-Security allpublic</t>
  </si>
  <si>
    <t>rtenneti@chromium.org</t>
  </si>
  <si>
    <t>Heap-buffer-overflow in sk_memset32_SSE2</t>
  </si>
  <si>
    <t>Clusterfuzz M-42 Merge-na Nag OS-All Pri-1 Release-0-M42 Security_Impact-Stable Security_Severity-High Stability-Memory-AddressSanitizer Type-Bug-Security allpublic</t>
  </si>
  <si>
    <t>Heap-use-after-free in content::MediaStreamManager::FinalizeEnumerateDevices</t>
  </si>
  <si>
    <t>Clusterfuzz M-33 Merge-Merged Merge-merged-1750 OS-All Pri-1 Release-0-M33 Security_Impact-Stable Security_Severity-High Stability-Memory-AddressSanitizer Type-Bug-Security allpublic</t>
  </si>
  <si>
    <t>Crash in v8::internal::StackFrameIterator::StackFrameIterator</t>
  </si>
  <si>
    <t>CVE-2016-1678 Clusterfuzz External-Fuzzer-Contribution M-51 Merge-na Merge-rejected-5.0 Needs-Feedback OS-Linux Pri-1 Release-0-M51 Reproducible Security_Impact-Stable Security_Severity-High Stability-Memory-AddressSanitizer Type-Bug-Security allpublic reward-3500 reward-inprocess</t>
  </si>
  <si>
    <t>Merged into 595259</t>
  </si>
  <si>
    <t>ukai@chromium.org</t>
  </si>
  <si>
    <t>Internals&gt;Media&gt;Encrypted</t>
  </si>
  <si>
    <t>Security: Integer overflow leading to exploitable buffer overflow on 32-bit when parsing encrypted mp4</t>
  </si>
  <si>
    <t>M-31 Merge-Merged-1700 OS-All Pri-1 Release-1-M31 Security_Impact-Stable Security_Severity-High Type-Bug-Security allpublic merge-merged-1650</t>
  </si>
  <si>
    <t>ianbeer@chromium.org</t>
  </si>
  <si>
    <t>Flash: Uninitialized variable in DateObject::_toString can cause memory corruption</t>
  </si>
  <si>
    <t>M-48 Merge-na OS-Windows Pri-2 Release-NA Security_Impact-Stable Security_Severity-High Type-Bug-Security Via-Wizard allpublic reward-5000 reward-inprocess</t>
  </si>
  <si>
    <t>n...@nesk.co.kr</t>
  </si>
  <si>
    <t>use-after-free in svg fontfacelement</t>
  </si>
  <si>
    <t>CVE-2011-2346 M-12 OS-All Pri-1 Restrict-AddIssueComment-EditIssue Reward-1000 Security_Impact-Stable Security_Severity-High Type-Bug-Security allpublic</t>
  </si>
  <si>
    <t>Heap-use-after-free in content::QuotaDispatcherHost::RequestQuotaDispatcher::DidFinish</t>
  </si>
  <si>
    <t>Clusterfuzz M-30 Merge-Merged OS-All Pri-1 Release-0 Security_Impact-Stable Security_Severity-High Stability-Memory-AddressSanitizer Type-Bug-Security allpublic merge-merged-1599</t>
  </si>
  <si>
    <t>Security: UAF in PDFium's TimerProc()</t>
  </si>
  <si>
    <t>CVE-2016-5167 Hotlist-Merge-Review M-53 OS-All Pri-1 Release-0-M53 Security_Impact-Stable Security_Severity-High Type-Bug-Security allpublic merge-merged-2785</t>
  </si>
  <si>
    <t>tsepez@chromium.org</t>
  </si>
  <si>
    <t>UNKNOWN in v8::internal::ExternalUint32Array::SetValue</t>
  </si>
  <si>
    <t>Hotlist-Merge-Approved M-41 M-42 OS-All Pri-1 Release-2-M41 Security_Impact-Stable Security_Severity-High Type-Bug-Security allpublic merge-merged-4.1 merge-merged-4.2 reward-NA</t>
  </si>
  <si>
    <t>kenrb@chromium.org</t>
  </si>
  <si>
    <t>Heap-buffer-overflow in blink::WebSpeechRecognitionHandle::operator blink::SpeechRecognition*</t>
  </si>
  <si>
    <t>Clusterfuzz M-43 M-44 Merge-Merged-2403 Nag OS-All Owner-Triage Pri-1 Security_Impact-Stable Security_Severity-High Stability-Memory-AddressSanitizer Type-Bug-Security allpublic</t>
  </si>
  <si>
    <t>Blink&gt;Loader UI&gt;Browser&gt;Navigation</t>
  </si>
  <si>
    <t>Security: Universal XSS using deferred history loads</t>
  </si>
  <si>
    <t>CVE-2016-1675 Hotlist-Merge-Review M-49 OS-All Pri-1 Release-0-M51 Security_Impact-Stable Security_Severity-High Type-Bug-Security allpublic merge-merged-2661 reward-7500 reward-inprocess</t>
  </si>
  <si>
    <t>marius.mlynski@gmail.com</t>
  </si>
  <si>
    <t>Blink&gt;ServiceWorker Blink&gt;Workers</t>
  </si>
  <si>
    <t>Heap-use-after-free in blink::WorkerSharedTimer::setFireInterval</t>
  </si>
  <si>
    <t>Clusterfuzz M-41 OS-All Pri-1 Release-0-M41 Security_Impact-Stable Security_Severity-High Stability-Memory-AddressSanitizer Type-Bug-Security allpublic merge-merged-2272</t>
  </si>
  <si>
    <t>Heap-use-after-free in blink::V8PerContextData::constructorForTypeSlowCase</t>
  </si>
  <si>
    <t>M-42 Merge-na Pri-1 Release-0-M42 Security_Impact-Stable Security_Severity-High Stability-Memory-AddressSanitizer Type-Bug-Security allpublic reward-3000</t>
  </si>
  <si>
    <t>&lt;video&gt; inside &lt;foreignObject&gt; inside &lt;svg&gt; inside &lt;img&gt; --&gt; crash</t>
  </si>
  <si>
    <t>M-5 Pri-1 Restrict-AddIssueComment-EditIssue Security Security_Impact-Stable Security_Severity-High Type-Bug-Security allpublic</t>
  </si>
  <si>
    <t>bloom@google.com</t>
  </si>
  <si>
    <t>Security: Blink passes NULL TypedArray backing stores to V8 leading to OOB R/W</t>
  </si>
  <si>
    <t>Arch-x86 Hotlist-Merge-Review M-46 Merge-Merged-2454 Merge-Merged-2490 OS-All Pri-1 Release-0-M46 ReleaseBlock-Beta Security_Impact-Stable Security_Severity-High Type-Bug-Security allpublic</t>
  </si>
  <si>
    <t>jkummerow@chromium.org</t>
  </si>
  <si>
    <t>Heap-use-after-free in WebCore::GenericEventQueue::~GenericEventQueue</t>
  </si>
  <si>
    <t>CVE-2011-3074 M-18 Merge-Merged OS-All Pri-1 Restrict-AddIssueComment-EditIssue Security_Impact-Stable Security_Severity-High Stability-Memory-AddressSanitizer Type-Bug-Security allpublic reward-500</t>
  </si>
  <si>
    <t>slaw...@gmail.com</t>
  </si>
  <si>
    <t>Merged into 119281</t>
  </si>
  <si>
    <t>kuz...@gmail.com</t>
  </si>
  <si>
    <t>Heap-buffer-overflow in opj_dwt_decode</t>
  </si>
  <si>
    <t>CVE-2014-7903 M-39 Merge-Merged Pri-1 Release-0-M39 Security_Impact-Stable Security_Severity-High Type-Bug-Security allpublic reward-3000</t>
  </si>
  <si>
    <t>Heap-use-after-free in blink::AXNodeObject::document</t>
  </si>
  <si>
    <t>Clusterfuzz M-37 M-38 Merge-merged-2125 OS-All Pri-1 Release-0-M38 Security_Impact-Stable Security_Severity-High Stability-Memory-AddressSanitizer Type-Bug-Security allpublic</t>
  </si>
  <si>
    <t>Blink&gt;Layout</t>
  </si>
  <si>
    <t>Heap-use-after-free in blink::PODIntervalTree&lt;intblink::FloatingObject</t>
  </si>
  <si>
    <t>Clusterfuzz M-39 Merge-Merged-2171 OS-All Pri-1 Release-0-M39 Security_Impact-Stable Security_Severity-High Stability-Memory-AddressSanitizer Type-Bug-Security allpublic</t>
  </si>
  <si>
    <t>Part 1 of Pwnium Bug: UXSS</t>
  </si>
  <si>
    <t>CVE-2011-3046 M-17 Merge-Merged OS-All Pri-1 Restrict-AddIssueComment-EditIssue Security_Impact-Stable Security_Severity-High Type-Bug-Security allpublic merge-merged-2924 merge-merged-963 pwnium reward-60000</t>
  </si>
  <si>
    <t>use after free in WebCore::RenderCounter::destroyCounterNode</t>
  </si>
  <si>
    <t>M-10 Pri-1 Restrict-AddIssueComment-EditIssue Reward-1000 Security Security_Impact-Stable Security_Severity-High Type-Bug-Security allpublic</t>
  </si>
  <si>
    <t>Security: Calling arbitrary V8 native functions from JavaScript</t>
  </si>
  <si>
    <t>CVE-2011-3891 M-15 OS-All Pri-1 Restrict-AddIssueComment-EditIssue Security_Impact-Stable Security_Severity-High Type-Bug-Security allpublic</t>
  </si>
  <si>
    <t>keuchel@chromium.org</t>
  </si>
  <si>
    <t>Merged into 100322</t>
  </si>
  <si>
    <t>divric...@gmail.com</t>
  </si>
  <si>
    <t>Blink&gt;SVG</t>
  </si>
  <si>
    <t>Heap-use-after-free in blink::Event::path</t>
  </si>
  <si>
    <t>CVE-2014-3190 M-38 Merge-Merged Merge-merged-2125 Nag OS-Linux Pri-1 Release-0-M38 ReleaseBlock-Stable Security_Impact-Stable Security_Severity-High Type-Bug-Security allpublic m37-first-patch reward-3000</t>
  </si>
  <si>
    <t>Merged into 400476</t>
  </si>
  <si>
    <t>UNKNOWN in content::WebContentsImpl::OnOpenColorChooser</t>
  </si>
  <si>
    <t>UNKNOWN in DestroyPropertySheetPage+0x4e</t>
  </si>
  <si>
    <t>Clusterfuzz M-41 OS-All Pri-1 Release-0-M41 ReleaseBlock-Stable Security_Impact-Stable Security_Severity-High Stability-Memory-AddressSanitizer Type-Bug-Security allpublic merge-merged-2272</t>
  </si>
  <si>
    <t>Heap-use-after-free in WebCore::IdTargetObserverRegistry::removeObserver</t>
  </si>
  <si>
    <t>Clusterfuzz M-29 Merge-Merged OS-All Pri-1 Release-0 Security_Impact-Stable Security_Severity-High Stability-Memory-AddressSanitizer Type-Bug-Security allpublic merge-Merged-1547</t>
  </si>
  <si>
    <t>ZDI-CAN-1528: Webkit HTMLMedia Element beforeLoad Remote Code Execution Vulnerability</t>
  </si>
  <si>
    <t>CVE-2011-3071 M-18 Merge-Merged OS-All Pri-1 Restrict-AddIssueComment-EditIssue Security_Impact-Stable Security_Severity-High Type-Bug-Security allpublic</t>
  </si>
  <si>
    <t>Heap-use-after-free in WebCore::InlineFlowBox::deleteLine</t>
  </si>
  <si>
    <t>Clusterfuzz M-18 Merge-Merged OS-All Pri-1 ReleaseBlock-Stable Restrict-AddIssueComment-EditIssue Security_Impact-Stable Security_Severity-High Stability-Memory-AddressSanitizer Type-Bug-Security allpublic</t>
  </si>
  <si>
    <t>Merged into 118853</t>
  </si>
  <si>
    <t>Destroying nextblock in RenderBlock::removeChild can cause oldChild and nextblock's next sibling to be merged.</t>
  </si>
  <si>
    <t>M-8 OS-All Pri-1 Restrict-AddIssueComment-EditIssue Reward-1000 Security Security_Impact-Stable Security_Severity-High Type-Bug-Security allpublic</t>
  </si>
  <si>
    <t>Blink&gt;Editing&gt;Selection</t>
  </si>
  <si>
    <t>Heap-use-after-free in blink::FrameSelection::notifyLayoutObjectOfSelectionChange</t>
  </si>
  <si>
    <t>Clusterfuzz Hotlist-Merge-Approved Hotlist-Merge-Review M-47 M-48 Merge-merged-2564 OS-Linux Pri-1 Release-0-M48 Reproducible Security_Impact-Stable Security_Severity-High Stability-Memory-AddressSanitizer Type-Bug-Security allpublic</t>
  </si>
  <si>
    <t>Merged into 565049</t>
  </si>
  <si>
    <t>Heap-use-after-free in WebCore::RenderObject::container</t>
  </si>
  <si>
    <t>Clusterfuzz M-22 Merge-Merged OS-All Pri-1 Restrict-AddIssueComment-EditIssue Security-CodeYellow Security_Impact-Stable Security_Severity-High Stability-Memory-AddressSanitizer Type-Bug-Security WebKit-ID-91368 allpublic</t>
  </si>
  <si>
    <t>Security: sandbox bypass due to directory traversal opening Web Database files</t>
  </si>
  <si>
    <t>Area-MISC M-4 OS-All Pri-0 Restrict-AddIssueComment-EditIssue Security Security_Impact-Stable Security_Severity-High Type-Bug-Security allpublic</t>
  </si>
  <si>
    <t>cevans@chromium.org</t>
  </si>
  <si>
    <t>Platform&gt;Extensions</t>
  </si>
  <si>
    <t>Security: some extension bindings incorrectly injected into about:blank frames</t>
  </si>
  <si>
    <t>CVE-2016-5149 Deadline-Exceeded Hotlist-Merge-Approved M-53 Nag OS-Chrome OS-Mac OS-Windows Pri-1 Release-0-M53 Security_Impact-Stable Security_Severity-High Type-Bug-Security allpublic merge-merged-2785 reward-7500 reward-decline</t>
  </si>
  <si>
    <t>Chrome Mac Windows</t>
  </si>
  <si>
    <t>justi...@gmail.com</t>
  </si>
  <si>
    <t>Merged into 573131</t>
  </si>
  <si>
    <t>rob@robwu.nl</t>
  </si>
  <si>
    <t>Bad cast in splitAnonymousBlocksAroundChild (part 3)</t>
  </si>
  <si>
    <t>CVE-2011-3037 M-17 Merge-Merged OS-All Pri-1 Restrict-AddIssueComment-EditIssue Reward-1000 Security_Impact-Stable Security_Severity-High Stability-Memory-AddressSanitizer Type-Bug-Security allpublic</t>
  </si>
  <si>
    <t>Bad cast with svg:g element</t>
  </si>
  <si>
    <t>M-6 OS-All Pri-1 Restrict-AddIssueComment-EditIssue Security Security_Impact-Stable Security_Severity-High Type-Bug-Security allpublic reward-500</t>
  </si>
  <si>
    <t>RUNTIME_ASSERT in args[0]-&gt;IsJSObject() in src/runtime/runtime-internal.cc</t>
  </si>
  <si>
    <t>Clusterfuzz M-49 OS-Linux Reproducible Security_Impact-Stable Security_Severity-High Type-Bug</t>
  </si>
  <si>
    <t>Heap-buffer-overflow in bool WebCore::SelectorChecker::checkOne&lt;WebCore::DOMSiblingTraversalStrategy&gt;</t>
  </si>
  <si>
    <t>M-30 Merge-Merged OS-All Pri-2 Release-0 Security_Impact-Stable Security_Severity-High Stability-Crash Type-Bug-Security allpublic merge-merged-1599 reward-ineligible</t>
  </si>
  <si>
    <t>r...@opera.com</t>
  </si>
  <si>
    <t>Crash in NULL@0x...40</t>
  </si>
  <si>
    <t>Clusterfuzz Hotlist-Merge-Approved M-47 M-48 Merge-merged-2564 OS-Linux Pri-1 Release-1-M47 Reproducible Security_Impact-Stable Security_Severity-High Stability-Memory-AddressSanitizer Type-Bug-Security allpublic merge-merged-2526</t>
  </si>
  <si>
    <t>invalid free() in bundled pdf viewer</t>
  </si>
  <si>
    <t>Use After Free in Websockets - possible remote code execution within sandbox</t>
  </si>
  <si>
    <t>CVE-2011-1449 M-11 OS-All Pri-1 ReleaseBlock-Stable Restrict-AddIssueComment-EditIssue Reward-1000 Security_Impact-Stable Security_Severity-High Type-Bug-Security allpublic</t>
  </si>
  <si>
    <t>maje...@gmail.com</t>
  </si>
  <si>
    <t>Heap-use-after-free in WebCore::ElementShadow::removeAllShadowRoots</t>
  </si>
  <si>
    <t>Clusterfuzz M-30 Merge-Merged OS-All Pri-1 Release-0 Security_Impact-Stable Security_Severity-High Stability-Memory-AddressSanitizer Type-Bug-Security allpublic</t>
  </si>
  <si>
    <t>Merged into 260138</t>
  </si>
  <si>
    <t>lifeasag...@gmail.com</t>
  </si>
  <si>
    <t>invalid access with bad html</t>
  </si>
  <si>
    <t>CVE-2011-2359 M-13 OS-All Pri-1 Restrict-AddIssueComment-EditIssue Reward-1000 Security_Impact-Stable Security_Severity-High Type-Bug-Security allpublic</t>
  </si>
  <si>
    <t>Merged into 78841</t>
  </si>
  <si>
    <t>Heap-use-after-free in WebCore::HTMLInputElement::copyNonAttributeProperties</t>
  </si>
  <si>
    <t>CVE-2011-3928 Clusterfuzz M-16 Merge-Merged Merge-Merged-912 OS-All Pri-1 ReleaseBlock-Stable Restrict-AddIssueComment-EditIssue Security_Impact-Stable Security_Severity-High Stability-Memory-AddressSanitizer Type-Bug-Security allpublic merge-merged-963</t>
  </si>
  <si>
    <t>Merged into 108461</t>
  </si>
  <si>
    <t>Use after free crash in RTL text handling</t>
  </si>
  <si>
    <t>M-4 Pri-2 ReleaseBlock-Beta ReleaseBlock-Stable Restrict-AddIssueComment-EditIssue Security Security_Impact-Stable Security_Severity-High Type-Bug-Security allpublic</t>
  </si>
  <si>
    <t>jam...@chromium.org</t>
  </si>
  <si>
    <t>Internals&gt;Media&gt;Codecs</t>
  </si>
  <si>
    <t>Heap-buffer-overflow in resize_context_buffers</t>
  </si>
  <si>
    <t>Clusterfuzz M-43 Nag OS-All Pri-1 Security_Impact-Stable Security_Severity-High Stability-Memory-AddressSanitizer Type-Bug-Security allpublic</t>
  </si>
  <si>
    <t>UNKNOWN in v8::internal::CompilationDependencies::Abort</t>
  </si>
  <si>
    <t>Clusterfuzz M-43 Nag OS-All Pri-1 Release-0-M44 Security_Impact-Stable Security_Severity-High Stability-Memory-AddressSanitizer Type-Bug-Security allpublic merge-merged-4.4</t>
  </si>
  <si>
    <t>compareDocumentPosition memory corruption</t>
  </si>
  <si>
    <t>M-10 OS-All Pri-1 Restrict-AddIssueComment-EditIssue Security_Impact-Stable Security_Severity-High Type-Bug-Security allpublic</t>
  </si>
  <si>
    <t>CounterNode memory corruption</t>
  </si>
  <si>
    <t>ApprovedForMerge CVE-2011-1802 M-11 OS-All Pri-1 Restrict-AddIssueComment-EditIssue Security_Impact-Stable Security_Severity-High Type-Bug-Security allpublic</t>
  </si>
  <si>
    <t>UNKNOWN in v8::internal::HeapObject::map_word</t>
  </si>
  <si>
    <t>Clusterfuzz M-34 Merge-Merged OS-All Pri-1 Release-0-M34 Security_Impact-Stable Security_Severity-High Stability-Memory-AddressSanitizer Type-Bug-Security allpublic</t>
  </si>
  <si>
    <t>Heap-use-after-free in cc::LayerTreeHost::RecreateUIResources</t>
  </si>
  <si>
    <t>Clusterfuzz M-38 Merge-merged-2125 Nag OS-Android Pri-1 Release-0-M38 Security_Impact-Stable Security_Severity-High Stability-Memory-AddressSanitizer Type-Bug-Security allpublic</t>
  </si>
  <si>
    <t>Android</t>
  </si>
  <si>
    <t>Need to merge fix for CSSPrimitiveValue::setFloatValue() type confusion error</t>
  </si>
  <si>
    <t>Mstone-4.1 Pri-0 Restrict-AddIssueComment-Commit Security Security_Impact-Stable Security_Severity-High Type-Bug-Security allpublic</t>
  </si>
  <si>
    <t>Heap-use-after-free in WebCore::ContainerNode::resumePostAttachCallbacks</t>
  </si>
  <si>
    <t>CVE-2011-3076 M-18 Merge-Merged OS-All Pri-1 Restrict-AddIssueComment-EditIssue Reward-1000 Security_Impact-Stable Security_Severity-High Stability-Memory-AddressSanitizer Type-Bug-Security allpublic</t>
  </si>
  <si>
    <t>Use after free in ruby overhang.</t>
  </si>
  <si>
    <t>Clusterfuzz M-14 Merge-Merged Merge-Merged-835 OS-All Pri-1 Restrict-AddIssueComment-EditIssue Security_Impact-Stable Security_Severity-High Stability-CodeYellow Stability-Memory-AddressSanitizer Type-Bug-Security allpublic merge-merged-874</t>
  </si>
  <si>
    <t>CHECK failure in CHECK(object-&gt;map()-&gt;IsMap()) failed: ../src/heap-inl.h(833)</t>
  </si>
  <si>
    <t>Clusterfuzz M-34 Merge-Merged-1847 Merge-merged-1750 OS-All Pri-2 Release-0-M34 Security_Impact-Stable Security_Severity-High Type-Bug-Security allpublic</t>
  </si>
  <si>
    <t>Security: HTTPS Address Bar Spoofing Using View-source And Redirection</t>
  </si>
  <si>
    <t>M-16 OS-All Pri-1 Restrict-AddIssueComment-EditIssue Reward-1000 Security_Impact-Stable Security_Severity-High Type-Bug-Security allpublic</t>
  </si>
  <si>
    <t>mitja.ko...@acrossecurity.com</t>
  </si>
  <si>
    <t>Merged into 99016</t>
  </si>
  <si>
    <t>lcam...@gmail.com</t>
  </si>
  <si>
    <t>Use after free with SVG use referencing svg style element</t>
  </si>
  <si>
    <t>M-6 OS-All Pri-1 Restrict-AddIssueComment-EditIssue Reward-1000 Security Security_Impact-Stable Security_Severity-High Type-Bug-Security allpublic</t>
  </si>
  <si>
    <t>Blink&gt;Forms</t>
  </si>
  <si>
    <t>Security: Universal XSS using an &lt;input type="color"&gt; element</t>
  </si>
  <si>
    <t>CVE-2016-5208 M-54 M-55 Merge-Rejected-54 OS-Android OS-Chrome OS-Linux OS-Windows Pri-1 Release-0-M55 Security_Impact-Stable Security_Severity-High Type-Bug-Security allpublic merge-merged-2883 reward-7500 reward-inprocess</t>
  </si>
  <si>
    <t>Android Chrome Linux Windows</t>
  </si>
  <si>
    <t>Internals Internals&gt;Media&gt;FFmpeg</t>
  </si>
  <si>
    <t>Security: WebM heap-buffer-overflow in matroskadec.c:matroska_parse_block()</t>
  </si>
  <si>
    <t>CVE-2012-2834 M-20 Merge-Merged Pri-0 Restrict-AddIssueComment-EditIssue Reward-1000 Security_Impact-Stable Security_Severity-High Type-Bug-Security allpublic merge-merged-1132 merge-merged-ffmpeg</t>
  </si>
  <si>
    <t>a...@ut.ee</t>
  </si>
  <si>
    <t>Security: PDFium (XFA) Heap Buffer Overflow in CWeightTable::Calc</t>
  </si>
  <si>
    <t>CVE-2016-5210 M-54 M-55 OS-All Pri-1 Release-0-M55 Security_Impact-Stable Security_Severity-High Type-Bug-Security allpublic merge-merged-2883 reward-3500 reward-inprocess</t>
  </si>
  <si>
    <t>stackexp...@gmail.com</t>
  </si>
  <si>
    <t>Heap-use-after-free in WebCore::RenderBlock::layoutPositionedObjects</t>
  </si>
  <si>
    <t>Clusterfuzz M-20 Merge-Merged OS-All Pri-1 Restrict-AddIssueComment-EditIssue Security_Impact-Stable Security_Severity-High Stability-Memory-AddressSanitizer Type-Bug-Security allpublic</t>
  </si>
  <si>
    <t>Merged into 133418</t>
  </si>
  <si>
    <t>Security: NaCl sandbox escape via DRAM "rowhammer" memory corruption</t>
  </si>
  <si>
    <t>Arch-x86 Arch-x86_64 CVE-2015-0565 M-39 Merge-Merged-2171 OS-All Pri-1 Release-0-M39 Security_Impact-Stable Security_Severity-High Type-Bug-Security allpublic</t>
  </si>
  <si>
    <t>Heap-use-after-free in xsltApplySequenceConstructor</t>
  </si>
  <si>
    <t>CVE-2013-2902 HasTestcase M-29 Merge-Merged OS-All Pri-1 Release-0 Reward-1000 Security_Impact-Stable Security_Severity-High Stability-Memory-AddressSanitizer Type-Bug-Security allpublic merge-Merged-1547</t>
  </si>
  <si>
    <t>V8 custom bindings for AudioNode must do proper object checking and throw exception in case of error</t>
  </si>
  <si>
    <t>M-14 Merge-Merged Pri-1 ReleaseBlock-Stable Restrict-AddIssueComment-EditIssue Security_Impact-Stable Security_Severity-High Type-Bug-Security allpublic</t>
  </si>
  <si>
    <t>crogers@google.com</t>
  </si>
  <si>
    <t>Integer overflow in FilterEffect::copyImageBytes</t>
  </si>
  <si>
    <t>CVE-2011-1794 M-11 OS-All Pri-1 ReleaseBlock-Stable Restrict-AddIssueComment-EditIssue Security_Impact-Stable Security_Severity-High Type-Bug-Security allpublic</t>
  </si>
  <si>
    <t>Freed m_viewportRenderer in FrameView::updateOverflowStatus</t>
  </si>
  <si>
    <t>CVE-2011-1796 M-11 OS-All Pri-1 Restrict-AddIssueComment-EditIssue Security_Impact-Stable Security_Severity-High Type-Bug-Security allpublic</t>
  </si>
  <si>
    <t>Heap-use-after-free in webkit_glue::WebURLLoaderImpl::Context::OnReceivedResponse</t>
  </si>
  <si>
    <t>Clusterfuzz M-25 Merge-Merged OS-All Pri-1 Release-0 Security_Impact-Stable Security_Severity-High Stability-Memory-AddressSanitizer Type-Bug-Security allpublic release-private</t>
  </si>
  <si>
    <t>TransportDIB::Map doesn't validate size of mapped section on Windows</t>
  </si>
  <si>
    <t>Audit-IPC M-27 Merge-Merged OS-Windows Pri-1 Release-0 Security_Impact-Stable Security_Severity-High Type-Bug-Security allpublic</t>
  </si>
  <si>
    <t>jsc...@chromium.org</t>
  </si>
  <si>
    <t>Internals&gt;Network&gt;QUIC</t>
  </si>
  <si>
    <t>Security: QUIC may send requests (including cookies) in the clear</t>
  </si>
  <si>
    <t>Hotlist-Merge-Approved Hotlist-Merge-Review M-47 Merge-merged-2564 OS-All Pri-1 Security_Impact-Stable Security_Severity-High Type-Bug-Security allpublic merge-merged-2526</t>
  </si>
  <si>
    <t>rch@chromium.org</t>
  </si>
  <si>
    <t>Security: Domui process can be ptraced from a compromised renderer leading to sandbox escape</t>
  </si>
  <si>
    <t>CVE-2011-1439 M-11 OS-Linux Pri-1 ReleaseBlock-Stable Restrict-AddIssueComment-EditIssue Security Security_Impact-Stable Security_Severity-High Type-Bug-Security allpublic</t>
  </si>
  <si>
    <t>jln@chromium.org</t>
  </si>
  <si>
    <t>Heap-use-after-free in WebCore::GraphicsContext::paintingDisabled</t>
  </si>
  <si>
    <t>CVE-2011-3064 M-18 Merge-Merged OS-All Pri-1 Restrict-AddIssueComment-EditIssue Reward-1000 Security_Impact-Stable Security_Severity-High Stability-Memory-AddressSanitizer Type-Bug-Security allpublic</t>
  </si>
  <si>
    <t>attek...@gmail.com</t>
  </si>
  <si>
    <t>Blink&gt;Animation</t>
  </si>
  <si>
    <t>Use-of-uninitialized-value in WebCore::TransformationMatrix::blend</t>
  </si>
  <si>
    <t>Clusterfuzz M-36 M-37 Merge-merged-2062 OS-All Pri-1 Release-0-M37 Security_Impact-Stable Security_Severity-High Stability-Memory-MemorySanitizer Type-Bug-Security allpublic</t>
  </si>
  <si>
    <t>Security: Crash in memcpy in chrome_pdf::CopyImage</t>
  </si>
  <si>
    <t>CVE-2014-3189 M-38 Merge-merged-2125 OS-All Pri-1 Release-0-M38 Security_Impact-Stable Security_Severity-High Type-Bug-Security allpublic reward-3000</t>
  </si>
  <si>
    <t>Internals Internals&gt;GPU</t>
  </si>
  <si>
    <t>Invalid pointer write in GrRenderTarget::onRelease</t>
  </si>
  <si>
    <t>CVE-2013-2862 M-27 Merge-Merged OS-All Pri-1 Release-1 Reward-1000 Security-Code28 Security_Impact-Stable Security_Severity-High Type-Bug-Security allpublic</t>
  </si>
  <si>
    <t>Bad-cast to WebCore::SpeechSynthesisUtterance from WebCore::SpeechSynthesis; V8EventTargetCustom.cpp:52:5</t>
  </si>
  <si>
    <t>Clusterfuzz Merge-merged-2062 OS-All Pri-1 Release-0-M37 Security_Impact-Stable Security_Severity-High Type-Bug-Security allpublic</t>
  </si>
  <si>
    <t>Blink Blink&gt;Speech UI&gt;Browser&gt;Navigation</t>
  </si>
  <si>
    <t>Use after free - using speech API after loading a web page</t>
  </si>
  <si>
    <t>CVE-2013-2843 M-27 Merge-Merged-1453 OS-All Pri-0 Release-0 Reward-1000 Security_Impact-Stable Security_Severity-High Type-Bug-Security allpublic</t>
  </si>
  <si>
    <t>CSSSelector double frees</t>
  </si>
  <si>
    <t>CVE-2011-2335 M-12 OS-All Pri-1 Restrict-AddIssueComment-EditIssue Security_Impact-Stable Security_Severity-High Type-Bug-Security allpublic</t>
  </si>
  <si>
    <t>Blink&gt;WebGL Internals&gt;GPU</t>
  </si>
  <si>
    <t>UNKNOWN in unsafe_free</t>
  </si>
  <si>
    <t>Clusterfuzz M-36 Merge-Merged Merge-merged-1985 OS-All Pri-1 Release-1-M36 ReleaseBlock-Stable Security_Impact-Stable Security_Severity-High Stability-Memory-AddressSanitizer Type-Bug-Security allpublic</t>
  </si>
  <si>
    <t>use after free in WebCore::ContainerNode::removeChild via Range.deleteContents()</t>
  </si>
  <si>
    <t>M-14 Merge-Merged Merge-Merged-835 OS-All Pri-1 Restrict-AddIssueComment-EditIssue Security_Impact-Stable Security_Severity-High Type-Bug-Security allpublic</t>
  </si>
  <si>
    <t>Stale pointer due to table childs incorrect added</t>
  </si>
  <si>
    <t>M-9 OS-All Pri-1 Restrict-AddIssueComment-EditIssue Reward-1000 Security Security_Impact-Stable Security_Severity-High Type-Bug-Security allpublic</t>
  </si>
  <si>
    <t>Merge http://trac.webkit.org/changeset/85693</t>
  </si>
  <si>
    <t>CVE-2011-2336 M-12 OS-All Pri-1 ReleaseBlock-Stable Restrict-AddIssueComment-EditIssue Security_Impact-Stable Security_Severity-High Type-Bug-Security allpublic</t>
  </si>
  <si>
    <t>Merge webkit.org@48142 to mstone-3</t>
  </si>
  <si>
    <t>M-3 OS-All Pri-1 Restrict-AddIssueComment-EditIssue Security Security_Impact-Stable Security_Severity-High Type-Bug-Security allpublic</t>
  </si>
  <si>
    <t>abarth@chromium.org</t>
  </si>
  <si>
    <t>Heap-buffer-overflow in cff_get_glyph_name</t>
  </si>
  <si>
    <t>Clusterfuzz Hotlist-Merge-Approved M-46 M-47 OS-Linux Pri-1 Release-0-M47 Reproducible Security_Impact-Stable Security_Severity-High Stability-Memory-AddressSanitizer Type-Bug-Security allpublic merge-merged-2526</t>
  </si>
  <si>
    <t>Heap-use-after-free in WebCore::AudioNodeInput::updateInternalBus</t>
  </si>
  <si>
    <t>CVE-2013-0916 M-26 Merge-Merged OS-All Pri-1 Release-0 Reward-1000 Security_Impact-Stable Security_Severity-High Stability-Memory-AddressSanitizer Type-Bug-Security allpublic</t>
  </si>
  <si>
    <t>Merged into 172342</t>
  </si>
  <si>
    <t>alex.pla...@gmail.com</t>
  </si>
  <si>
    <t>Use-after-free in WebCore::RenderTextControl::isSelectableElement</t>
  </si>
  <si>
    <t>CVE-2011-2349 M-12 OS-All Pri-1 ReleaseBlock-Stable Restrict-AddIssueComment-EditIssue Reward-1000 Security_Impact-Stable Security_Severity-High Stability-Memory-DrMemory Type-Bug-Security allpublic</t>
  </si>
  <si>
    <t>Merged into 85418</t>
  </si>
  <si>
    <t>kcc@chromium.org</t>
  </si>
  <si>
    <t>Blink&gt;Canvas Internals&gt;Skia</t>
  </si>
  <si>
    <t>Heap-use-after-free in FT_New_Size</t>
  </si>
  <si>
    <t>CVE-2016-1680 M-50 M-51 Merge-na Release-0-M51 Security_Impact-Stable Security_Severity-High Type-Bug-Security allpublic reward-3000 reward-inprocess</t>
  </si>
  <si>
    <t>Merged into 589848</t>
  </si>
  <si>
    <t>ZDI-CAN-765: CSS Charset Text Transformation Vulnerability</t>
  </si>
  <si>
    <t>M-5 Pri-2 Restrict-AddIssueComment-EditIssue Security Security_Impact-Stable Security_Severity-High Type-Bug-Security allpublic</t>
  </si>
  <si>
    <t>Security: unchecked size in mojo::Channel::Deserialize leads to memory corruption.</t>
  </si>
  <si>
    <t>Hotlist-Merge-Review M-51 M-52 OS-All Release-0-M52 Security_Impact-Stable Security_Severity-High Type-Bug-Security allpublic merge-merged-2743</t>
  </si>
  <si>
    <t>och...@chromium.org</t>
  </si>
  <si>
    <t>Memory corruption with invalid text node cast for edit commands</t>
  </si>
  <si>
    <t>M-5 OS-All Pri-1 Restrict-AddIssueComment-EditIssue Security Security_Impact-Stable Security_Severity-High Type-Bug-Security allpublic cve-2010-1783 reward-500</t>
  </si>
  <si>
    <t>Heap-use-after-free in WebCore::EventTarget::dispatchEvent</t>
  </si>
  <si>
    <t>Clusterfuzz M-27 Merge-Merged OS-All Pri-1 Release-1 Security-Code28 Security_Impact-Stable Security_Severity-High Stability-Memory-AddressSanitizer Type-Bug-Security allpublic</t>
  </si>
  <si>
    <t>ValidityState can hold a stale pointer to control</t>
  </si>
  <si>
    <t>LayoutText::setTextWithOffset() should handle ::first-letter</t>
  </si>
  <si>
    <t>Clusterfuzz M-50 M-51 OS-All Pri-1 Release-0-M51 Reproducible Security_Impact-Stable Security_Severity-High Stability-Memory-AddressSanitizer Type-Bug-Security allpublic</t>
  </si>
  <si>
    <t>Internals&gt;Media&gt;Video</t>
  </si>
  <si>
    <t>Security: Out-of-bounds write in ChunkDemuxer (SAIO box)</t>
  </si>
  <si>
    <t>CVE-2017-5051 Hotlist-Merge-Review M-56 OS-All Pri-1 Security_Impact-Stable Security_Severity-High Type-Bug-Security allpublic merge-merged-2924 reward-3000 reward-inprocess</t>
  </si>
  <si>
    <t>wykcompu...@gmail.com</t>
  </si>
  <si>
    <t>UI&gt;Browser&gt;FullScreen UI&gt;Browser&gt;Navigation</t>
  </si>
  <si>
    <t>Security: RWHI UaF from bad fullscreen widget routing id</t>
  </si>
  <si>
    <t>CVE-2016-1647 Hotlist-Merge-Review M-49 M-50 Merge-Merged-2623 Merge-Merged-master1 OS-All Release-2-M49 Security_Impact-Stable Security_Severity-High Type-Bug-Security allpublic merge-merged-2661 reward-10500 reward-inprocess</t>
  </si>
  <si>
    <t>gzo...@gmail.com</t>
  </si>
  <si>
    <t>Internals&gt;GPU</t>
  </si>
  <si>
    <t>GpuProcessHost: check channel_requests_.empty()</t>
  </si>
  <si>
    <t>IPCFuzz M-27 Merge-Merged Merge-Merged-1453 OS-All Pri-1 Release-0 Security-Code28 Security_Impact-Stable Security_Severity-High Type-Bug-Security allpublic</t>
  </si>
  <si>
    <t>Heap-use-after-free in WebCore::RenderBlock::checkFloatsInCleanLine</t>
  </si>
  <si>
    <t>CVE-2012-3601 Clusterfuzz M-19 Merge-Merged OS-All Pri-1 Security_Impact-Stable Security_Severity-High Stability-Memory-AddressSanitizer Type-Bug-Security allpublic</t>
  </si>
  <si>
    <t>Merged into 126723</t>
  </si>
  <si>
    <t>dominicc@chromium.org</t>
  </si>
  <si>
    <t>Blink Internals&gt;Plugins&gt;PDF</t>
  </si>
  <si>
    <t>PDF-reader tab-crash with editable crash address.</t>
  </si>
  <si>
    <t>M-16 Merge-Merged OS-All Pri-1 Restrict-AddIssueComment-EditIssue Security_Impact-Stable Security_Severity-High Type-Bug-Security allpublic reward-2000</t>
  </si>
  <si>
    <t>Heap-use-after-free in WebCore::TextTrackCue::isActive</t>
  </si>
  <si>
    <t>Merged into 164581</t>
  </si>
  <si>
    <t>Blink&gt;SVG Platform&gt;Extensions</t>
  </si>
  <si>
    <t>Security: CSP does not block svg image in nested iframe</t>
  </si>
  <si>
    <t>CVE-2015-1281 M-43 M-44 Merge-Merged-2403 Needs-Feedback OS-All Owner-Triage Pri-1 Release-0-M44 Reward-1000 Security_Impact-Stable Security_Severity-High Type-Bug-Security allpublic</t>
  </si>
  <si>
    <t>masatoki...@gmail.com</t>
  </si>
  <si>
    <t>Security issue in SVGUseElement::buildShadowTree</t>
  </si>
  <si>
    <t>M-5 OS-All Pri-1 Restrict-AddIssueComment-EditIssue Security Security_Impact-Stable Security_Severity-High Type-Bug-Security allpublic reward-500</t>
  </si>
  <si>
    <t>Parsing issue with -webkit-calc</t>
  </si>
  <si>
    <t>CVE-2011-2347 M-12 OS-All Pri-1 Restrict-AddIssueComment-EditIssue Reward-1000 Security_Impact-Stable Security_Severity-High Type-Bug-Security allpublic</t>
  </si>
  <si>
    <t>Blink&gt;ServiceWorker</t>
  </si>
  <si>
    <t>Serviceworker API interaction with FileSystem API</t>
  </si>
  <si>
    <t>CVE-2015-1207 CVE-2015-1211 M-40 M-41 Merge-Merged-2214 Merge-Merged-2272 OS-All Pri-1 Release-1-M40 Security_Impact-Stable Security_Severity-High Type-Bug reward-ineligible</t>
  </si>
  <si>
    <t>Heap-use-after-free in WebCore::RenderSVGContainer::paint</t>
  </si>
  <si>
    <t>CVE-2012-2824 M-20 Merge-Merged OS-All Pri-1 Restrict-AddIssueComment-EditIssue Reward-1000 Security_Impact-Stable Security_Severity-High Type-Bug-Security allpublic</t>
  </si>
  <si>
    <t>Security</t>
  </si>
  <si>
    <t>Security: General bypass of SRI validation for subresources located on the same origin</t>
  </si>
  <si>
    <t>CVE-2016-1636 Hotlist-Merge-Approved M-48 Merge-Merged-2623 OS-All Pri-1 Release-0-M49 Security_Impact-Stable Security_Severity-High Type-Bug-Security allpublic reward-2000 reward-inprocess</t>
  </si>
  <si>
    <t>ryan@cyph.com</t>
  </si>
  <si>
    <t>Heap-use-after-free in WebCore::Node::containsIncludingHostElements</t>
  </si>
  <si>
    <t>CVE-2013-2922 M-30 Merge-Merged OS-All Pri-1 Release-0 Security_Impact-Stable Security_Severity-High Stability-Memory-AddressSanitizer Type-Bug-Security allpublic merge-merged-1599 reward-2000</t>
  </si>
  <si>
    <t>jonbutle...@gmail.com</t>
  </si>
  <si>
    <t>Security: ProcessManager::GetExtensionForRenderViewHost determines extension ID unsafely</t>
  </si>
  <si>
    <t>M-34 M-35 Merge-Merged-1847 OS-All Pri-1 Release-1-M34 Security_Impact-Stable Security_Severity-High Type-Bug-Security allpublic merge-merged-1916</t>
  </si>
  <si>
    <t>n...@chromium.org</t>
  </si>
  <si>
    <t>Internals&gt;Sandbox&gt;SiteIsolation</t>
  </si>
  <si>
    <t>Security:  Read access violation on same-origin cross-process frames</t>
  </si>
  <si>
    <t>CVE-2016-1661 Hotlist-Merge-Approved Hotlist-Merge-Review M-50 M-51 OS-All Pri-1 Release-2-M50 Security_Impact-Stable Security_Severity-High Type-Bug-Security allpublic merge-merged-2661 merge-merged-2704 reward-3000 reward-inprocess</t>
  </si>
  <si>
    <t>wadih.ma...@gmail.com</t>
  </si>
  <si>
    <t>Merged into 601629</t>
  </si>
  <si>
    <t>Heap-use-after-free in WebCore::V8RecursionScope::didLeaveScriptContext</t>
  </si>
  <si>
    <t>CVE-2011-3077 Clusterfuzz M-18 Merge-Merged OS-All Pri-1 Restrict-AddIssueComment-EditIssue Security_Impact-Stable Security_Severity-High Stability-Memory-AddressSanitizer Type-Bug-Security allpublic</t>
  </si>
  <si>
    <t>Heap-use-after-free in WebCore::RenderLayerModelObject::hasSelfPaintingLayer</t>
  </si>
  <si>
    <t>Clusterfuzz M-32 Merge-na Nag OS-All Pri-1 Security_Impact-Stable Security_Severity-High Stability-Memory-AddressSanitizer Type-Bug-Security allpublic</t>
  </si>
  <si>
    <t>Internals Internals&gt;Skia</t>
  </si>
  <si>
    <t>SkPaint::SkPaint - crash</t>
  </si>
  <si>
    <t>M-22 Merge-Merged OS-All Pri-1 Reward-1000 Security_Impact-Stable Security_Severity-High Type-Bug-Security WebKit-ID-95240-NEW allpublic webkit-id-95152</t>
  </si>
  <si>
    <t>Security: blink::WeekInputType uaf vulnerability</t>
  </si>
  <si>
    <t>CVE-2015-6777 Hotlist-Merge-Approved Hotlist-Merge-Review M-47 Merge-Rejected-46 OS-All Pri-1 Release-0-M47 ReleaseBlock-Beta Security_Impact-Stable Security_Severity-High Stability-Memory-AddressSanitizer Type-Bug-Security allpublic merge-merged-2526 reward-3000 reward-inprocess</t>
  </si>
  <si>
    <t>lvblue...@gmail.com</t>
  </si>
  <si>
    <t>Use after free in table parts.</t>
  </si>
  <si>
    <t>CVE-2012-3633 Clusterfuzz M-16 Merge-Merged OS-All Pri-1 Restrict-AddIssueComment-EditIssue Security_Impact-Stable Security_Severity-High Stability-Memory-AddressSanitizer Type-Bug-Security allpublic</t>
  </si>
  <si>
    <t>Blink&gt;DOM</t>
  </si>
  <si>
    <t>Security: Universal XSS using widget updates in ContainerNode::parserRemoveChild</t>
  </si>
  <si>
    <t>CVE-2016-1630 Hotlist-Merge-Approved M-47 M-48 Merge-merged-2564 Pri-1 Release-0-M49 Security_Impact-Stable Security_Severity-High Type-Bug-Security allpublic reward-8000 reward-inprocess</t>
  </si>
  <si>
    <t>Use-after-poison in blink::CompositorAnimationPlayer::NotifyAnimationStarted</t>
  </si>
  <si>
    <t>CVE-2016-5153 Clusterfuzz External-Fuzzer-Contribution Hotlist-Merge-Review M-53 Merge-Review-52 OS-Linux Pri-1 Release-0-M53 Reproducible Security_Impact-Stable Security_Severity-High Stability-Memory-AddressSanitizer Type-Bug-Security Update-Daily allpublic merge-merged-2785 reward-3500 reward-inprocess reward_to-attekett_at_gmail.com</t>
  </si>
  <si>
    <t>Blink Blink&gt;Layout</t>
  </si>
  <si>
    <t>ASSERTION FAILED: !object || object-&gt;isBox() UNKNOWN in WebCore::RenderBlock::layoutBlockChildren</t>
  </si>
  <si>
    <t>Clusterfuzz M-27 Merge-Merged OS-All Pri-1 Release-0 Security_Impact-Stable Security_Severity-High Stability-Memory-AddressSanitizer Type-Bug-Security allpublic merge-merged-chromium</t>
  </si>
  <si>
    <t>Heap-use-after-free in WebCore::InputType::stepUpFromRenderer</t>
  </si>
  <si>
    <t>CVE-2013-2871 M-28 Merge-Merged OS-All Release-0 Reward-1000 Security-Code28 Security_Impact-Stable Security_Severity-High Stability-Memory-AddressSanitizer Type-Bug-Security allpublic</t>
  </si>
  <si>
    <t>UNKNOWN in TLine::GetMappedCharsInRange</t>
  </si>
  <si>
    <t>Clusterfuzz M-42 Merge-na Nag OS-All Pri-1 Release-NA Security_Impact-Stable Security_Severity-High Stability-Memory-AddressSanitizer Type-Bug-Security allpublic</t>
  </si>
  <si>
    <t>Security: ffmpeg oob write4 (222)</t>
  </si>
  <si>
    <t>CVE-2012-5144 M-23 Merge-Merged-1271 Pri-0 Security_Impact-Stable Security_Severity-High Type-Bug-Security allpublic merge-merged-1312 merge-merged-ffmpeg reward-2000</t>
  </si>
  <si>
    <t>paw...@gmail.com</t>
  </si>
  <si>
    <t>Blink&gt;WebGL Internals</t>
  </si>
  <si>
    <t>Security: webgl - after running out of memory buffer can still be written</t>
  </si>
  <si>
    <t>M-23 Merge-Merged Merge-Merged-1271 OS-Mac Pri-0 Reward-1000 Security_Impact-Stable Security_Severity-High Type-Bug-Security allpublic</t>
  </si>
  <si>
    <t>Mac</t>
  </si>
  <si>
    <t>Blink Blink&gt;SVG Content&gt;Core</t>
  </si>
  <si>
    <t>Heap-use-after-free in WebCore::ContainerNode::appendChild</t>
  </si>
  <si>
    <t>CVE-2011-3035 M-17 Merge-Merged OS-All Pri-1 Restrict-AddIssueComment-EditIssue Security_Impact-Stable Security_Severity-High Stability-Memory-AddressSanitizer Type-Bug-Security allpublic merge-merged-963 reward-2000</t>
  </si>
  <si>
    <t>ax3...@gmail.com</t>
  </si>
  <si>
    <t>Merged into 112212</t>
  </si>
  <si>
    <t>Heap-use-after-free in WebKit::WebFrameImpl::viewImpl</t>
  </si>
  <si>
    <t>CVE-2011-3017 M-17 Merge-Merged OS-All Pri-1 Restrict-AddIssueComment-EditIssue Reward-1000 Security_Impact-Stable Security_Severity-High Stability-Memory-AddressSanitizer Type-Bug-Security allpublic</t>
  </si>
  <si>
    <t>Clusterfuzz M-31 OS-All Pri-1 Release-0-M31 Security_Impact-Stable Security_Severity-High Stability-Memory-AddressSanitizer Type-Bug-Security allpublic</t>
  </si>
  <si>
    <t>Blink Internals&gt;Media</t>
  </si>
  <si>
    <t>Crash in media::FFmpegDemuxer::~FFmpegDemuxer()</t>
  </si>
  <si>
    <t>M-5 OS-All Pri-1 Restrict-AddIssueComment-EditIssue Security Security_Impact-Stable Security_Severity-High Stability-Crash Type-Bug-Security allpublic bulkmove</t>
  </si>
  <si>
    <t>thestig@chromium.org</t>
  </si>
  <si>
    <t>Use after free in HTMLTextFormControlElement::selection()</t>
  </si>
  <si>
    <t>CVE-2011-3243 M-7 Pri-1 ReleaseBlock-Stable Restrict-AddIssueComment-EditIssue Security Security_Impact-Stable Security_Severity-High Stability-Crash Type-Bug-Security allpublic bulkmove reward-500</t>
  </si>
  <si>
    <t>vkouc...@gmail.com</t>
  </si>
  <si>
    <t>Security: use-after-free vulnerability in Adobe flash player</t>
  </si>
  <si>
    <t>M-53 OS-Chrome OS-Linux OS-Mac OS-Windows Pri-1 Security_Impact-Stable Security_Severity-High Type-Bug-Security allpublic reward-3000 reward-inprocess</t>
  </si>
  <si>
    <t>Chrome Linux Mac Windows</t>
  </si>
  <si>
    <t>Security: use-after-free vulnerability in flash player 22.0.0.209</t>
  </si>
  <si>
    <t>UAF due to Document::removePendingSheet re-entering JavaScript during Document cleanup</t>
  </si>
  <si>
    <t>CVE-2012-3708 M-20 Merge-Merged OS-All Pri-1 Security_Impact-Stable Security_Severity-High Type-Bug-Security allpublic</t>
  </si>
  <si>
    <t>Use after free in TreeBuilder</t>
  </si>
  <si>
    <t>CVE-2011-2873 Clusterfuzz M-14 Merge-Merged OS-All Pri-1 Restrict-AddIssueComment-EditIssue Security_Impact-Stable Security_Severity-High Stability-Memory-AddressSanitizer Type-Bug-Security allpublic</t>
  </si>
  <si>
    <t>Heap-use-after-free in content::GpuChannelHost::Send</t>
  </si>
  <si>
    <t>Clusterfuzz M-32 M-33 OS-Android Pri-1 ReleaseBlock-Stable Security_Impact-Stable Security_Severity-High Stability-Memory-AddressSanitizer Type-Bug-Security allpublic</t>
  </si>
  <si>
    <t>Heap-use-after-free in WebCore::RenderObject::absoluteBoundingBoxRect</t>
  </si>
  <si>
    <t>CVE-2012-3688 Clusterfuzz M-20 Merge-Merged OS-All Pri-1 Security_Impact-Stable Security_Severity-High Stability-Memory-AddressSanitizer Type-Bug-Security WebKit-ID-89911 allpublic</t>
  </si>
  <si>
    <t>CVE-2015-6776 Deadline-Exceeded Hotlist-Merge-Approved M-46 M-47 Merge-Merged-2490 Nag OS-All Pri-1 Release-0-M47 Security_Impact-Stable Security_Severity-High Type-Bug-Security Via-Wizard allpublic merge-merged-2526 reward-3000 reward-decline</t>
  </si>
  <si>
    <t>ha...@hboeck.de</t>
  </si>
  <si>
    <t>Merged into 457480</t>
  </si>
  <si>
    <t>wmliang...@gmail.com</t>
  </si>
  <si>
    <t>[MD audit] Stale pointer error when normalizing DOM nodes</t>
  </si>
  <si>
    <t>CVE-2014-1704 Clusterfuzz M-33 OS-All Pri-1 Release-2-M33 Security_Impact-Stable Security_Severity-High Stability-Memory-AddressSanitizer Type-Bug-Security allpublic</t>
  </si>
  <si>
    <t>Use-of-uninitialized-value in aura::Window::GetNativeWindowProperty</t>
  </si>
  <si>
    <t>Clusterfuzz M-39 Merge-Merged-2171 OS-All Pri-1 Release-0-M39 Security_Impact-Stable Security_Severity-High Stability-Memory-MemorySanitizer Type-Bug-Security allpublic</t>
  </si>
  <si>
    <t>Platform&gt;DevTools</t>
  </si>
  <si>
    <t>Security: Devtools loads any URL with remoteBase parameter</t>
  </si>
  <si>
    <t>M-48 Merge-merged-2564 OS-All Pri-1 Release-2-M48 Security_Impact-Stable Security_Severity-High Type-Bug-Security allpublic</t>
  </si>
  <si>
    <t>meacer@google.com</t>
  </si>
  <si>
    <t>Heap-use-after-free in WebCore::RenderText::computePreferredLogicalWidths</t>
  </si>
  <si>
    <t>Clusterfuzz M-24 Merge-Merged OS-All Pri-1 Release-1 Security_Impact-Stable Security_Severity-High Stability-Memory-AddressSanitizer Type-Bug-Security allpublic release-private</t>
  </si>
  <si>
    <t>Internals&gt;Views</t>
  </si>
  <si>
    <t>ViewHostMsg_CreateWindow: next route_id can be taken from the wrong process</t>
  </si>
  <si>
    <t>M-33 Nag OS-All Pri-1 Release-0-M33 Security_Impact-Stable Security_Severity-High Type-Bug-Security allpublic wip</t>
  </si>
  <si>
    <t>Use after free in RenderDeprecatedFlexibleBox::layoutHorizontalBox(bool) [and first-letter]</t>
  </si>
  <si>
    <t>Clusterfuzz M-15 Merge-Merged OS-All Pri-1 Restrict-AddIssueComment-EditIssue Security_Impact-Stable Security_Severity-High Stability-Memory-AddressSanitizer Type-Bug-Security allpublic merge-merged-874</t>
  </si>
  <si>
    <t>Heap-use-after-free in WebCore::MutationObserverRegistration::~MutationObserverRegistration</t>
  </si>
  <si>
    <t>CVE-2013-2883 M-28 Merge-Merged OS-All Release-1 Reward-1000 Security_Impact-Stable Security_Severity-High Stability-Memory-AddressSanitizer Type-Bug-Security allpublic merge-Merged-1547 merge-merged-1500</t>
  </si>
  <si>
    <t>UNKNOWN in v8::internal::FixedArray::get</t>
  </si>
  <si>
    <t>CVE-2013-6668 Clusterfuzz M-33 M-34 Merge-Merged OS-All Pri-1 Release-1-M33 Security_Impact-Stable Security_Severity-High Stability-Memory-AddressSanitizer Type-Bug-Security allpublic</t>
  </si>
  <si>
    <t>UNKNOWN in ogg_calc_pts</t>
  </si>
  <si>
    <t>Clusterfuzz M-22 OS-All Pri-1 Restrict-AddIssueComment-EditIssue Security-CodeYellow Security_Impact-Stable Security_Severity-High Stability-Memory-AddressSanitizer Type-Bug-Security allpublic</t>
  </si>
  <si>
    <t>Freed timer heap element used</t>
  </si>
  <si>
    <t>CVE-2011-2807 M-13 OS-Mac Pri-1 Restrict-AddIssueComment-EditIssue Security Security_Impact-Stable Security_Severity-High Type-Bug-Security allpublic</t>
  </si>
  <si>
    <t>Out of bounds write in PDF with sample function with lots of inputs</t>
  </si>
  <si>
    <t>CVE-2011-3097 M-19 Merge-Merged Pri-2 Restrict-AddIssueComment-EditIssue Security_Impact-Stable Security_Severity-High Type-Bug-Security allpublic</t>
  </si>
  <si>
    <t>Possible Location Bar &amp; SSL Spoofing</t>
  </si>
  <si>
    <t>Chrome: Crash Report - Stack Signature: WebCore::GIFImageDecoder::haveDecodedRow</t>
  </si>
  <si>
    <t>Crash-2.0.156.1 Crash-2.0.157.1 Mstone-2.0 OS-All Pri-1 Restrict-AddIssueComment-Commit Security Security_Impact-Stable Security_Severity-High Stability-Crash Type-Bug-Security allpublic bulkmove stable</t>
  </si>
  <si>
    <t>mberkowitz@chromium.org</t>
  </si>
  <si>
    <t>Heap-use-after-free in WebCore::DynamicNodeList::itemWithName</t>
  </si>
  <si>
    <t>Clusterfuzz M-21 Merge-Merged OS-All Pri-1 Restrict-AddIssueComment-EditIssue Security_Impact-Stable Security_Severity-High Stability-Memory-AddressSanitizer Type-Bug-Security allpublic</t>
  </si>
  <si>
    <t>Merged into 139646</t>
  </si>
  <si>
    <t>ser...@ilinsky.com</t>
  </si>
  <si>
    <t>Pwnium SVG use after free</t>
  </si>
  <si>
    <t>CVE-2012-5112 M-22 Pri-0 Security_Impact-Stable Security_Severity-High Type-Bug-Security allpublic</t>
  </si>
  <si>
    <t>Security: Pwnium 2 TCMalloc profile bug</t>
  </si>
  <si>
    <t>CVE-2012-5112 M-22 Merge-Merged-1271 Pri-0 Security_Impact-Stable Security_Severity-High Type-Bug-Security allpublic merge-merged-1180 merge-merged-1229 merge-merged-1229_92 reward-60000</t>
  </si>
  <si>
    <t>jorgelo@chromium.org</t>
  </si>
  <si>
    <t>use-after-free in ColorChooserDialog::DidCloseDialog</t>
  </si>
  <si>
    <t>CVE-2013-2914 M-30 Merge-Merged OS-Windows Pri-1 Release-0 Reward-1000 Security_Impact-Stable Security_Severity-High Type-Bug-Security allpublic merge-merged-1599</t>
  </si>
  <si>
    <t>Two pages munged together if an anchor is clicked during unload</t>
  </si>
  <si>
    <t>M-3 OS-All Pri-0 Restrict-AddIssueComment-EditIssue Security Security_Impact-Stable Security_Severity-High Size-Medium Type-Bug-Security allpublic</t>
  </si>
  <si>
    <t>darin@chromium.org</t>
  </si>
  <si>
    <t>Crash in v8::internal::StaticMarkingVisitor&lt;v8::internal::IncrementalMarkingMarkingVisito</t>
  </si>
  <si>
    <t>Clusterfuzz M-47 M-48 Merge-na Nag OS-Linux Pri-1 Release-NA Security_Impact-Stable Security_Severity-High Stability-Memory-AddressSanitizer Type-Bug-Security Unreproducible allpublic</t>
  </si>
  <si>
    <t>Stack-buffer-overflow in HB_MyanmarShape</t>
  </si>
  <si>
    <t>CVE-2011-3922 Clusterfuzz M-16 Merge-Merged Merge-Merged-912 OS-All Pri-1 Restrict-AddIssueComment-EditIssue Security_Impact-Stable Security_Severity-High Stability-Memory-AddressSanitizer Type-Bug-Security allpublic merge-merged-963</t>
  </si>
  <si>
    <t>Internals&gt;Plugins&gt;Pepper</t>
  </si>
  <si>
    <t>Security: Universal XSS using Flash message loop</t>
  </si>
  <si>
    <t>CVE-2016-1631 Hotlist-Merge-Approved M-48 Merge-Merged-2623 Nag Pri-1 Release-0-M49 Security_Impact-Stable Security_Severity-High Type-Bug-Security allpublic reward-7500 reward-inprocess</t>
  </si>
  <si>
    <t>Blink&gt;GetUserMedia</t>
  </si>
  <si>
    <t>Heap-use-after-free in content::VideoCaptureController::RemoveClient</t>
  </si>
  <si>
    <t>Clusterfuzz M-47 M-48 Merge-na Nag OS-All Pri-1 Release-0-M48 Reproducible Security_Impact-Stable Security_Severity-High Stability-Memory-AddressSanitizer Type-Bug-Security allpublic</t>
  </si>
  <si>
    <t>Heap-buffer-overflow in fixup_vorbis_headers</t>
  </si>
  <si>
    <t>Clusterfuzz Hotlist-Merge-Review M-50 M-51 OS-Linux Pri-1 Release-0-M51 Reproducible Security_Impact-Stable Security_Severity-High Stability-Libfuzzer Stability-Memory-AddressSanitizer Type-Bug-Security allpublic merge-merged-2704</t>
  </si>
  <si>
    <t>More stale styles in listmarkers</t>
  </si>
  <si>
    <t>CVE-2011-3885 M-15 Merge-Merged OS-All Pri-1 Restrict-AddIssueComment-EditIssue Reward-1000 Security_Impact-Stable Security_Severity-High Stability-Memory-AddressSanitizer Type-Bug-Security allpublic merge-merged-874</t>
  </si>
  <si>
    <t>Blink&gt;Canvas</t>
  </si>
  <si>
    <t>Security: Bad-Casting in ArrayBuffer resulting in Out-Of-Bounds write vulnerability</t>
  </si>
  <si>
    <t>CVE-2016-5209 M-55 OS-All Pri-1 Release-0-M55 Security_Impact-Stable Security_Severity-High Type-Bug-Security allpublic merge-merged-2883 reward-5000 reward-inprocess</t>
  </si>
  <si>
    <t>gogil@stealien.com</t>
  </si>
  <si>
    <t>Heap-use-after-free in WebCore::Node::~Node</t>
  </si>
  <si>
    <t>Clusterfuzz M-22 Merge-Merged OS-All Pri-1 Security_Impact-Stable Security_Severity-High Stability-Memory-AddressSanitizer Type-Bug-Security allpublic</t>
  </si>
  <si>
    <t>UXSS in v8 bindings npCreateV8ScriptObject()</t>
  </si>
  <si>
    <t>M-16 Merge-Merged Merge-Merged-912 Pri-1 Restrict-AddIssueComment-EditIssue Security_Impact-Stable Security_Severity-High Type-Bug-Security allpublic merge-merged-963</t>
  </si>
  <si>
    <t>Chrome: Crash Report -         Stack Signature: WebCore::npObjectNamedGetter&lt;WebCore::V8HTM...</t>
  </si>
  <si>
    <t>CVE-2011-3107 M-19 Merge-Merged OS-All Pri-1 ReleaseBlock-Beta Restrict-AddIssueComment-EditIssue Security_Impact-Stable Security_Severity-High Stability-Crash Type-Bug-Security allpublic</t>
  </si>
  <si>
    <t>dharani@chromium.org</t>
  </si>
  <si>
    <t>Merged into 124625</t>
  </si>
  <si>
    <t>dharani@google.com</t>
  </si>
  <si>
    <t>UNKNOWN in blink::WebSpeechSynthesisVoice::operator</t>
  </si>
  <si>
    <t>Deadline-Exceeded M-43 M-44 Merge-na Nag OS-All Pri-1 Release-0-M44 Security_Impact-Stable Security_Severity-High Stability-Memory-AddressSanitizer Type-Bug-Security allpublic reward-2000</t>
  </si>
  <si>
    <t>ASSERTION FAILED: i &lt; m_len</t>
  </si>
  <si>
    <t>Clusterfuzz Hotlist-Merge-Approved Hotlist-Merge-Review M-51 M-52 OS-Mac Pri-1 Release-3-M51 Reproducible Security_Impact-Stable Security_Severity-High Stability-Memory-AddressSanitizer Type-Bug-Security allpublic merge-merged-2704 merge-merged-2743</t>
  </si>
  <si>
    <t>Heap-use-after-free in WebCore::FrameLoader::stopLoading</t>
  </si>
  <si>
    <t>Blink&gt;Internals</t>
  </si>
  <si>
    <t>Security: Merge general javascript: UXSS fix to beta / stable</t>
  </si>
  <si>
    <t>M-56 OS-All Pri-1 Release-0-M56 Security_Impact-Stable Security_Severity-High Type-Bug-Security allpublic merge-merged-2924</t>
  </si>
  <si>
    <t>Bad cast in RenderView docheightdocwidth calc due to adding non box childs</t>
  </si>
  <si>
    <t>M-7 OS-All Pri-1 ReleaseBlock-Stable Restrict-AddIssueComment-EditIssue Security Security_Impact-Stable Security_Severity-High Type-Bug-Security allpublic</t>
  </si>
  <si>
    <t>Security: Merge bug for pdfium:419</t>
  </si>
  <si>
    <t>M-50 Pri-1 Release-0-M50 Security_Impact-Stable Security_Severity-High Type-Bug-Security allpublic merge-merged-2661</t>
  </si>
  <si>
    <t>Security: Flash Use After Free in TextLine.opaqueBackground</t>
  </si>
  <si>
    <t>M-43 OS-All Pri-1 Security_Impact-Stable Security_Severity-High Type-Bug-Security allpublic reward-ineligible</t>
  </si>
  <si>
    <t>bilouleh...@gmail.com</t>
  </si>
  <si>
    <t>Crash due to bad cast to rendertextfragment in updatefirstletter.</t>
  </si>
  <si>
    <t>ApprovedForMerge CVE-2011-1200 M-10 OS-All Pri-1 Restrict-AddIssueComment-EditIssue Reward-1000 Security Security_Impact-Stable Security_Severity-High Type-Bug-Security allpublic</t>
  </si>
  <si>
    <t>Heap-use-after-free in WebCore::SVGDocumentExtensions::removeAllElementReferencesForTarget</t>
  </si>
  <si>
    <t>CVE-2012-2831 M-20 Merge-Merged OS-All Pri-1 ReleaseBlock-Stable Restrict-AddIssueComment-EditIssue Reward-1000 Security_Impact-Stable Security_Severity-High Stability-Memory-AddressSanitizer Type-Bug-Security WebKit-ID-88144 allpublic</t>
  </si>
  <si>
    <t>Use after free in WebCore::ContainerNode::insertedIntoDocument / WebCore::SVGElement::insertedIntoDocument</t>
  </si>
  <si>
    <t>CVE-2011-1461 M-11 OS-All Pri-1 ReleaseBlock-Stable Restrict-AddIssueComment-EditIssue Security_Impact-Stable Security_Severity-High Type-Bug-Security allpublic</t>
  </si>
  <si>
    <t>Blink&gt;CSS</t>
  </si>
  <si>
    <t>ASSERT: Bad cast from CSSInitialValue to CSSValueList. UNKNOWN in WebCore::CSSValue::isCFCSSValueList</t>
  </si>
  <si>
    <t>OS&gt;Packages</t>
  </si>
  <si>
    <t>FreeType : pick up post-2.6.1 patches (or 2.6.2 when it's out)</t>
  </si>
  <si>
    <t>Hotlist-Merge-Review M-47 M-48 Merge-merged-2564 OS-Android OS-Chrome Pri-1 Release-0-M48 Security_Impact-Stable Security_Severity-High Type-Bug-Security allpublic merge-merged-release-R48-7647.B</t>
  </si>
  <si>
    <t>Android Chrome</t>
  </si>
  <si>
    <t>js...@chromium.org</t>
  </si>
  <si>
    <t>UI&gt;Browser&gt;Omnibox</t>
  </si>
  <si>
    <t>Security: unicode character can create phishing-friendly address bar</t>
  </si>
  <si>
    <t>CVE-2014-1723 M-34 Merge-Merged-1847 OS-All Pri-1 Release-0-M34 Security_Impact-Stable Security_Severity-High Team-Security-UX Type-Bug-Security allpublic reward-1500</t>
  </si>
  <si>
    <t>george.m...@gmail.com</t>
  </si>
  <si>
    <t>Merged into 337746</t>
  </si>
  <si>
    <t>valievka...@gmail.com</t>
  </si>
  <si>
    <t>a...@google.com</t>
  </si>
  <si>
    <t>Merged into 265346</t>
  </si>
  <si>
    <t>vij...@gmail.com</t>
  </si>
  <si>
    <t>Merged into 86484</t>
  </si>
  <si>
    <t>bzugme...@gmail.com</t>
  </si>
  <si>
    <t>beh...@gmail.com</t>
  </si>
  <si>
    <t>Blink Internals Internals&gt;Plugins</t>
  </si>
  <si>
    <t>Crash in ContainerNodeAlgorithms.h with outdated ice-tea plugin</t>
  </si>
  <si>
    <t>M-9 Pri-1 Restrict-AddIssueComment-EditIssue Reward-1000 Security Security_Impact-Stable Security_Severity-High Type-Bug-Security allpublic</t>
  </si>
  <si>
    <t>Merged into 72437</t>
  </si>
  <si>
    <t>willchan@chromium.org</t>
  </si>
  <si>
    <t>PDF: bad free in JBIG2 PDF decoder</t>
  </si>
  <si>
    <t>CVE-2013-2864 M-27 Merge-Merged OS-All Release-1 Security_Impact-Stable Security_Severity-High Type-Bug-Security allpublic reward-ineligible</t>
  </si>
  <si>
    <t>Blink&gt;Storage&gt;IndexedDB</t>
  </si>
  <si>
    <t>IndexedDB: Replace passing identically-sized vectors through IPC with passing pairs/tuples</t>
  </si>
  <si>
    <t>M-33 Merge-merged-1750 OS-All Pri-1 Release-0-M33 Security_Impact-Stable Security_Severity-High Type-Bug-Security allpublic</t>
  </si>
  <si>
    <t>jsb...@chromium.org</t>
  </si>
  <si>
    <t>Heap-use-after-free in WebCore::TargetListener::handleEvent [Stale target]</t>
  </si>
  <si>
    <t>Clusterfuzz M-22 OS-All Pri-1 Restrict-AddIssueComment-EditIssue Security-CodeYellow Security_Impact-Stable Security_Severity-High Stability-Memory-AddressSanitizer Type-Bug-Security WebKit-ID-93004 allpublic</t>
  </si>
  <si>
    <t>Security: Flash AS2 Use After Free in TextField.filters</t>
  </si>
  <si>
    <t>CVE-2015-0358 M-40 Pri-1 Security_Impact-Stable Security_Severity-High Type-Bug-Security allpublic reward-5000</t>
  </si>
  <si>
    <t>Security: [FG-VD-16-084] Adobe Flash Player Handing MP4 Memory Corruption Vulnerability</t>
  </si>
  <si>
    <t>M-X OS-Windows Pri-1 Security_Impact-Stable Security_Severity-High Type-Bug-Security allpublic reward-500 reward-inprocess</t>
  </si>
  <si>
    <t>kevinlu0...@gmail.com</t>
  </si>
  <si>
    <t>Verify cross-origin push fails under SPDY</t>
  </si>
  <si>
    <t>M-8 OS-All Pri-1 ReleaseBlock-Stable Restrict-AddIssueComment-EditIssue SPDY Security Security_Impact-Stable Security_Severity-High Type-Bug-Security allpublic</t>
  </si>
  <si>
    <t>mbelshe@chromium.org</t>
  </si>
  <si>
    <t>Use after free in SVG path</t>
  </si>
  <si>
    <t>CVE-2013-0882 M-25 Merge-Merged OS-All Pri-1 Release-0 Security_Impact-Stable Security_Severity-High Type-Bug-Security allpublic reward-500</t>
  </si>
  <si>
    <t>hodovan....@gmail.com</t>
  </si>
  <si>
    <t>Heap-use-after-free in WebCore::FontCache::purgeInactiveFontData</t>
  </si>
  <si>
    <t>Clusterfuzz M-24 Merge-Merged OS-All Pri-1 Release-0 Security_Impact-Stable Security_Severity-High Stability-Memory-AddressSanitizer Type-Bug-Security allpublic release-private</t>
  </si>
  <si>
    <t>Remove references to unloadEvent in runtime_custom_bindings.js</t>
  </si>
  <si>
    <t>Hotlist-Merge-Review Merge-Merged-2490 OS-All Pri-2 Release-NA Security_Impact-Stable Security_Severity-High Type-Bug-Security allpublic</t>
  </si>
  <si>
    <t>Internals&gt;Mojo Platform&gt;Extensions</t>
  </si>
  <si>
    <t>Remove stash_client.js dependency on unload_event</t>
  </si>
  <si>
    <t>Hotlist-Merge-Approved Hotlist-Merge-Review M-48 Merge-Merged-2490 OS-All Pri-1 Release-NA Security_Impact-Stable Security_Severity-High Type-Bug-Security allpublic merge-merged-2526</t>
  </si>
  <si>
    <t>Use-after-free in WebCore::isDeletableElement</t>
  </si>
  <si>
    <t>CVE-2011-1462 M-11 OS-All Pri-1 Restrict-AddIssueComment-EditIssue Security_Impact-Stable Security_Severity-High Type-Bug-Security allpublic</t>
  </si>
  <si>
    <t>Blink&gt;Forms Blink&gt;HTML Blink&gt;Media&gt;Controls</t>
  </si>
  <si>
    <t>Security: Debugger API exposes UA shadow trees and can cause bad-casts</t>
  </si>
  <si>
    <t>M-56 M-57 OS-All Pri-1 Release-0-M56 Security_Impact-Stable Security_Severity-High Type-Bug-Security allpublic merge-merged-2924</t>
  </si>
  <si>
    <t>tkent@chromium.org</t>
  </si>
  <si>
    <t>Stale font accessed in WebCore::GlyphPage::glyphDataForCharacter</t>
  </si>
  <si>
    <t>M-8 OS-All Pri-1 ReleaseBlock-Stable Restrict-AddIssueComment-EditIssue Security Security_Impact-Stable Security_Severity-High Type-Bug-Security allpublic</t>
  </si>
  <si>
    <t>Blink&gt;Editing Blink&gt;Layout</t>
  </si>
  <si>
    <t>ASSERTION FAILED: positionOffset &lt;= node-&gt;length()</t>
  </si>
  <si>
    <t>Deadline-Exceeded M-40 M-41 OS-All Pri-1 Release-0-M41 Reward-1000 Security_Impact-Stable Security_Severity-High Type-Bug-Security allpublic merge-merged-2272 reward-inprocess</t>
  </si>
  <si>
    <t>rhodovan...@partner.samsung.com</t>
  </si>
  <si>
    <t>Merged into 383777</t>
  </si>
  <si>
    <t>saif.els...@gmail.com</t>
  </si>
  <si>
    <t>Internals&gt;Core</t>
  </si>
  <si>
    <t>Heap-use-after-free in content::NavigatorImpl::NavigateToEntry</t>
  </si>
  <si>
    <t>Clusterfuzz M-33 M-34 Merge-Merged Merge-Merged-1847 Merge-merged-1750 OS-All Pri-0 Release-1-M33 Security_Impact-Stable Security_Severity-High Stability-Memory-AddressSanitizer Type-Bug-Security allpublic</t>
  </si>
  <si>
    <t>Blink&gt;JavaScript Infra&gt;Client&gt;V8</t>
  </si>
  <si>
    <t>MIPS trampoline pool emission seems to be wrong sometimes</t>
  </si>
  <si>
    <t>Arch-MIPS M-44 OS-All Pri-1 Release-0-M44 Security_Impact-Stable Security_Severity-High Type-Bug-Security allpublic merge-merged-4.4 merge-merged-4.5</t>
  </si>
  <si>
    <t>hablich@chromium.org</t>
  </si>
  <si>
    <t>sandbox escape using ppapi broker</t>
  </si>
  <si>
    <t>CVE-2016-1706 Hotlist-Merge-Review M-52 OS-Mac Pri-1 Release-0-M52 Security_Impact-Stable Security_Severity-High Type-Bug-Security Via-Wizard allpublic merge-merged-2743 reward-15000 reward-inprocess</t>
  </si>
  <si>
    <t>70696e6b...@gmail.com</t>
  </si>
  <si>
    <t>Use-after-free: LabelsNodeList isn't updated properly after its owner node is adopted into a new document</t>
  </si>
  <si>
    <t>M-21 Merge-Merged OS-All Pri-1 Restrict-AddIssueComment-EditIssue Security_Impact-Stable Security_Severity-High Type-Bug-Security allpublic</t>
  </si>
  <si>
    <t>rniwa@chromium.org</t>
  </si>
  <si>
    <t>Stale iterator in SVGDocumentExtensions::startAnimations()</t>
  </si>
  <si>
    <t>Use-of-uninitialized-value in blink::FloatingObject::unsafeClone</t>
  </si>
  <si>
    <t>Clusterfuzz Deadline-Exceeded M-55 Merge-na OS-Linux Pri-1 Release-0-M55 Reproducible Security_Impact-Stable Security_Severity-High Stability-Memory-MemorySanitizer Type-Bug-Security allpublic merge-merged-2883</t>
  </si>
  <si>
    <t>Use after free in SVGUseElement::invalidateShadowTree / SVGElementInstance::invalidateAllInstancesOfElement</t>
  </si>
  <si>
    <t>CVE-2011-2816 M-13 OS-All Pri-1 Restrict-AddIssueComment-EditIssue Security_Impact-Stable Security_Severity-High Type-Bug-Security allpublic</t>
  </si>
  <si>
    <t>ASSERTION FAILED: !renderer-&gt;needsLayout() Heap-use-after-free in WebCore::RenderBlock::LineBreaker::nextSegmentBreak</t>
  </si>
  <si>
    <t>Clusterfuzz M-31 Nag OS-All Pri-1 Release-0-M31 Security_Impact-Stable Security_Severity-High Stability-Memory-AddressSanitizer Type-Bug-Security allpublic merge-merged-1650</t>
  </si>
  <si>
    <t>Heap-buffer-overflow in opj_tcd_init_decode_tile</t>
  </si>
  <si>
    <t>Clusterfuzz Merge-Merged OS-All Pri-1 Release-0-M40 Security_Impact-Stable Security_Severity-High Stability-Memory-AddressSanitizer Type-Bug-Security allpublic</t>
  </si>
  <si>
    <t>Heap-buffer-overflow in opj_stream_read_data</t>
  </si>
  <si>
    <t>Clusterfuzz M-39 Merge-Merged OS-All Pri-1 Release-0-M39 Security_Impact-Stable Security_Severity-High Stability-Memory-AddressSanitizer Type-Bug-Security allpublic</t>
  </si>
  <si>
    <t>Blink&gt;DOM Platform&gt;Extensions</t>
  </si>
  <si>
    <t>Security: Universal XSS via the unload_event module</t>
  </si>
  <si>
    <t>CVE-2015-6769 Deadline-Exceeded M-47 M-48 Merge-na OS-All Pri-1 Release-0-M47 Security_Impact-Stable Security_Severity-High Type-Bug-Security allpublic reward-7500 reward-inprocess</t>
  </si>
  <si>
    <t>Security: Crash in requestAnimationFrame when removing a frame</t>
  </si>
  <si>
    <t>CVE-2011-3921 M-16 Merge-Merged Merge-Merged-912 OS-All Pri-1 Restrict-AddIssueComment-EditIssue Reward-1000 Security_Impact-Stable Security_Severity-High Type-Bug-Security allpublic merge-merged-963</t>
  </si>
  <si>
    <t>Heap-use-after-free in WebCore::Document::dispose</t>
  </si>
  <si>
    <t>CVE-2013-2884 Hotlist-SyzyASAN M-28 Merge-Merged OS-Windows Pri-1 Release-1 Security_Impact-Stable Security_Severity-High Type-Bug-Security WinFuzz allpublic merge-merged-1500</t>
  </si>
  <si>
    <t>wfh@chromium.org</t>
  </si>
  <si>
    <t>Blink&gt;WebAudio</t>
  </si>
  <si>
    <t>Heap-use-after-free in rdft_calc_c</t>
  </si>
  <si>
    <t>Clusterfuzz M-40 Merge-merged-2214 OS-All Pri-1 Release-0-M40 Security_Impact-Stable Security_Severity-High Stability-Memory-AddressSanitizer Type-Bug-Security allpublic</t>
  </si>
  <si>
    <t>Heap-use-after-free in WebCore::VisibleSelection::rootEditableElement</t>
  </si>
  <si>
    <t>CVE-2012-3622 Clusterfuzz M-20 Merge-Merged OS-All Pri-1 Security_Impact-Stable Security_Severity-High Stability-Memory-AddressSanitizer Type-Bug-Security allpublic</t>
  </si>
  <si>
    <t>Stale pointer in CSSFontFaceSource::m_svgFontFaceElement</t>
  </si>
  <si>
    <t>Blink&gt;Storage&gt;IndexedDB Content</t>
  </si>
  <si>
    <t>Heap-use-after-free in WebCore::IDBDatabase::transactionFinished</t>
  </si>
  <si>
    <t>ASSERTION FAILED: hasRareData() UNKNOWN in WebCore::Node::rareData</t>
  </si>
  <si>
    <t>Bad-cast to blink::LayoutBlock from blink::LayoutTableRow;LayoutBlock.h:515:1</t>
  </si>
  <si>
    <t>Clusterfuzz M-51 Merge-na OS-Linux Pri-1 Release-0-M51 Reproducible Security_Impact-Stable Security_Severity-High Type-Bug-Security allpublic</t>
  </si>
  <si>
    <t>Stale pointer in WebCore::LayerRendererChromium::drawLayer</t>
  </si>
  <si>
    <t>CVE-2011-1443 M-11 OS-All Pri-1 ReleaseBlock-Stable Restrict-AddIssueComment-EditIssue Reward-1000 Security Security_Impact-Stable Security_Severity-High Type-Bug-Security allpublic</t>
  </si>
  <si>
    <t>Clusterfuzz M-28 Merge-Merged OS-All Pri-1 Release-0 Security-Code28 Security_Impact-Stable Security_Severity-High Stability-Memory-AddressSanitizer Type-Bug-Security allpublic</t>
  </si>
  <si>
    <t>Merged into 167924</t>
  </si>
  <si>
    <t>Crash by clicking the time field of maps.google.com</t>
  </si>
  <si>
    <t>M-17 Merge-Merged Needs-Reduction OS-All Pri-1 Restrict-AddIssueComment-EditIssue Security_Impact-Stable Security_Severity-High Stability-Crash Type-Bug-Security allpublic</t>
  </si>
  <si>
    <t>Merged into 114144</t>
  </si>
  <si>
    <t>yuhongba...@hotmail.com</t>
  </si>
  <si>
    <t>kenjibaheux@chromium.org</t>
  </si>
  <si>
    <t>kareng@google.com</t>
  </si>
  <si>
    <t>Merged into 113329</t>
  </si>
  <si>
    <t>kcom...@gmail.com</t>
  </si>
  <si>
    <t>rayanna@chromium.org</t>
  </si>
  <si>
    <t>window.open() Method Javascript Same-Origin Policy Violation</t>
  </si>
  <si>
    <t>Area-MISC OS-All Pri-0 Restrict-AddIssueComment-Commit Reward-1000 Security Security_Impact-Stable Security_Severity-High Type-Bug-Security allpublic</t>
  </si>
  <si>
    <t>tokuji.a...@gmail.com</t>
  </si>
  <si>
    <t>Security: Universal XSS using an intercepted native function</t>
  </si>
  <si>
    <t>CVE-2016-1672 Hotlist-Merge-Approved Hotlist-Merge-Review M-51 Merge-Merged-master1 OS-All Pri-1 Release-0-M51 Security_Impact-Stable Security_Severity-High Type-Bug-Security allpublic merge-merged-2704 reward-7500 reward-inprocess</t>
  </si>
  <si>
    <t>Heap-use-after-free in WebCore::HTMLFormElement::submit</t>
  </si>
  <si>
    <t>CVE-2013-2927 Hotlist-Webkit M-31 Release-1-M30 Security_Impact-Stable Security_Severity-High Stability-Memory-AddressSanitizer Type-Bug-Security allpublic merge-merged-1599 merge-merged-1650 reward-2000</t>
  </si>
  <si>
    <t>Heap-buffer-overflow in CPDF_LabCS::GetDefaultValue</t>
  </si>
  <si>
    <t>Heap-buffer-overflow in opj_t1_decode_cblks</t>
  </si>
  <si>
    <t>Clusterfuzz M-40 Merge-Merged Merge-merged-2214 OS-All Pri-1 Release-0-M40 Security_Impact-Stable Security_Severity-High Stability-Memory-AddressSanitizer Type-Bug-Security allpublic</t>
  </si>
  <si>
    <t>Blink&gt;Bindings Content&gt;Core</t>
  </si>
  <si>
    <t>Security: V8ValueConverter::ToV8Value is insecure (e.g. heap-use-after-free in MimeHandlerViewContainer::PostMessage</t>
  </si>
  <si>
    <t>CVE-2016-1679 Hotlist-Merge-Approved Hotlist-Merge-Review M-50 M-51 OS-All Pri-1 Release-0-M51 Security_Impact-Stable Security_Severity-High Type-Bug-Security allpublic merge-merged-2661 merge-merged-2704 reward-3500 reward-inprocess</t>
  </si>
  <si>
    <t>Stale pointer in SVGImage</t>
  </si>
  <si>
    <t>CVE-2011-1793 M-11 OS-All Pri-1 ReleaseBlock-Stable Restrict-AddIssueComment-EditIssue Security Security_Impact-Stable Security_Severity-High Type-Bug-Security allpublic</t>
  </si>
  <si>
    <t>Heap-buffer-overflow in SkData::NewUninitialized</t>
  </si>
  <si>
    <t>Clusterfuzz M-43 M-44 Merge-Merged OS-All Pri-1 Release-2-M44 ReleaseBlock-Stable Security_Impact-Stable Security_Severity-High Stability-Memory-AddressSanitizer Type-Bug-Security allpublic reward-5000 reward-inprocess reward_to-cloudfuzzer_at_gmail.com</t>
  </si>
  <si>
    <t>Use after free in scroll bar layout</t>
  </si>
  <si>
    <t>HasTestcase M-5 OS-All Pri-1 Restrict-AddIssueComment-EditIssue Security Security_Impact-Stable Security_Severity-High Type-Bug-Security allpublic</t>
  </si>
  <si>
    <t>rohi...@chromium.org</t>
  </si>
  <si>
    <t>UNKNOWN in TcmapEncodingTable::GetSubtableAtIndex</t>
  </si>
  <si>
    <t>CVE-2014-7938 Clusterfuzz Deadline-Exceeded External-Fuzzer-Contribution M-40 OS-All Pri-1 Release-0-M40 Reward-1000 Security_Impact-Stable Security_Severity-High Stability-Memory-AddressSanitizer Type-Bug-Security allpublic</t>
  </si>
  <si>
    <t>Stack buffer overflow in character range parsing</t>
  </si>
  <si>
    <t>CVE-2011-3110 M-19 Merge-Merged OS-All Pri-0 Restrict-AddIssueComment-EditIssue Security_Impact-Stable Security_Severity-High Type-Bug-Security allpublic</t>
  </si>
  <si>
    <t>Multiple Windows Kernel Crashes in Font Parsing</t>
  </si>
  <si>
    <t>CVE-2015-0059 CVE-2015-0060 M-40 M-41 M-42 Merge-na Nag OS-Windows Pri-1 Release-NA Security_Impact-Stable Security_Severity-High Type-Bug-Security Via-Wizard allpublic reward-6500</t>
  </si>
  <si>
    <t>dar...@gmail.com</t>
  </si>
  <si>
    <t>Blink&gt;Speech Internals&gt;Media&gt;UI</t>
  </si>
  <si>
    <t>use-after-free - speech API and window.close() ::SpeechRecognitionBubbleView::GetAnchorRect+0x23</t>
  </si>
  <si>
    <t>M-30 Nag OS-Linux OS-Windows Pri-1 Reward-1000 Security_Impact-Stable Security_Severity-High Type-Bug-Security allpublic</t>
  </si>
  <si>
    <t>Linux Windows</t>
  </si>
  <si>
    <t>Heap-use-after-free in WebCore::RenderButton::removeChild</t>
  </si>
  <si>
    <t>CVE-2012-1520 Clusterfuzz M-17 Merge-Merged OS-All Pri-1 Restrict-AddIssueComment-EditIssue Security_Impact-Stable Security_Severity-High Stability-Memory-AddressSanitizer Type-Bug-Security allpublic</t>
  </si>
  <si>
    <t>Security: Use After Free in Flash MessageChannel.send()</t>
  </si>
  <si>
    <t>CVE-2015-0320 M-40 Merge-na OS-All Pri-1 Security_Impact-Stable Security_Severity-High Type-Bug-Security allpublic reward-5000</t>
  </si>
  <si>
    <t>Security: JSON.stringify does not do cross context check.</t>
  </si>
  <si>
    <t>M-28 Merge-Merged OS-All Pri-1 Release-1 Security_Impact-Stable Security_Severity-High Type-Bug-Security allpublic</t>
  </si>
  <si>
    <t>yangguo@chromium.org</t>
  </si>
  <si>
    <t>Use after free due to continuation splitting issues in -webkit-column-span</t>
  </si>
  <si>
    <t>CVE-2011-2868 Clusterfuzz M-14 OS-All Pri-1 ReleaseBlock-Stable Restrict-AddIssueComment-EditIssue Security_Impact-Stable Security_Severity-High Stability-Memory-AddressSanitizer Type-Bug-Security allpublic</t>
  </si>
  <si>
    <t>Mitigate stale layout root bugs</t>
  </si>
  <si>
    <t>Hotlist-Webkit M-17 Merge-Merged OS-All Pri-1 Restrict-AddIssueComment-EditIssue Security_Impact-Stable Security_Severity-High Type-Bug-Security allpublic</t>
  </si>
  <si>
    <t>Merged into 116405</t>
  </si>
  <si>
    <t>Merged into 107489</t>
  </si>
  <si>
    <t>Heap-use-after-free in void WebCore::ImageDecodingStore::insertCacheInternal&lt;WebCore::ImageDecodingStore::ImageCacheEntry</t>
  </si>
  <si>
    <t>Clusterfuzz External-Fuzzer-Contribution M-35 M-36 Merge-merged-1985 OS-All Pri-1 Release-0-M36 ReleaseBlock-Stable Security_Impact-Stable Security_Severity-High Stability-Memory-AddressSanitizer Type-Bug-Security allpublic reward-ineligible</t>
  </si>
  <si>
    <t>Blink&gt;WebRTC</t>
  </si>
  <si>
    <t>Heap-use-after-free in blink::UserMediaRequest::start</t>
  </si>
  <si>
    <t>Clusterfuzz M-43 M-44 Merge-na Nag OS-All Pri-1 Security_Impact-Stable Security_Severity-High Stability-Memory-AddressSanitizer Type-Bug-Security allpublic</t>
  </si>
  <si>
    <t>Bad-cast to util from Document;JS_Define.h:165:13</t>
  </si>
  <si>
    <t>CVE-2015-6775 Clusterfuzz External-Fuzzer-Contribution M-47 Merge-Rejected-46 OS-Linux Pri-1 Release-0-M47 Reproducible Security_Impact-Stable Security_Severity-High Type-Bug-Security allpublic merge-merged-2526 reward-3500</t>
  </si>
  <si>
    <t>Heap-based buffer overflow in Flash PCRE regex engine</t>
  </si>
  <si>
    <t>CVE-2015-0309 M-39 M-40 M-41 Merge-na OS-All Pri-1 Release-2-M40 Security_Impact-Stable Security_Severity-High Type-Bug-Security allpublic reward-3000</t>
  </si>
  <si>
    <t>yangding...@gmail.com</t>
  </si>
  <si>
    <t>Security: Possible for renderer process to read arbitrary files by tricking session restore</t>
  </si>
  <si>
    <t>M-28 Merge-Merged OS-All Pri-2 Release-0 Security-Code28 Security_Impact-Stable Security_Severity-High Type-Bug-Security allpublic</t>
  </si>
  <si>
    <t>Heap-use-after-free in WebCore::SVGImage::setContainerSize</t>
  </si>
  <si>
    <t>CVE-2013-6663 Hotlist-Webkit M-33 M-34 Merge-Merged-1847 Merge-merged-1750 OS-All Owner-Triage Pri-1 Release-1-M33 ReleaseBlock-Stable Reward-1000 Security_Impact-Stable Security_Severity-High Type-Bug-Security allpublic merge-merged-1862</t>
  </si>
  <si>
    <t>Internals Internals&gt;WebRTC</t>
  </si>
  <si>
    <t>Heap-use-after-free in cricket::TransportChannelProxy::SetImplementation</t>
  </si>
  <si>
    <t>Blink Blink&gt;JavaScript Internals</t>
  </si>
  <si>
    <t>Crash in v8::internal::SlotsBuffer::UpdateSlotsRecordedIn</t>
  </si>
  <si>
    <t>M-25 Pri-1 Security_Impact-Stable Security_Severity-High Type-Bug-Security allpublic reward-ineligible</t>
  </si>
  <si>
    <t>Heap-use-after-free in WebCore::RenderTextFragment::willBeDestroyed</t>
  </si>
  <si>
    <t>CVE-2012-3639 M-16 Merge-Merged Merge-Merged-912 OS-All Pri-1 Restrict-AddIssueComment-EditIssue Security_Impact-Stable Security_Severity-High Stability-Memory-AddressSanitizer Stability-Valgrind Type-Bug-Security WebKit-ID-74009 allpublic merge-merged-963</t>
  </si>
  <si>
    <t>Blink&gt;Loader Blink&gt;Network&gt;XHR Blink&gt;SecurityFeature</t>
  </si>
  <si>
    <t>Security: bypass CORS check by returning 304 from URL that previously returned 308 during revalidation from MemoryCache</t>
  </si>
  <si>
    <t>Hotlist-Merge-Approved M-51 M-52 Pri-1 Release-0-M52 Security_Impact-Stable Security_Severity-High Type-Bug-Security allpublic merge-merged-2743</t>
  </si>
  <si>
    <t>hirosh...@chromium.org</t>
  </si>
  <si>
    <t>ASSERTION FAILED: !object || (object-&gt;isListBox()) UNKNOWN in WebCore::HTMLSelectElement::listBoxDefaultEventHandler</t>
  </si>
  <si>
    <t>CVE-2014-1731 Hotlist-Webkit Launch-Status-WIP M-34 Merge-Merged-1847 Nag OS-All Pri-1 Release-1-M34 Security_Impact-Stable Security_Severity-High Stability-Memory-AddressSanitizer Type-Bug-Security allpublic merge-merged-1916 reward-1500</t>
  </si>
  <si>
    <t>jbutler@chromium.org</t>
  </si>
  <si>
    <t>Security: Cross-site read access to PDF files</t>
  </si>
  <si>
    <t>CVE-2015-1302 Hotlist-Merge-Approved Hotlist-Merge-Review M-45 M-46 Merge-Merged-2454 Merge-Merged-2490 OS-Chrome OS-Linux OS-Mac OS-Windows Pri-1 Release-2-M46 Security_Impact-Stable Security_Severity-High Type-Bug-Security VerifyIn-50 allpublic reward-4000</t>
  </si>
  <si>
    <t>Blink&gt;Workers</t>
  </si>
  <si>
    <t>Security: UAF with Blob creation and Shared Workers</t>
  </si>
  <si>
    <t>CVE-2014-3194 M-38 Merge-merged-2125 Nag OS-All Pri-1 Release-0-M38 Security_Impact-Stable Security_Severity-High Type-Bug-Security allpublic reward-1500</t>
  </si>
  <si>
    <t>therealh...@gmail.com</t>
  </si>
  <si>
    <t>Google Chrome Focus Handling Use-after-free Vulnerability</t>
  </si>
  <si>
    <t>M-6 OS-All Pri-1 Restrict-AddIssueComment-EditIssue Security Security_Impact-Stable Security_Severity-High Type-Bug-Security allpublic</t>
  </si>
  <si>
    <t>adammein@google.com</t>
  </si>
  <si>
    <t>Arbitrary cross-origin bypass using SyntaxError and Number prototype overrides</t>
  </si>
  <si>
    <t>CVE-2011-1193 M-10 Pri-1 Restrict-AddIssueComment-EditIssue Reward-1337 Security Security_Impact-Stable Security_Severity-High Type-Bug-Security allpublic</t>
  </si>
  <si>
    <t>ASSERTION FAILED: !value || (value-&gt;isPrimitiveValue()) UNKNOWN in WebCore::StyleBuilderFunctions::applyValueCSSPropertyFontVariant</t>
  </si>
  <si>
    <t>Clusterfuzz M-36 Merge-Merged Merge-merged-1985 OS-Android Pri-1 Release-0-M36 Security_Impact-Stable Security_Severity-High Stability-Memory-AddressSanitizer Type-Bug-Security allpublic</t>
  </si>
  <si>
    <t>Chrome/chromium crash in Skia (memset) due to excessive stroke</t>
  </si>
  <si>
    <t>Area-MISC OS-Linux Pri-1 Restrict-AddIssueComment-Commit Security Security_Impact-Stable Security_Severity-High Type-Bug-Security allpublic reward-topanel</t>
  </si>
  <si>
    <t>robert.s...@gmail.com</t>
  </si>
  <si>
    <t>Heap-use-after-free in blink::FrameView::scheduleRelayout</t>
  </si>
  <si>
    <t>Clusterfuzz M-39 M-40 Merge-na Nag OS-All Pri-1 Release-0-M40 Security_Impact-Stable Security_Severity-High Stability-Memory-AddressSanitizer Type-Bug-Security allpublic</t>
  </si>
  <si>
    <t>Security: Heap-buffer-underflow in xmlParseAttValueComplex</t>
  </si>
  <si>
    <t>M-23 Merge-Merged Merge-Merged-1271 Pri-1 Security_Impact-Stable Security_Severity-High Type-Bug-Security allpublic merge-merged-1312</t>
  </si>
  <si>
    <t>Heap-use-after-free in WebCore::InsertParagraphSeparatorCommand::doApply</t>
  </si>
  <si>
    <t>CVE-2012-3624 Clusterfuzz M-20 Merge-Merged OS-All Pri-1 Security_Impact-Stable Security_Severity-High Stability-Memory-AddressSanitizer Type-Bug-Security allpublic</t>
  </si>
  <si>
    <t>UNKNOWN in v8::internal::Invoke</t>
  </si>
  <si>
    <t>Clusterfuzz M-36 Merge-Merged OS-All Pri-1 Release-1-M36 Security_Impact-Stable Security_Severity-High Stability-Memory-AddressSanitizer Type-Bug-Security allpublic</t>
  </si>
  <si>
    <t>Heap-buffer-overflow in WebCore::InlineFlowBox::addToLine</t>
  </si>
  <si>
    <t>Clusterfuzz M-17 Merge-Merged OS-All Pri-1 ReleaseBlock-Stable Restrict-AddIssueComment-EditIssue Security_Impact-Stable Security_Severity-High Stability-Memory-AddressSanitizer Type-Bug-Security allpublic</t>
  </si>
  <si>
    <t>CVE-2012-3593 M-17 Merge-Merged OS-All Pri-1 Restrict-AddIssueComment-EditIssue Security_Impact-Stable Security_Severity-High Type-Bug-Security allpublic merge-merged-963</t>
  </si>
  <si>
    <t>Memory corruption with styled font-face</t>
  </si>
  <si>
    <t>M-8 OS-All Pri-1 ReleaseBlock-Beta Restrict-AddIssueComment-EditIssue Security Security_Impact-Stable Security_Severity-High Type-Bug-Security allpublic</t>
  </si>
  <si>
    <t>Security: Pwn2Own mobile case out-of-bound access in json stringifier</t>
  </si>
  <si>
    <t>CVE-2015-6764 M-47 Merge-merged-47 OS-All Pri-1 Release-0-M47 Security_Impact-Stable Security_Severity-High Type-Bug-Security allpublic merge-merged-46 merge-merged-48 reward-7500</t>
  </si>
  <si>
    <t>higonggu...@gmail.com</t>
  </si>
  <si>
    <t>Stale layout root generic fix from Mitz</t>
  </si>
  <si>
    <t>M-15 Merge-Merged OS-All Pri-1 Restrict-AddIssueComment-EditIssue Security_Impact-Stable Security_Severity-High Type-Bug-Security allpublic merge-merged-874</t>
  </si>
  <si>
    <t>Heap-use-after-free in ppapi::proxy::PluginResource::NotifyInstanceWasDeleted</t>
  </si>
  <si>
    <t>CVE-2013-2912 M-30 Merge-Merged OS-All Pri-1 Release-0 ReleaseBlock-Stable Reward-1000 Security_Impact-Stable Security_Severity-High Stability-Memory-AddressSanitizer Type-Bug-Security allpublic merge-merged-1599</t>
  </si>
  <si>
    <t>Merged into 276368</t>
  </si>
  <si>
    <t>41.w4r...@gmail.com</t>
  </si>
  <si>
    <t>Child not placed correctly when :before :after placed in same table part container causing stale style</t>
  </si>
  <si>
    <t>M-14 Merge-Merged OS-All Pri-1 Restrict-AddIssueComment-EditIssue Security_Impact-Stable Security_Severity-High Type-Bug-Security allpublic merge-merged-874</t>
  </si>
  <si>
    <t>ASSERTION FAILED: !m_deletionHasBegun Heap-use-after-free in WebCore::GenericEventQueue::enqueueEvent</t>
  </si>
  <si>
    <t>Security: OOM situation can result in heap buffer overflow in CFX_BinaryBuf (pdfium)</t>
  </si>
  <si>
    <t>CVE-2015-1271 Deadline-Exceeded M-44 Merge-Merged-2403 OS-All Pri-1 Release-0-M44 Security_Impact-Stable Security_Severity-High Type-Bug-Security allpublic reward-3000</t>
  </si>
  <si>
    <t>Merged into 446032</t>
  </si>
  <si>
    <t>Merged into 459654</t>
  </si>
  <si>
    <t>Use-after-free in blink::RenderQuote::attachQuote</t>
  </si>
  <si>
    <t>Clusterfuzz Hotlist-Merge-Review Hotlist-SyzyASAN M-40 OS-All Pri-1 Security_Impact-Stable Security_Severity-High Type-Bug-Security allpublic merge-merged-2272</t>
  </si>
  <si>
    <t>Heap-use-after-free in WebCore::InlineFlowBox::removeChild</t>
  </si>
  <si>
    <t>CVE-2012-3638 Clusterfuzz M-17 Merge-Merged OS-All Pri-1 Restrict-AddIssueComment-EditIssue Security_Impact-Stable Security_Severity-High Stability-Memory-AddressSanitizer Type-Bug-Security allpublic merge-merged-963</t>
  </si>
  <si>
    <t>Merged into 105157</t>
  </si>
  <si>
    <t>Blink Blink&gt;Location</t>
  </si>
  <si>
    <t>Detach Geolocation from Frame when Page destroyed.</t>
  </si>
  <si>
    <t>CVE-2011-1457 M-11 OS-All Pri-1 Restrict-AddIssueComment-EditIssue Security Security_Impact-Stable Security_Severity-High Type-Bug-Security allpublic</t>
  </si>
  <si>
    <t>Merged into 75436</t>
  </si>
  <si>
    <t>Part 2 of Pwnium Bug</t>
  </si>
  <si>
    <t>M-17 Merge-Merged OS-All Pri-1 Restrict-AddIssueComment-EditIssue Security_Impact-Stable Security_Severity-High Type-Bug-Security allpublic merge-merged-1025 pwnium</t>
  </si>
  <si>
    <t>Heap-use-after-free in WebCore::RenderBlock::outlineStyleForRepaint</t>
  </si>
  <si>
    <t>CVE-2012-3653 Clusterfuzz M-17 Merge-Merged OS-All Pri-1 Restrict-AddIssueComment-EditIssue Security_Impact-Stable Security_Severity-High Stability-Memory-AddressSanitizer Type-Bug-Security allpublic</t>
  </si>
  <si>
    <t>Merged into 113801</t>
  </si>
  <si>
    <t>Heap-use-after-free in WebCore::RenderBlock::computeOverflow</t>
  </si>
  <si>
    <t>Clusterfuzz M-17 Merge-Merged OS-All Pri-1 Restrict-AddIssueComment-EditIssue Security_Impact-Stable Security_Severity-High Stability-Memory-AddressSanitizer Type-Bug-Security allpublic</t>
  </si>
  <si>
    <t>Heap-use-after-free in void blink::ImageDecodingStore::insertCacheInternal&lt;blink::ImageDecodingSto</t>
  </si>
  <si>
    <t>CVE-2015-1220 M-41 Nag OS-Linux Pri-1 Release-0-M41 Security_Impact-Stable Security_Severity-High Stability-Memory-AddressSanitizer Type-Bug-Security Via-Wizard allpublic merge-merged-2272 reward-3000</t>
  </si>
  <si>
    <t>Blink&gt;Media&gt;Video</t>
  </si>
  <si>
    <t>Heap-use-after-free in vp9_setup_mask</t>
  </si>
  <si>
    <t>Heap-use-after-free in WebCore::FormAssociatedElement::formRemovedFromTree</t>
  </si>
  <si>
    <t>CVE-2013-6641 CVE-2013-6664 M-32 Merge-Merged-1700 OS-All Pri-1 Release-0-M32 Reward-1000 Security_Impact-Stable Security_Severity-High Stability-ThreadSanitizer Type-Bug-Security allpublic reward-paid</t>
  </si>
  <si>
    <t>Merged into 326854</t>
  </si>
  <si>
    <t>Blink&gt;Editing</t>
  </si>
  <si>
    <t>Heap-use-after-free in WebCore::ReplaceSelectionCommand::doApply</t>
  </si>
  <si>
    <t>CVE-2013-6635 Hotlist-Webkit M-32 Merge-Merged-1700 Owner-Triage Pri-1 Release-1-M31 Security_Impact-Stable Security_Severity-High Stability-Memory-AddressSanitizer Type-Bug-Security allpublic merge-merged-1650 reward-2000</t>
  </si>
  <si>
    <t>Merged into 314469</t>
  </si>
  <si>
    <t>UI&gt;Browser&gt;Navigation</t>
  </si>
  <si>
    <t>Security: Chrome for Android - URL bar spoof</t>
  </si>
  <si>
    <t>CVE-2014-3159 Deadline-Exceeded M-36 Merge-Merged Merge-merged-1985 OS-Android Pri-1 Release-0-M36 ReleaseBlock-Stable Security_Impact-Stable Security_Severity-High Type-Bug-Security allpublic reward-3000</t>
  </si>
  <si>
    <t>khaga19...@gmail.com</t>
  </si>
  <si>
    <t>Heap-use-after-free in WebCore::Scrollbar::gestureEvent</t>
  </si>
  <si>
    <t>Clusterfuzz M-35 Nag OS-Android Pri-1 Release-0-M35 Security_Impact-Stable Security_Severity-High Stability-Memory-AddressSanitizer Type-Bug-Security allpublic merge-merged-1916</t>
  </si>
  <si>
    <t>Blink&gt;Layout Blink&gt;SVG</t>
  </si>
  <si>
    <t>ASSERTION FAILED: m_stateStack.size() == 1 Heap-use-after-free in WebCore::ScrollView::paint</t>
  </si>
  <si>
    <t>CVE-2013-6649 M-32 Merge-Merged-1700 Merge-merged-1750 OS-All Pri-1 Release-1-M32 ReleaseBlock-Stable Reward-1000 Security_Impact-Stable Security_Severity-High Stability-Memory-AddressSanitizer Type-Bug-Security allpublic reward-paid</t>
  </si>
  <si>
    <t>Security: Universal XSS via ContainerNode::parserInsertBefore</t>
  </si>
  <si>
    <t>CVE-2015-6755 M-46 Merge-Merged-2490 Pri-1 Release-0-M46 Security_Impact-Stable Security_Severity-High Type-Bug-Security allpublic reward-8837 reward-inprocess</t>
  </si>
  <si>
    <t>Heap-use-after-free in extensions::ExtensionKeybindingRegistry::IsAcceleratorRegistered</t>
  </si>
  <si>
    <t>Clusterfuzz External-Fuzzer-Contribution Hotlist-Merge-Approved Hotlist-Merge-Review M-52 Merge-Review Merge-Review-51 OS-Linux Pri-1 Release-0-M52 Reproducible Security_Impact-Stable Security_Severity-High Stability-Memory-AddressSanitizer Type-Bug-Security allpublic merge-merged-2743 reward-0</t>
  </si>
  <si>
    <t>Security:  [FG-VD-16-086] Adobe Flash Player Handing MP4 Memory Corruption Vulnerability</t>
  </si>
  <si>
    <t>M-56 Merge-Rejected-57 OS-Windows Pri-1 Security_Impact-Stable Security_Severity-High Type-Bug-Security allpublic reward-500 reward-inprocess</t>
  </si>
  <si>
    <t>use-after-free on content::GpuVideoDecodeAcceleratorHost::OnErrorNotification</t>
  </si>
  <si>
    <t>Hotlist-SyzyASAN M-30 Merge-Merged OS-All Pri-1 Release-0 Security_Impact-Stable Security_Severity-High Stability-Memory-AddressSanitizer Type-Bug-Security allpublic merge-merged-1599</t>
  </si>
  <si>
    <t>sebmarchand@chromium.org</t>
  </si>
  <si>
    <t>Merged into 265493</t>
  </si>
  <si>
    <t>laforge@google.com</t>
  </si>
  <si>
    <t>ASSERTION FAILED: actualInfo-&gt;derefObjectFunction == wrapperTypeInfo.derefObjectFunction UNKNOWN in WebCore::V8HTMLElement::createWrapper</t>
  </si>
  <si>
    <t>Clusterfuzz M-34 M-35 Merge-Merged Merge-Merged-1847 OS-All Pri-1 Release-1-M34 Security_Impact-Stable Security_Severity-High Stability-Memory-AddressSanitizer Type-Bug-Security allpublic merge-merged-1916</t>
  </si>
  <si>
    <t>Heap-use-after-free in WebCore::XMLDocumentParser::doEnd</t>
  </si>
  <si>
    <t>Security: Integer overflow in ./core/include/fxcrt/fx_basic.h and ./core/include/fxcrt/fx_memory.h</t>
  </si>
  <si>
    <t>M-37 Merge-Merged OS-All Pri-1 Release-0-M37 ReleaseBlock-Stable Security_Impact-Stable Security_Severity-High Type-Bug-Security allpublic</t>
  </si>
  <si>
    <t>palmer@chromium.org</t>
  </si>
  <si>
    <t>Internals&gt;Printing</t>
  </si>
  <si>
    <t>Heap-use-after-free in WebLocalFrameImpl::printBegin</t>
  </si>
  <si>
    <t>CVE-2015-1295 M-44 M-45 Merge-Merged-2403 OS-Linux OS-Windows Pri-1 Release-0-M45 Security_Impact-Stable Security_Severity-High Type-Bug-Security allpublic reward-3000</t>
  </si>
  <si>
    <t>[LangFuzz] Crash at v8::internal::ElementsAccessorBase with invalid read</t>
  </si>
  <si>
    <t>CVE-2011-2875 M-14 Merge-Merged Pri-0 Reward-1000 Security_Impact-Stable Security_Severity-High Type-Bug-Security allpublic</t>
  </si>
  <si>
    <t>decoder...@gmail.com</t>
  </si>
  <si>
    <t>ASSERTION FAILED: !object || (object-&gt;isBox())</t>
  </si>
  <si>
    <t>Clusterfuzz M-49 OS-Linux Pri-1 Release-0-M49 ReleaseBlock-Stable Reproducible Security_Impact-Stable Security_Severity-High Stability-Memory-AddressSanitizer Type-Bug-Security allpublic</t>
  </si>
  <si>
    <t>[v8] Stale pointer in CSSStyleSheet Invalid cast in V8ListenerList::doFindWrapper</t>
  </si>
  <si>
    <t>CVE-2011-2881 M-14 Merge-Merged OS-All Pri-1 Security_Impact-Stable Security_Severity-High Type-Bug-Security allpublic reward-1500</t>
  </si>
  <si>
    <t>Use after free of frame loader in DocumentLoader::commitLoad</t>
  </si>
  <si>
    <t>ApprovedForMerge CVE-2011-1291 M-10 OS-All Pri-1 Restrict-AddIssueComment-EditIssue Reward-1000 Security Security_Impact-Stable Security_Severity-High Type-Bug-Security allpublic</t>
  </si>
  <si>
    <t>Heap-use-after-free in WebCore::Document::implicitClose</t>
  </si>
  <si>
    <t>Bad cast in splitAnonymousBlocksAroundChild</t>
  </si>
  <si>
    <t>Internals&gt;Media&gt;Audio</t>
  </si>
  <si>
    <t>Heap-buffer-overflow in void media::ToInterleavedInternal&lt;int long&gt;</t>
  </si>
  <si>
    <t>Clusterfuzz M-27 OS-All Pri-1 Release-0 Security_Impact-Stable Security_Severity-High Stability-Memory-AddressSanitizer Type-Bug-Security allpublic</t>
  </si>
  <si>
    <t>Security: Sandbox escape due to vector length mismatch in IndexedDBHostMsg_DatabasePut IPC message</t>
  </si>
  <si>
    <t>Merge-merged-1750 OS-All Pri-1 Release-0-M33 Security_Impact-Stable Security_Severity-High Type-Bug-Security allpublic</t>
  </si>
  <si>
    <t>Web accessible resources checks should work with blob: and filesystem: URLs that have chrome-extension:// inner URLs</t>
  </si>
  <si>
    <t>Hotlist-Merge-Approved Hotlist-Merge-Review M-53 M-54 OS-All Pri-1 Release-3-M53 Security_Impact-Stable Security_Severity-High Type-Bug-Security allpublic merge-merged-2785 merge-merged-2840</t>
  </si>
  <si>
    <t>alex...@chromium.org</t>
  </si>
  <si>
    <t>Use-after-free in WebCore::VectorMath::vsmul</t>
  </si>
  <si>
    <t>CVE-2013-0904 M-25 Merge-Merged OS-All Pri-1 Release-1 Reward-1000 Security_Impact-Stable Security_Severity-High Type-Bug-Security allpublic</t>
  </si>
  <si>
    <t>Security: Heap-use-after-free in MessagingBindings::DispatchOnConnect</t>
  </si>
  <si>
    <t>Hotlist-Merge-Approved M-51 OS-All Pri-1 Release-1-M51 Security_Impact-Stable Security_Severity-High Type-Bug-Security allpublic merge-merged-2704 reward-ineligible</t>
  </si>
  <si>
    <t>Blink Blink&gt;Workers</t>
  </si>
  <si>
    <t>Security: (Shared) (WebSQL) Worker races cause invalid pointers in DatabaseObserver::databaseClosed and DatabaseObserver::reportOpenDatabaseResult</t>
  </si>
  <si>
    <t>CVE-2013-6646 Deadline-Exceeded M-31 Merge-Merged Merge-Merged-1700 Nag OS-All Pri-1 Release-0-M32 Reward-1000 Security_Impact-Stable Security_Severity-High Type-Bug-Security allpublic merge-merged-1650 wip</t>
  </si>
  <si>
    <t>Heap-use-after-free in WebCore::Element::focus</t>
  </si>
  <si>
    <t>Clusterfuzz Hotlist-Webkit M-31 OS-All Pri-1 Security_Impact-Stable Security_Severity-High Stability-Memory-AddressSanitizer Type-Bug-Security allpublic</t>
  </si>
  <si>
    <t>Blink&gt;JavaScript&gt;Compiler</t>
  </si>
  <si>
    <t>Security: V8 OOB read/write in asm.js</t>
  </si>
  <si>
    <t>CVE-2016-5200 Hotlist-Merge-Review M-54 OS-All Pri-1 Release-3-M54 Security_Impact-Stable Security_Severity-High Type-Bug-Security allpublic merge-merged-5.4 reward-5000 reward-inprocess</t>
  </si>
  <si>
    <t>cwhan.t...@gmail.com</t>
  </si>
  <si>
    <t>Bad cast to text node in CompositeEditCommand::breakOutOfEmptyMailBlockquotedParagraph</t>
  </si>
  <si>
    <t>ApprovedForMerge M-10 OS-All Pri-1 Restrict-AddIssueComment-EditIssue Security Security_Impact-Stable Security_Severity-High Type-Bug-Security allpublic</t>
  </si>
  <si>
    <t>Heap-buffer-overflow in skia::BGRAConvolve2D</t>
  </si>
  <si>
    <t>M-22 Merge-Merged OS-All Pri-1 Restrict-AddIssueComment-EditIssue Reward-1000 Security-CodeYellow Security_Impact-Stable Security_Severity-High Type-Bug-Security allpublic</t>
  </si>
  <si>
    <t>Security: Flash AS2 Use After Free in TextField.filters (again and again)</t>
  </si>
  <si>
    <t>M-43 Pri-1 Security_Impact-Stable Security_Severity-High Type-Bug-Security allpublic reward-5000</t>
  </si>
  <si>
    <t>Heap-buffer-overflow in opj_j2k_update_image_data</t>
  </si>
  <si>
    <t>Clusterfuzz Merge-na OS-All Pri-1 Release-0-M38 ReleaseBlock-Stable Security_Impact-Stable Security_Severity-High Stability-Memory-AddressSanitizer Type-Bug-Security allpublic</t>
  </si>
  <si>
    <t>Merged into 382239</t>
  </si>
  <si>
    <t>shizuo...@gmail.com</t>
  </si>
  <si>
    <t>Crash: Alert box in event listeners</t>
  </si>
  <si>
    <t>Area-BrowserUI M-3 OS-All Pri-0 Restrict-AddIssueComment-EditIssue Security Security_Impact-Stable Security_Severity-High Type-Bug-Security allpublic reward-topanel</t>
  </si>
  <si>
    <t>sg.deve...@gmail.com</t>
  </si>
  <si>
    <t>Internals&gt;Views Platform&gt;Extensions UI&gt;TaskManager</t>
  </si>
  <si>
    <t>Heap-use-after-free in task_manager::ExtensionProcessResource::GetProfileName</t>
  </si>
  <si>
    <t>Clusterfuzz M-33 Merge-merged-1750 Nag OS-All Pri-1 Release-0-M33 Security_Impact-Stable Security_Severity-High Stability-Memory-AddressSanitizer Type-Bug-Security allpublic</t>
  </si>
  <si>
    <t>UNKNOWN in WebCore::RenderTable::cellBefore</t>
  </si>
  <si>
    <t>Clusterfuzz M-22 Merge-Merged OS-All Pri-1 Restrict-AddIssueComment-EditIssue Security-CodeYellow Security_Impact-Stable Security_Severity-High Stability-Memory-AddressSanitizer Type-Bug-Security allpublic webkit-id-91160</t>
  </si>
  <si>
    <t>IPC: negative integer in command to safe browsing host will cause bad vector access</t>
  </si>
  <si>
    <t>Audit-IPC CVE-2013-0890 M-25 Merge-Merged OS-Linux Pri-0 Release-0 Security_Impact-Stable Security_Severity-High Type-Bug-Security allpublic merge-Merged-1364 reward-ineligible</t>
  </si>
  <si>
    <t>chrome_1c30000!SkAlphaRuns::Break+0x13 - Memory Corruption</t>
  </si>
  <si>
    <t>sp3x...@gmail.com</t>
  </si>
  <si>
    <t>Heap-use-after-free in CPDF_Object::Release</t>
  </si>
  <si>
    <t>CVE-2014-7900 Merge-Merged Pri-1 Release-0-M39 Security_Impact-Stable Security_Severity-High Type-Bug-Security allpublic reward-1500 reward-inprocess</t>
  </si>
  <si>
    <t>Need to merge WebCore::toAlphabetic() crash to 375 branch.</t>
  </si>
  <si>
    <t>Linear gradient on a table row crashes Chromium</t>
  </si>
  <si>
    <t>Mstone-4.1 OS-All Pri-1 Restrict-AddIssueComment-Commit Security Security_Impact-Stable Security_Severity-High Type-Bug-Security allpublic</t>
  </si>
  <si>
    <t>scherkus@chromium.org</t>
  </si>
  <si>
    <t>Heap-use-after-free in WebCore::Document::updateLayout</t>
  </si>
  <si>
    <t>Heap-use-after-free in WebCore::RenderInline::inlineElementContinuation</t>
  </si>
  <si>
    <t>Clusterfuzz Merge-merged-2062 OS-All Pri-1 Release-0-M37 Security_Impact-Stable Security_Severity-High Stability-Memory-AddressSanitizer Type-Bug-Security allpublic</t>
  </si>
  <si>
    <t>Closing parent then child in gmail = sad tab</t>
  </si>
  <si>
    <t>M-15 Merge-Merged OS-Mac Pri-1 ReleaseBlock-Stable Restrict-AddIssueComment-EditIssue Security_Impact-Stable Security_Severity-High Stability-CodeYellow Stability-Crash Type-Bug-Security allpublic merge-merged-874</t>
  </si>
  <si>
    <t>gman@chromium.org</t>
  </si>
  <si>
    <t>Merged into 96131</t>
  </si>
  <si>
    <t>w...@chromium.org</t>
  </si>
  <si>
    <t>Heap-buffer-overflow in icu_52::RegexMatcher::MatchChunkAt</t>
  </si>
  <si>
    <t>M-40 Merge-merged-2214 Pri-1 Release-0-M40 Security_Impact-Stable Security_Severity-High Type-Bug-Security Webkit-Hotlist allpublic</t>
  </si>
  <si>
    <t>markbrand@google.com</t>
  </si>
  <si>
    <t>Heap-use-after-free in WebCore::FrameView::updateWidget</t>
  </si>
  <si>
    <t>Heap-use-after-free in WebCore::FrameSelection::directionOfSelection</t>
  </si>
  <si>
    <t>Clusterfuzz M-27 Merge-Merged OS-All Pri-2 Release-1 Security-Code28 Security_Impact-Stable Security_Severity-High Stability-Memory-AddressSanitizer Type-Bug-Security allpublic webkit-id-104813</t>
  </si>
  <si>
    <t>Pwn2Own (3/13/2014): Compromised renderers can set arbitrary clipboard formats</t>
  </si>
  <si>
    <t>CVE-2014-1714 M-33 Merge-Merged Merge-Merged-1847 Merge-merged-1750 OS-Windows Pri-1 Release-3-M33 Security_Impact-Stable Security_Severity-High Type-Bug-Security allpublic merge-merged-1750_149</t>
  </si>
  <si>
    <t>ASSERTION FAILED: !node || node-&gt;isElementNode() UNKNOWN in WebCore::RenderBlock::clone</t>
  </si>
  <si>
    <t>Clusterfuzz M-26 OS-All Pri-1 Security_Impact-Stable Security_Severity-High Stability-Memory-AddressSanitizer Type-Bug-Security allpublic</t>
  </si>
  <si>
    <t>Blink Blink&gt;Media&gt;Audio</t>
  </si>
  <si>
    <t>Heap-use-after-free in WebCore::AudioDSPKernelProcessor::reset</t>
  </si>
  <si>
    <t>CVE-2013-2845 Clusterfuzz External-Fuzzer-Contribution Hotlist-SyzyASAN M-27 Merge-Merged OS-All Pri-1 Release-0 Security_Impact-Stable Security_Severity-High Stability-Memory-AddressSanitizer Type-Bug-Security allpublic merge-merged-chromium</t>
  </si>
  <si>
    <t>Adobe Flash Player Regular Expression Out-Of-Bounds Write Remote Code Execution Vulnerability</t>
  </si>
  <si>
    <t>Deadline-Exceeded Hotlist-Recharge M-45 Pri-1 Security_Impact-Stable Security_Severity-High Type-Bug-Security allpublic reward-3000 reward-inprocess</t>
  </si>
  <si>
    <t>bee1...@gmail.com</t>
  </si>
  <si>
    <t>Use after free in media::FFmpegDemuxerStream::Read</t>
  </si>
  <si>
    <t>Clusterfuzz M-15 Merge-Merged OS-All Pri-1 Restrict-AddIssueComment-EditIssue SecTest Security_Impact-Stable Security_Severity-High Stability-Memory-AddressSanitizer Type-Bug-Security allpublic merge-merged-874</t>
  </si>
  <si>
    <t>Heap-use-after-free in WebCore::ImageLoader::dispatchPendingErrorEvent</t>
  </si>
  <si>
    <t>Clusterfuzz M-26 Merge-Merged OS-All Pri-1 Release-0 Security_Impact-Stable Security_Severity-High Stability-Memory-AddressSanitizer Type-Bug-Security allpublic release-private</t>
  </si>
  <si>
    <t>ASSERTION FAILED: obj-&gt;isRenderInline() || obj == this Bad cast in WebCore::RenderBlock::createLineBoxes</t>
  </si>
  <si>
    <t>Heap-use-after-free in WebCore::accumulateDocumentEventTargetRects</t>
  </si>
  <si>
    <t>ASSERTION FAILED: !value || value-&gt;isPrimitiveValue() UNKNOWN in WebCore::StylePropertySerializer::getLayeredShorthandValue</t>
  </si>
  <si>
    <t>UNKNOWN in blink::HRTFDatabaseLoader::load</t>
  </si>
  <si>
    <t>Clusterfuzz M-39 Merge-Merged-2171 OS-All Pri-1 Security_Impact-Stable Security_Severity-High Stability-Memory-AddressSanitizer Type-Bug-Security allpublic</t>
  </si>
  <si>
    <t>Regression(85705): Use after free on m_originatingLine in floats</t>
  </si>
  <si>
    <t>CVE-2011-2872 Clusterfuzz M-14 Merge-Merged OS-All Pri-1 Restrict-AddIssueComment-EditIssue Security_Impact-Stable Security_Severity-High Stability-Memory-AddressSanitizer Type-Bug-Security allpublic</t>
  </si>
  <si>
    <t>Heap-use-after-free in WebCore::FrameLoader::urlSelected</t>
  </si>
  <si>
    <t>CVE-2012-3668 Clusterfuzz M-17 Merge-Merged OS-All Pri-1 Restrict-AddIssueComment-EditIssue Security_Impact-Stable Security_Severity-High Stability-Memory-AddressSanitizer Type-Bug-Security allpublic</t>
  </si>
  <si>
    <t>OS&gt;Systems</t>
  </si>
  <si>
    <t>Security: ChromeOS Exploit persistence via symlink</t>
  </si>
  <si>
    <t>Hotlist-Merge-Approved M-53 OS-Chrome Pri-1 Security_Impact-Stable Security_Severity-High Type-Bug-Security VerifyIn-57 VerifyIn-58 VerifyIn-59 VerifyIn-60 allpublic merge-merged-release-R53-8530.B merge-merged-release-R54-8743.B</t>
  </si>
  <si>
    <t>Chrome</t>
  </si>
  <si>
    <t>elawre...@chromium.org</t>
  </si>
  <si>
    <t>Heap-use-after-free in cricket::WebRtcRenderAdapter::FrameSizeChange</t>
  </si>
  <si>
    <t>Clusterfuzz M-27 Merge-Merged Merge-Merged-1453 OS-All Pri-1 Release-0 Security_Impact-Stable Security_Severity-High Type-Bug-Security allpublic merge-merged-libjingle</t>
  </si>
  <si>
    <t>ronghuawu@chromium.org</t>
  </si>
  <si>
    <t>Merged into 222036</t>
  </si>
  <si>
    <t>Reliability issues with WebCore::RenderBlock due to use after free in floats</t>
  </si>
  <si>
    <t>CVE-2011-2333 M-12 Pri-1 ReleaseBlock-Stable Restrict-AddIssueComment-EditIssue Security Security_Impact-Stable Security_Severity-High Type-Bug-Security allpublic</t>
  </si>
  <si>
    <t>rsleevi@chromium.org</t>
  </si>
  <si>
    <t>Merged into 72832</t>
  </si>
  <si>
    <t>k...@google.com</t>
  </si>
  <si>
    <t>levin@chromium.org</t>
  </si>
  <si>
    <t>Blink&gt;Location</t>
  </si>
  <si>
    <t>Use-after-free in net::URLRequestContextGetter::OnDestruct</t>
  </si>
  <si>
    <t>Clusterfuzz Hotlist-SyzyASAN M-35 Nag OS-All Pri-1 Release-0-M35 Security_Impact-Stable Security_Severity-High Type-Bug-Security allpublic merge-merged-1916</t>
  </si>
  <si>
    <t>CVE-2013-2861 M-27 Merge-Merged OS-All Pri-1 Release-1 Reward-1000 Security-Code28 Security_Impact-Stable Security_Severity-High Type-Bug-Security allpublic</t>
  </si>
  <si>
    <t>ZDI-CAN-2662: Google Chrome V8EventListenerList::findOrCreateWrapper Type Confusion Remote Code Execution Vulnerability</t>
  </si>
  <si>
    <t>CVE-2015-1230 M-41 OS-Windows Pri-1 Release-0-M41 Security_Impact-Stable Security_Severity-High Type-Bug-Security Via-Wizard allpublic merge-merged-2272 reward-ineligible</t>
  </si>
  <si>
    <t>zdi-disc...@hp.com</t>
  </si>
  <si>
    <t>Investigate rte_fuzz crashes</t>
  </si>
  <si>
    <t>Heap-use-after-free in blink::NavigationScheduler::shouldScheduleNavigation</t>
  </si>
  <si>
    <t>Clusterfuzz Hotlist-Merge-Approved M-41 OS-All Pri-1 Release-0-M41 Security_Impact-Stable Security_Severity-High Stability-Memory-MemorySanitizer Type-Bug-Security allpublic merge-merged-2272</t>
  </si>
  <si>
    <t>Merge out-of-bounds accesses found by WebRTC fuzzing.</t>
  </si>
  <si>
    <t>M-44 Merge-Merged-44 OS-All Pri-1 Security_Impact-Stable Security_Severity-High Type-Bug-Security allpublic</t>
  </si>
  <si>
    <t>pbos@chromium.org</t>
  </si>
  <si>
    <t>Platform&gt;Apps</t>
  </si>
  <si>
    <t>Investigate lifetime of the NativeWindow parent in ExtensionUninstallDialog</t>
  </si>
  <si>
    <t>Merge-Merged-2171 OS-All Pri-2 Release-0-M39 Security_Impact-Stable Security_Severity-High Type-Bug-Security allpublic</t>
  </si>
  <si>
    <t>sashab@chromium.org</t>
  </si>
  <si>
    <t>Hooking up a remote audio track to local media stream would crash</t>
  </si>
  <si>
    <t>Merge-merged-2062 OS-All Pri-1 Release-3-M37 Security_Impact-Stable Security_Severity-High Type-Bug-Security allpublic</t>
  </si>
  <si>
    <t>braveyao@chromium.org</t>
  </si>
  <si>
    <t>Internals&gt;GPU&gt;Internals Internals&gt;Media</t>
  </si>
  <si>
    <t>Use-after-free in content::GpuChannelHost::Send</t>
  </si>
  <si>
    <t>Hotlist-SyzyASAN M-32 Merge-Merged Merge-Merged-1700 Nag OS-All Pri-1 Release-1-M32 Security_Impact-Stable Security_Severity-High Type-Bug-Security allpublic</t>
  </si>
  <si>
    <t>Merged into 304967</t>
  </si>
  <si>
    <t>dalecur...@chromium.org</t>
  </si>
  <si>
    <t>[MD audit] DOM tree node reference errors when manipulating DOM tree inside certain callbacks</t>
  </si>
  <si>
    <t>M-5 OS-All Pri-1 Restrict-AddIssueComment-EditIssue Security Security_Impact-Stable Security_Severity-High Type-Bug-Security allpublic</t>
  </si>
  <si>
    <t>Merged into 178266</t>
  </si>
  <si>
    <t>Heap-use-after-free in WebCore::FrameLoader::stopForUserCancel</t>
  </si>
  <si>
    <t>Clusterfuzz M-27 Merge-Merged OS-All Pri-1 Release-0 Security_Impact-Stable Security_Severity-High Stability-Memory-AddressSanitizer Type-Bug-Security allpublic merge-merged-chromium release-private</t>
  </si>
  <si>
    <t>Heap-use-after-free in WebCore::EventHandler::mouseMoved</t>
  </si>
  <si>
    <t>CVE-2011-3971 M-17 Merge-Merged OS-All Pri-1 Restrict-AddIssueComment-EditIssue Reward-1000 Security_Impact-Stable Security_Severity-High Type-Bug-Security allpublic merge-merged-963</t>
  </si>
  <si>
    <t>Blink&gt;Storage&gt;FileSystem</t>
  </si>
  <si>
    <t>ASSERTION FAILED: static_cast&lt;FileError::ErrorCode&gt;(code) != FileError::ABORT_ERR Heap-use-after-free in v8::internal::GlobalHandles::Node::Release</t>
  </si>
  <si>
    <t>CVE-2014-3154 M-35 M-36 Pri-1 Release-1-M35 Reward-1000 Security_Impact-Stable Security_Severity-High Type-Bug-Security allpublic merge-merged-1916</t>
  </si>
  <si>
    <t>Heap-use-after-free in WebCore::RootInlineBox::closestLeafChildForPoint</t>
  </si>
  <si>
    <t>Clusterfuzz Deadline-Exceeded External-Fuzzer-Contribution M-32 Merge-na Nag OS-All Pri-1 Reward-1000 Security_Impact-Stable Security_Severity-High Stability-Memory-AddressSanitizer Type-Bug-Security allpublic</t>
  </si>
  <si>
    <t>Heap-use-after-free in WebCore::InlineBox::root</t>
  </si>
  <si>
    <t>Clusterfuzz M-25 OS-All Pri-1 Release-0 Security_Impact-Stable Security_Severity-High Stability-Memory-AddressSanitizer Type-Bug-Security allpublic release-private</t>
  </si>
  <si>
    <t>Use after free in VisibleSelection::selectionFromContentsOfNode</t>
  </si>
  <si>
    <t>CVE-2011-2833 M-13 Merge-Merged OS-All Pri-1 Restrict-AddIssueComment-EditIssue Security_Impact-Stable Security_Severity-High Type-Bug-Security allpublic</t>
  </si>
  <si>
    <t>Heap-buffer-overflow in xsltApplyTemplates</t>
  </si>
  <si>
    <t>CVE-2012-2871 M-21 OS-All Pri-1 Restrict-AddIssueComment-EditIssue Reward-1000 Security-CodeYellow Security_Impact-Stable Security_Severity-High Stability-Memory-AddressSanitizer Stability-Valgrind Type-Bug-Security allpublic merge-merged-1180</t>
  </si>
  <si>
    <t>nicolas....@agarri.fr</t>
  </si>
  <si>
    <t>Memory corruption with crash in RenderObject::containingBlock()</t>
  </si>
  <si>
    <t>Heap-use-after-free in WebCore::RenderLayer::updateCompositingLayersAfterScroll</t>
  </si>
  <si>
    <t>Clusterfuzz M-25 OS-All Pri-1 Security-CodeYellow Security_Impact-Stable Security_Severity-High Stability-Memory-AddressSanitizer Type-Bug-Security allpublic</t>
  </si>
  <si>
    <t>Heap-use-after-free in blink::FrameLoader::init</t>
  </si>
  <si>
    <t>Clusterfuzz Hotlist-Merge-Approved M-47 M-48 Merge-merged-2564 OS-Linux Pri-1 Release-0-M48 Reproducible Security_Impact-Stable Security_Severity-High Stability-Memory-AddressSanitizer Type-Bug-Security allpublic</t>
  </si>
  <si>
    <t>Security: Use after free in CSSStyleDeclarationInternal::parentRuleAttrGetter</t>
  </si>
  <si>
    <t>Clusterfuzz M-16 Merge-Merged OS-All Pri-1 Restrict-AddIssueComment-EditIssue Security_Impact-Stable Security_Severity-High Stability-Memory-AddressSanitizer Stability-Valgrind Type-Bug-Security WebKit-ID-71860 allpublic</t>
  </si>
  <si>
    <t>Blink Blink&gt;Media&gt;Video</t>
  </si>
  <si>
    <t>Bad cast in paintMediaPlayButton</t>
  </si>
  <si>
    <t>CVE-2011-2870 Clusterfuzz M-14 Merge-Merged OS-All Pri-1 Restrict-AddIssueComment-EditIssue Security_Impact-Stable Security_Severity-High Stability-Memory-AddressSanitizer Type-Bug-Security allpublic</t>
  </si>
  <si>
    <t>UI UI&gt;Browser&gt;Omnibox</t>
  </si>
  <si>
    <t>REGRESSION: Currently loading subresource displayed in omnibox</t>
  </si>
  <si>
    <t>M-5 OS-All Pri-1 Restrict-AddIssueComment-EditIssue Security Security_Impact-Stable Security_Severity-High Type-Bug-Security allpublic bulkmove</t>
  </si>
  <si>
    <t>joshu@google.com</t>
  </si>
  <si>
    <t>Heap-use-after-free in WebCore::RenderSVGShape::calculateStrokeBoundingBox</t>
  </si>
  <si>
    <t>Clusterfuzz M-22 OS-All Pri-1 Restrict-AddIssueComment-EditIssue Security-CodeYellow Security_Impact-Stable Security_Severity-High Stability-Memory-AddressSanitizer Type-Bug-Security allpublic webkit-ID-92604</t>
  </si>
  <si>
    <t>ASSERTION FAILED: !object || object-&gt;isBox() UNKNOWN in WebCore::RenderListItem::positionListMarker</t>
  </si>
  <si>
    <t>Clusterfuzz M-25 Merge-Merged OS-All Pri-1 Release-1 Security_Impact-Stable Security_Severity-High Stability-Memory-AddressSanitizer Type-Bug-Security allpublic release-private</t>
  </si>
  <si>
    <t>Security: Integer Overflows in CharacterData::deleteData &amp; CharacterData::replaceData</t>
  </si>
  <si>
    <t>CVE-2014-1741 Hotlist-Webkit M-34 Merge-Merged Merge-Merged-1847 Nag OS-All Pri-1 Release-2-M34 Security_Impact-Stable Security_Severity-High Type-Bug-Security allpublic merge-merged-1916 reward-1500</t>
  </si>
  <si>
    <t>Universal XSS using contentWindow.eval</t>
  </si>
  <si>
    <t>CVE-2011-3243 M-12 OS-All Pri-1 Restrict-AddIssueComment-EditIssue Reward-1000 Security_Impact-Stable Security_Severity-High Type-Bug-Security allpublic</t>
  </si>
  <si>
    <t>ASSERTION FAILED: !object || object-&gt;isMenuList() UNKNOWN in WebCore::HTMLSelectElement::menuListDefaultEventHandler</t>
  </si>
  <si>
    <t>Security: heap-use-after-free in getLineLayoutItem</t>
  </si>
  <si>
    <t>CVE-2016-5127 Hotlist-Webkit M-51 M-52 Pri-1 Release-0-M52 Security_Impact-Stable Security_Severity-High Stability-Memory-AddressSanitizer Type-Bug-Security allpublic findit-wrong merge-merged-2743 reward-3000 reward-inprocess</t>
  </si>
  <si>
    <t>Heap-use-after-free in WebCore::RenderSVGResourcePattern::applyResource</t>
  </si>
  <si>
    <t>Heap-use-after-free in WebCore::RenderBlock::willBeDestroyed</t>
  </si>
  <si>
    <t>Merged into 162622</t>
  </si>
  <si>
    <t>Blink Internals Internals&gt;Plugins&gt;Flash</t>
  </si>
  <si>
    <t>Flash Broker Bypass 0x2B (CVE-2012-0724)</t>
  </si>
  <si>
    <t>M-18 Merge-Merged OS-Windows Pri-1 Restrict-AddIssueComment-EditIssue Security_Impact-Stable Security_Severity-High Type-Bug-Security allpublic</t>
  </si>
  <si>
    <t>Crash in SkGlyphCache::findImage</t>
  </si>
  <si>
    <t>CVE-2012-2900 M-22 Merge-Merged OS-All Pri-1 ReleaseBlock-Stable Reward-1000 Security-CodeYellow Security_Impact-Stable Security_Severity-High Stability-Memory-AddressSanitizer Type-Bug-Security allpublic</t>
  </si>
  <si>
    <t>Merged into 138208</t>
  </si>
  <si>
    <t>Security: Out of Bound Write/Invalid Pointer Write while parsing PDF</t>
  </si>
  <si>
    <t>CVE-2017-5032 Deadline-Exceeded M-56 M-57 OS-Windows Pri-1 Release-0-M57 Security_Impact-Stable Security_Severity-High Type-Bug-Security allpublic merge-merged-2987 reward-3000 reward-inprocess</t>
  </si>
  <si>
    <t>mohammad...@gmail.com</t>
  </si>
  <si>
    <t>Security: chrome_child!mov_read_keys - Heap corruption as a result of an off-by-1 zero allocation</t>
  </si>
  <si>
    <t>CVE-2016-5199 Hotlist-Merge-Review M-55 OS-All Pri-1 Release-3-M54 Security_Impact-Stable Security_Severity-High Type-Bug-Security allpublic merge-merged-2840 merge-merged-m54-cherry-picks reward-5500 reward-inprocess</t>
  </si>
  <si>
    <t>p...@paulmehta.com</t>
  </si>
  <si>
    <t>UNKNOWN in CPDF_SampledFunc::v_Call</t>
  </si>
  <si>
    <t>Clusterfuzz M-43 M-44 Merge-Merged-2403 OS-All Pri-1 Release-0-M44 Security_Impact-Stable Security_Severity-High Stability-Memory-AddressSanitizer Type-Bug-Security allpublic</t>
  </si>
  <si>
    <t>Heap-use-after-free in blink::RenderLayerScrollableArea::updateCompositingLayersAfterScroll</t>
  </si>
  <si>
    <t>CVE-2014-3191 M-38 Merge-merged-2125 Pri-1 Release-0-M38 Security_Impact-Stable Security_Severity-High Type-Bug-Security allpublic reward-3000</t>
  </si>
  <si>
    <t>Internals&gt;Aura Internals&gt;Input</t>
  </si>
  <si>
    <t>Untrusted synthetic gestures received in the browser are not verified</t>
  </si>
  <si>
    <t>M-34 Merge-Merged-1847 OS-All Pri-1 Release-0-M34 Security_Impact-Stable Security_Severity-High Team-Security-UX Type-Bug-Security allpublic</t>
  </si>
  <si>
    <t>jdduke@chromium.org</t>
  </si>
  <si>
    <t>Memory corruption (double free) caused by malformed XPath expression in XSLT</t>
  </si>
  <si>
    <t>CVE-2011-2821 M-13 Merge-Merged Pri-0 Restrict-AddIssueComment-EditIssue Reward-1000 Security_Impact-Stable Security_Severity-High Stability-Memory-DrMemory Type-Bug-Security allpublic</t>
  </si>
  <si>
    <t>Need to merge WebKit 64-bit issue http://trac.webkit.org/changeset/86106</t>
  </si>
  <si>
    <t>CVE-2011-2337 M-12 OS-Linux Pri-0 ReleaseBlock-Stable Restrict-AddIssueComment-EditIssue Security_Impact-Stable Security_Severity-High Type-Bug-Security allpublic</t>
  </si>
  <si>
    <t>Hotlist-Webkit M-31 Merge-Merged OS-All Pri-1 Release-1-M30 Security_Impact-Stable Security_Severity-High Stability-Memory-AddressSanitizer Type-Bug-Security allpublic merge-merged-1599 merge-merged-1650</t>
  </si>
  <si>
    <t>ZDI-CAN-1416: WebKit ContentEditable swapInNode Use-After-Free Remote Code Execution Vulnerability</t>
  </si>
  <si>
    <t>CVE-2011-3897 M-15 Merge-Merged OS-All Pri-1 Restrict-AddIssueComment-EditIssue Security_Impact-Stable Security_Severity-High Type-Bug-Security WebKit-ID-71145 allpublic</t>
  </si>
  <si>
    <t>Heap-use-after-free in WebCore::Element::cloneElementWithoutChildren</t>
  </si>
  <si>
    <t>Blink Internals Internals&gt;Plugins Platform&gt;Apps&gt;BrowserTag</t>
  </si>
  <si>
    <t>BrowserPluginGuest blindly trusts the size of shared memory regions leading to overflow</t>
  </si>
  <si>
    <t>Audit-IPC CVE-2013-0896 M-25 Merge-Merged OS-All Pri-1 Release-0 Security_Impact-Stable Security_Severity-High Type-Bug-Security allpublic iteration-71 merge-Merged-1364</t>
  </si>
  <si>
    <t>cdn@chromium.org</t>
  </si>
  <si>
    <t>Crash in ReplaceSelectionCommand::doApply when modified during mutation event</t>
  </si>
  <si>
    <t>M-8 OS-All Pri-1 Restrict-AddIssueComment-EditIssue Security Security_Impact-Stable Security_Severity-High Type-Bug-Security allpublic</t>
  </si>
  <si>
    <t>e...@chromium.org</t>
  </si>
  <si>
    <t>Use-after-free in content::WebPluginDelegateImpl::NativeWndProc</t>
  </si>
  <si>
    <t>Hotlist-SyzyASAN Merge-Merged Merge-Merged-1700 Nag OS-Windows Pri-1 Release-1-M32 Security_Impact-Stable Security_Severity-High Stability-Memory-AddressSanitizer Type-Bug-Security allpublic</t>
  </si>
  <si>
    <t>Heap-buffer-overflow in vorbis_floor0_decode</t>
  </si>
  <si>
    <t>CVE-2013-0894 Clusterfuzz M-25 OS-All Pri-1 Release-0 Security_Impact-Stable Security_Severity-High Stability-Memory-AddressSanitizer Type-Bug-Security allpublic merge-Merged-1364 merge-merged-ffmpeg</t>
  </si>
  <si>
    <t>&lt;use&gt; on &lt;font-face&gt; causes crashes if SVGUseElement gets detached</t>
  </si>
  <si>
    <t>M-5 Pri-1 Restrict-AddIssueComment-EditIssue Security Security_Impact-Stable Security_Severity-High Type-Bug-Security allpublic cve-2010-1793 reward-500</t>
  </si>
  <si>
    <t>Security: Memory corruption in  WebCore::ResourceLoader</t>
  </si>
  <si>
    <t>Area-MISC OS-Linux Pri-2 Restrict-AddIssueComment-Commit Security Security_Impact-Stable Security_Severity-High Type-Bug-Security allpublic reward-topanel</t>
  </si>
  <si>
    <t>Stale pointer in WebCore::ThreadTimers::sharedTimerFiredInternal</t>
  </si>
  <si>
    <t>Heap-use-after-free in WebCore::SVGStyledElement::buildPendingResourcesIfNeeded</t>
  </si>
  <si>
    <t>CVE-2011-3073 M-18 Merge-Merged OS-All Pri-1 Restrict-AddIssueComment-EditIssue Reward-1000 Security_Impact-Stable Security_Severity-High Stability-Memory-AddressSanitizer Type-Bug-Security allpublic</t>
  </si>
  <si>
    <t>Security: Universal XSS by circumventing the unload event</t>
  </si>
  <si>
    <t>CVE-2016-1623 M-48 Merge-Merged-2623 Merge-merged-2564 OS-All Pri-1 Release-2-M48 Security_Impact-Stable Security_Severity-High Type-Bug-Security allpublic reward-7500 reward-inprocess</t>
  </si>
  <si>
    <t>Internals Internals&gt;Network</t>
  </si>
  <si>
    <t>X509Certificate::Cache usage pattern may result in use after free</t>
  </si>
  <si>
    <t>CVE-2011-2835 M-14 OS-All Pri-1 Restrict-AddIssueComment-EditIssue Security_Impact-Stable Security_Severity-High Type-Bug-Security allpublic</t>
  </si>
  <si>
    <t>Heap-use-after-free in WebCore::SVGSMILElement::resetTargetElement</t>
  </si>
  <si>
    <t>Clusterfuzz M-21 Merge-Merged OS-All Pri-1 Restrict-AddIssueComment-EditIssue Security_Impact-Stable Security_Severity-High Stability-Memory-AddressSanitizer Type-Bug-Security WebKit-ID-90750 allpublic</t>
  </si>
  <si>
    <t>Heap-use-after-free in WebCore::InlineBox::deleteLine</t>
  </si>
  <si>
    <t>Clusterfuzz M-28 Merge-Merged OS-All Pri-1 Release-0 Security-Code28 Security_Impact-Stable Security_Severity-High Stability-AddressSanitizer Type-Bug-Security allpublic</t>
  </si>
  <si>
    <t>Security: Heap-use-after-free via GCCallback</t>
  </si>
  <si>
    <t>CVE-2016-1662 Hotlist-Merge-Approved Hotlist-Merge-Review M-50 M-51 OS-All Pri-1 Release-2-M50 Security_Impact-Stable Security_Severity-High Type-Bug-Security allpublic merge-merged-2661 merge-merged-2704 reward-3000</t>
  </si>
  <si>
    <t>Heap-use-after-free in WebCore::RenderBlockFlow::determineStartPosition</t>
  </si>
  <si>
    <t>Clusterfuzz M-33 Merge-merged-1750 OS-All Pri-1 Release-0-M33 Security_Impact-Stable Security_Severity-High Stability-Memory-AddressSanitizer Type-Bug-Security allpublic</t>
  </si>
  <si>
    <t>Blink UI&gt;Browser&gt;FullScreen</t>
  </si>
  <si>
    <t>Use after free in fullscreen unwraprenderer</t>
  </si>
  <si>
    <t>Clusterfuzz M-15 Merge-Merged OS-All Pri-1 Restrict-AddIssueComment-EditIssue Security_Impact-Stable Security_Severity-High Stability-Memory-AddressSanitizer Type-Bug-Security allpublic</t>
  </si>
  <si>
    <t>crash with processing invalid x509-user-cert responses.</t>
  </si>
  <si>
    <t>Pri-0 Restrict-AddIssueComment-Commit Security Security_Impact-Stable Security_Severity-High Type-Bug-Security allpublic reward-500</t>
  </si>
  <si>
    <t>Heap-use-after-free in WebCore::SVGTextRunRenderingContext::glyphDataForCharacter</t>
  </si>
  <si>
    <t>Clusterfuzz M-23 Merge-Merged OS-All Pri-1 Security_Impact-Stable Security_Severity-High Stability-Memory-AddressSanitizer Type-Bug-Security WebKit-ID-98755-RESOLVED WebKit-Rev-130999 allpublic</t>
  </si>
  <si>
    <t>Heap-use-after-free in blink::TreeScopeStyleSheetCollection::analyzeStyleSheetChange</t>
  </si>
  <si>
    <t>Clusterfuzz M-41 M-42 Merge-Merged-2311 Nag OS-All Pri-1 Release-0-M42 Security_Impact-Stable Security_Severity-High Stability-Memory-AddressSanitizer Type-Bug-Security allpublic merge-merged-2272</t>
  </si>
  <si>
    <t>Security: PDFium OpenJPEG Use-After-Free Vulnerability</t>
  </si>
  <si>
    <t>CVE-2017-5034 M-55 M-57 Merge-Rejected-58 OS-Linux OS-Windows Pri-1 Release-0-M57 Security_Impact-Stable Security_Severity-High Type-Bug-Security allpublic reward-3000 reward-inprocess</t>
  </si>
  <si>
    <t>Memory corruption leading to OOB read symptom in PDF initialization</t>
  </si>
  <si>
    <t>CVE-2011-2841 M-14 Merge-Merged Pri-1 Restrict-AddIssueComment-EditIssue Reward-1000 Security_Impact-Stable Security_Severity-High Stability-Crash Type-Bug-Security allpublic</t>
  </si>
  <si>
    <t>marioso...@gmail.com</t>
  </si>
  <si>
    <t>Security: Universal XSS through bypassing ScopedPageSuspender with closing windows</t>
  </si>
  <si>
    <t>CVE-2017-5007 M-56 OS-All Pri-1 Release-0-M56 Security_Impact-Stable Security_Severity-High Type-Bug-Security allpublic merge-merged-2924 reward-8837 reward-inprocess</t>
  </si>
  <si>
    <t>Security: Flash AS2 Use After Free in DisplacementMapFilter.mapBitmap</t>
  </si>
  <si>
    <t>M-44 OS-All Pri-1 Security_Impact-Stable Security_Severity-High Type-Bug-Security allpublic reward-5000</t>
  </si>
  <si>
    <t>renderer crash when playing a corrupt webm video</t>
  </si>
  <si>
    <t>M-8 Pri-0 Restrict-AddIssueComment-EditIssue Reward-1000 Security Security_Impact-Stable Security_Severity-High Type-Bug-Security allpublic</t>
  </si>
  <si>
    <t>Clusterfuzz M-42 Merge-na OS-All Release-NA Security_Impact-Stable Security_Severity-High Stability-Memory-AddressSanitizer Type-Bug-Security allpublic</t>
  </si>
  <si>
    <t>Heap-use-after-free in WTF::HashMap&lt;int WTF::RefPtr&lt;WebCore::CalculationValue&gt; WTF::IntHash&lt;unsigned int&gt; WTF::HashTrait</t>
  </si>
  <si>
    <t>Heap-use-after-free in WebKit::MainThreadFileSystemCallbacks::didSucceed</t>
  </si>
  <si>
    <t>M-21 Merge-Merged OS-All Pri-1 Restrict-AddIssueComment-EditIssue Security_Impact-Stable Security_Severity-High Stability-Memory-AddressSanitizer Type-Bug-Security allpublic reward-ineligible</t>
  </si>
  <si>
    <t>Integer overflow in FX_AllocStringW</t>
  </si>
  <si>
    <t>M-37 Merge-Merged OS-All Pri-1 Release-0-M37 Security_Impact-Stable Security_Severity-High Type-Bug-Security allpublic</t>
  </si>
  <si>
    <t>Security: Integer overflow in javascript/Document.cpp</t>
  </si>
  <si>
    <t>[MD audit] Possible memory corruption with bad bitmap shared memory object in clipboard IPC</t>
  </si>
  <si>
    <t>[MD audit] Linux sandbox escape</t>
  </si>
  <si>
    <t>M-5 OS-Linux Pri-1 ReleaseBlock-Stable Restrict-AddIssueComment-EditIssue Security Security_Impact-Stable Security_Severity-High Type-Bug-Security allpublic</t>
  </si>
  <si>
    <t>FileUtilitiesMessageFilter::OnOpenFile insufficient permission checks</t>
  </si>
  <si>
    <t>M-30 Merge-Merged OS-All Pri-1 Release-0 Security_Impact-Stable Security_Severity-High Type-Bug-Security allpublic</t>
  </si>
  <si>
    <t>Blink Internals&gt;GPU&gt;Video Internals&gt;Media</t>
  </si>
  <si>
    <t>repeatedly re-setting video.src crashes in WebCore::VideoLayerChromium::updateCompositorResources</t>
  </si>
  <si>
    <t>CVE-2011-3890 M-15 Merge-Merged OS-All Pri-1 ReleaseBlock-Stable Restrict-AddIssueComment-EditIssue Security_Impact-Stable Security_Severity-High Type-Bug-Security WebKit-ID-69973 allpublic merge-merged-874</t>
  </si>
  <si>
    <t>fischman@chromium.org</t>
  </si>
  <si>
    <t>Merged into 99553</t>
  </si>
  <si>
    <t>vrk@chromium.org</t>
  </si>
  <si>
    <t>Security: Universal XSS using stack overflow exceptions</t>
  </si>
  <si>
    <t>CVE-2015-1303 M-45 M-46 Merge-Merged-2454 Merge-Merged-2490 OS-All Pri-1 Release-2-M45 Security_Impact-Stable Security_Severity-High Type-Bug-Security allpublic reward-7500 reward-inprocess</t>
  </si>
  <si>
    <t>Sandbox IPC  out-of-bounds write in CrossCallParamsEx::CreateFromBuffer</t>
  </si>
  <si>
    <t>M-6 Pri-0 ReleaseBlock-Stable Restrict-AddIssueComment-EditIssue Reward-1000 Security Security_Impact-Stable Security_Severity-High Type-Bug-Security allpublic</t>
  </si>
  <si>
    <t>cpu@chromium.org</t>
  </si>
  <si>
    <t>Heap-buffer-overflow in WebCore::StyleResolver::applyProperty</t>
  </si>
  <si>
    <t>Clusterfuzz M-23 Merge-Merged Merge-Merged-1271 OS-All Pri-1 Security-CodeYellow Security_Impact-Stable Security_Severity-High Stability-Memory-AddressSanitizer Type-Bug-Security allpublic</t>
  </si>
  <si>
    <t>Security: ASAN "heap-buffer-overflow" in CallBitmapXferProc</t>
  </si>
  <si>
    <t>CVE-2013-6665 M-33 M-34 Merge-merged-1750 Pri-1 Release-1-M33 Security_Impact-Stable Security_Severity-High Type-Bug-Security allpublic reward-2000</t>
  </si>
  <si>
    <t>Merged into 337882</t>
  </si>
  <si>
    <t>Heap-use-after-free in bool WebCore::SelectorChecker::checkOneSelector&lt;WebCore::DOMSiblingTraversalStrategy&gt;</t>
  </si>
  <si>
    <t>UI&gt;Shell&gt;Notifications</t>
  </si>
  <si>
    <t>SIGSEGV in NotificationUIManagerImpl::CancelAllBySourceOrigin()</t>
  </si>
  <si>
    <t>Arch-All M-27 MovedFrom-25 OS-All Pri-1 Release-0 Security_Impact-Stable Security_Severity-High Stability-Crash Type-Bug-Security allpublic bulkmove</t>
  </si>
  <si>
    <t>zelidrag@chromium.org</t>
  </si>
  <si>
    <t>Internals Internals&gt;GPU Internals&gt;GPU&gt;Internals</t>
  </si>
  <si>
    <t>Security: buffer overrun leading to heap corruption in ANGLE shader translator</t>
  </si>
  <si>
    <t>CVE-2011-3896 M-15 Merge-Merged Pri-0 Restrict-AddIssueComment-EditIssue Security_Impact-Stable Security_Severity-High Type-Bug-Security allpublic</t>
  </si>
  <si>
    <t>kbr@chromium.org</t>
  </si>
  <si>
    <t>Use after free from accessing stale renderers in m_floatingObjects in lowestPosition</t>
  </si>
  <si>
    <t>HasTestcase M-7 OS-All Pri-1 ReleaseBlock-Stable Restrict-AddIssueComment-EditIssue Security Security_Impact-Stable Security_Severity-High Type-Bug-Security allpublic</t>
  </si>
  <si>
    <t>Use after free with :after in display table and :first-letter</t>
  </si>
  <si>
    <t>Security: heap-buffer-overflow in FlateUncompress</t>
  </si>
  <si>
    <t>M-56 OS-Linux OS-Windows Pri-1 Reward-1000 Security_Impact-Stable Security_Severity-High Type-Bug-Security allpublic reward-inprocess</t>
  </si>
  <si>
    <t>CVE-2014-7926 Hotlist-Merge-Approved Hotlist-Merge-Review M-39 M-40 Merge-Merged Merge-Merged-2171 Merge-merged-2214 OS-All Pri-1 Release-0-M40 Security_Impact-Stable Security_Severity-High Type-Bug-Security allpublic reward-4000</t>
  </si>
  <si>
    <t>Heap-buffer-overflow in WebCore::TextTrackCueList::add</t>
  </si>
  <si>
    <t>Clusterfuzz M-21 Merge-Merged OS-All Pri-1 Restrict-AddIssueComment-EditIssue Security-CodeYellow Security_Impact-Stable Security_Severity-High Stability-Memory-AddressSanitizer Type-Bug-Security allpublic</t>
  </si>
  <si>
    <t>Apple OS X Yosemite 10.10.2 IOAccelSurface2::set_id_mode OOB read on IOAccelMachine2 from KEEN Team</t>
  </si>
  <si>
    <t>M-42 M-46 M-47 Merge-na OS-Mac Pri-1 Security_Impact-Stable Security_Severity-High Type-Bug-Security allpublic reward-5000 reward-inprocess</t>
  </si>
  <si>
    <t>Use-after-free in blink::TreeScope::comparePosition</t>
  </si>
  <si>
    <t>Clusterfuzz Hotlist-SyzyASAN M-40 OS-All Pri-1 Release-0-M40 Security_Impact-Stable Security_Severity-High Type-Bug-Security allpublic</t>
  </si>
  <si>
    <t>Merged into 439319</t>
  </si>
  <si>
    <t>Google Chrome SpeechRecognitionClient Use-After-Free Remote Code Execution Vulnerability</t>
  </si>
  <si>
    <t>CVE-2015-1251 Hotlist-Merge-Approved M-41 M-42 Merge-Merged-2311 Nag OS-All Pri-1 Release-1-M41 Security_Impact-Stable Security_Severity-High Type-Bug-Security Via-Wizard ZDI-CAN-2707 allpublic merge-merged-2272 reward-ineligible</t>
  </si>
  <si>
    <t>Heap-buffer-overflow in WebCore::HTMLTreeBuilder::processEndTag</t>
  </si>
  <si>
    <t>CVE-2012-3627 Clusterfuzz M-19 Merge-Merged OS-All Pri-1 Restrict-AddIssueComment-EditIssue Security_Impact-Stable Security_Severity-High Stability-Memory-AddressSanitizer Type-Bug-Security allpublic</t>
  </si>
  <si>
    <t>Renderer crash with javascript + setInterval</t>
  </si>
  <si>
    <t>CVE-2011-2348 M-12 OS-Linux Pri-1 Restrict-AddIssueComment-EditIssue Security_Impact-Stable Security_Severity-High Type-Bug-Security allpublic reward-500</t>
  </si>
  <si>
    <t>Security: Address bar spoofing in Chrome for Android</t>
  </si>
  <si>
    <t>CVE-2013-6642 M-32 Merge-Merged-1700 OS-Android Pri-1 Release-0-M32 Reward-1000 Security_Impact-Stable Security_Severity-High Type-Bug-Security allpublic reward-inprocess</t>
  </si>
  <si>
    <t>lpil...@gmail.com</t>
  </si>
  <si>
    <t>Blink Blink&gt;JavaScript Blink&gt;Storage&gt;IndexedDB</t>
  </si>
  <si>
    <t>IndexedDB causes V8 heap corruption</t>
  </si>
  <si>
    <t>Clusterfuzz M-26 Merge-Merged-1410 OS-All Pri-1 Release-0 Reward-1000 Security_Impact-Stable Security_Severity-High Stability-Crash Stability-Memory-AddressSanitizer Type-Bug-Security allpublic release-private</t>
  </si>
  <si>
    <t>Merged into 150737</t>
  </si>
  <si>
    <t>xians@chromium.org</t>
  </si>
  <si>
    <t>Merged into 165671</t>
  </si>
  <si>
    <t>Heap-use-after-free in blink::PendingScript::stopWatchingForLoad</t>
  </si>
  <si>
    <t>CVE-2014-7929 M-40 Merge-merged-2214 Pri-1 Release-0-M40 Security_Impact-Stable Security_Severity-High Type-Bug-Security allpublic reward-2000</t>
  </si>
  <si>
    <t>Use after free in CSSStyleSheet::checkLoaded</t>
  </si>
  <si>
    <t>CVE-2011-2831 Clusterfuzz M-13 Merge-Merged OS-All Pri-1 Restrict-AddIssueComment-EditIssue Security_Impact-Stable Security_Severity-High Stability-Memory-AddressSanitizer Stability-Memory-DrMemory Type-Bug-Security allpublic</t>
  </si>
  <si>
    <t>Stale pointer in WebCore::RenderBlock::lowestPosition</t>
  </si>
  <si>
    <t>ApprovedForMerge M-10 OS-All Pri-1 Restrict-AddIssueComment-EditIssue Reward-1000 Security Security_Impact-Stable Security_Severity-High Type-Bug-Security allpublic</t>
  </si>
  <si>
    <t>Heap-use-after-free in content::ChildSharedBitmapManager::FreeSharedMemory</t>
  </si>
  <si>
    <t>Clusterfuzz M-36 M-37 Merge-merged-1985 Merge-merged-2062 OS-All Pri-1 Release-1-M36 ReleaseBlock-Beta Security_Impact-Stable Security_Severity-High Stability-Memory-AddressSanitizer Type-Bug-Security allpublic</t>
  </si>
  <si>
    <t>ASSERT: Bad cast from Element to HTMLDetailsElement. UNKNOWN in  Bad cast from Element to HTMLDetailsElement</t>
  </si>
  <si>
    <t>Clusterfuzz M-31 Merge-Merged OS-All Pri-1 Release-0-M31 Security_Impact-Stable Security_Severity-High Stability-Memory-AddressSanitizer Type-Bug-Security allpublic merge-merged-1650</t>
  </si>
  <si>
    <t>Blink&gt;HTML</t>
  </si>
  <si>
    <t>Security: Universal XSS using document.adoptNode</t>
  </si>
  <si>
    <t>CVE-2015-6770 Hotlist-Merge-Approved M-47 Merge-merged-47 OS-All Pri-1 Release-0-M47 Security_Impact-Stable Security_Severity-High Type-Bug-Security allpublic merge-merged-2526 reward-7500 reward-inprocess</t>
  </si>
  <si>
    <t>Merged into 541206</t>
  </si>
  <si>
    <t>Blink&gt;Image</t>
  </si>
  <si>
    <t>Vulnerability reported in libpng</t>
  </si>
  <si>
    <t>M-48 M-50 Nag OS-All Pri-1 Release-0-M50 Security_Impact-Stable Security_Severity-High Type-Bug-Security Vomit allpublic</t>
  </si>
  <si>
    <t>vomit.go...@appspot.gserviceaccount.com</t>
  </si>
  <si>
    <t>Security: heap-use-after-free in blink::ConsumerWrapper::consumeAudio</t>
  </si>
  <si>
    <t>CVE-2015-1255 Hotlist-Merge-Review M-43 Merge-merged-2357 OS-All Pri-1 Release-0-M43 Security_Impact-Stable Security_Severity-High Stability-Memory-AddressSanitizer Type-Bug-Security allpublic reward-3000</t>
  </si>
  <si>
    <t>Merged into 473253</t>
  </si>
  <si>
    <t>pira...@gmail.com</t>
  </si>
  <si>
    <t>Heap-use-after-free in content::IndexedDBDatabase::RunVersionChangeTransaction</t>
  </si>
  <si>
    <t>Heap-use-after-free in WebCore::Node::dispatchSubtreeModifiedEvent</t>
  </si>
  <si>
    <t>CVE-2012-3608 CVE-2012-3620 Clusterfuzz M-17 Merge-Merged OS-All Pri-1 Restrict-AddIssueComment-EditIssue Security_Impact-Stable Security_Severity-High Stability-Memory-AddressSanitizer Type-Bug-Security allpublic</t>
  </si>
  <si>
    <t>Merged into 112093</t>
  </si>
  <si>
    <t>crash on google.at ajax search</t>
  </si>
  <si>
    <t>M-7 OS-All Pri-1 Restrict-AddIssueComment-EditIssue Security Security_Impact-Stable Security_Severity-High Stability-Crash Type-Bug-Security allpublic bulkmove reward-topanel</t>
  </si>
  <si>
    <t>geki...@gmail.com</t>
  </si>
  <si>
    <t>Blink&gt;Fonts</t>
  </si>
  <si>
    <t>memory access bug in harfbuzz when a carefully crafted font is fed</t>
  </si>
  <si>
    <t>M-40 Merge-Merged Merge-merged-2214 OS-All Pri-1 Release-0-M40 Security_Impact-Stable Security_Severity-High Type-Bug-Security allpublic</t>
  </si>
  <si>
    <t>PDF viewer crash</t>
  </si>
  <si>
    <t>Area-Internal CVE-2011-2804 M-13 Pri-0 Restrict-AddIssueComment-EditIssue Security_Impact-Stable Security_Severity-High Type-Bug-Security allpublic reward-500</t>
  </si>
  <si>
    <t>Multiple libvpx potential security issues</t>
  </si>
  <si>
    <t>M-32 OS-Linux Pri-1 Security_Impact-Stable Security_Severity-High Type-Bug-Security Via-Wizard allpublic</t>
  </si>
  <si>
    <t>mjurczyk@google.com</t>
  </si>
  <si>
    <t>UNKNOWN in v8::internal::RootMarkingVisitor::MarkObjectByPointer</t>
  </si>
  <si>
    <t>CVE-2013-0836 Clusterfuzz M-24 OS-All Pri-1 Release-0 Security_Impact-Stable Security_Severity-High Stability-Memory-AddressSanitizer Type-Bug-Security allpublic</t>
  </si>
  <si>
    <t>mstarzinger@google.com</t>
  </si>
  <si>
    <t>Heap-buffer-overflow in convolve4RowsHorizontally_SSE2</t>
  </si>
  <si>
    <t>CVE-2015-6773 Deadline-Exceeded M-46 M-47 M-48 Pri-1 Release-0-M47 Security_Impact-Stable Security_Severity-High Type-Bug-Security allpublic reward-5000</t>
  </si>
  <si>
    <t>ASSERTION FAILED: !node || node-&gt;isElementNode() UNKNOWN in WebCore::HTMLElementStack::popCommon</t>
  </si>
  <si>
    <t>Clusterfuzz M-26 Merge-Merged OS-All Pri-1 Release-0 Security_Impact-Stable Security_Severity-High Stability-Memory-AddressSanitizer Type-Bug-Security WebKit-ID-110808 allpublic release-private</t>
  </si>
  <si>
    <t>Security: Use-after-free in RadioInputType::handleKeydownEvent</t>
  </si>
  <si>
    <t>M-28 Merge-Merged OS-All Pri-2 Release-1 Security_Impact-Stable Security_Severity-High Type-Bug-Security allpublic merge-Merged-1547 merge-merged-1500</t>
  </si>
  <si>
    <t>[Merge] Blob / BlobBuilder can be put into bad state with wild integers and strings due to integer overflows</t>
  </si>
  <si>
    <t>M-8 OS-All Pri-2 ReleaseBlock-Beta Restrict-AddIssueComment-EditIssue Security Security_Impact-Stable Security_Severity-High Type-Bug-Security allpublic</t>
  </si>
  <si>
    <t>Bad cast from RenderInline to RenderBox in positionListMarker</t>
  </si>
  <si>
    <t>Heap-use-after-free in WebCore::RenderBlock::splitBlocks</t>
  </si>
  <si>
    <t>CVE-2011-3053 M-17 Merge-Merged OS-All Pri-1 Restrict-AddIssueComment-EditIssue Reward-1000 Security_Impact-Stable Security_Severity-High Stability-Memory-AddressSanitizer Type-Bug-Security allpublic</t>
  </si>
  <si>
    <t>Heap-use-after-free in WebCore::HTMLTreeBuilder::callTheAdoptionAgency</t>
  </si>
  <si>
    <t>Internals&gt;Plugins&gt;Flash Internals&gt;Plugins&gt;Pepper</t>
  </si>
  <si>
    <t>UNKNOWN in NetworkASync::QueueDeletion</t>
  </si>
  <si>
    <t>Clusterfuzz M-36 M-38 M-39 Merge-na OS-All Pri-1 Release-0-M39 Security_Impact-Stable Security_Severity-High Stability-Memory-AddressSanitizer Type-Bug-Security allpublic</t>
  </si>
  <si>
    <t>Heap-use-after-free in WebCore::RenderQuote::rendererRemovedFromTree</t>
  </si>
  <si>
    <t>Clusterfuzz M-22 Merge-Merged OS-All Pri-1 Restrict-AddIssueComment-EditIssue Security-CodeYellow Security_Impact-Stable Security_Severity-High Stability-Memory-AddressSanitizer Type-Bug-Security WebKit-ID-90473 allpublic</t>
  </si>
  <si>
    <t>Merged into 135173</t>
  </si>
  <si>
    <t>Use after free related to ApplyBlockElementCommand::formatSelection</t>
  </si>
  <si>
    <t>chrome_55000000!WebCore::FEBlend::apply+0x1a5</t>
  </si>
  <si>
    <t>Pri-1 Restrict-AddIssueComment-Commit Reward-1000 Security Security_Impact-Stable Security_Severity-High Type-Bug-Security allpublic</t>
  </si>
  <si>
    <t>Navigating to a cached page can result in accessing a destroyed HTMLInputElement [CVE-2010-0052]</t>
  </si>
  <si>
    <t>Pri-0 Restrict-AddIssueComment-Commit Security Security_Impact-Stable Security_Severity-High Type-Bug-Security allpublic</t>
  </si>
  <si>
    <t>Heap-use-after-free in WebCore::SVGElementInstance::invalidateAllInstancesOfElement</t>
  </si>
  <si>
    <t>Clusterfuzz M-26 Merge-Merged OS-All Pri-1 Release-0 Security_Impact-Stable Security_Severity-High Stability-Memory-AddressSanitizer Type-Bug-Security WebKit-ID-111085 allpublic release-private</t>
  </si>
  <si>
    <t>UNKNOWN in v8::internal::Simulator::DecodeType3</t>
  </si>
  <si>
    <t>Arch-ARM CVE-2014-3152 Clusterfuzz M-35 Merge-Merged OS-All Pri-1 Release-0-M35 ReleaseBlock-Stable Security_Impact-Stable Security_Severity-High Stability-Memory-AddressSanitizer Type-Bug-Security allpublic</t>
  </si>
  <si>
    <t>NO STACK</t>
  </si>
  <si>
    <t>Clusterfuzz M-44 OS-All Pri-1 Release-0-M44 Security_Impact-Stable Security_Severity-High Stability-Memory-AddressSanitizer Type-Bug-Security allpublic reward-3500 reward-inprocess</t>
  </si>
  <si>
    <t>Security: Flash Player Integer Overflow in Function.apply</t>
  </si>
  <si>
    <t>CVE-2015-3087 M-42 OS-All Pri-1 Security_Impact-Stable Security_Severity-High Type-Bug-Security allpublic reward-7500</t>
  </si>
  <si>
    <t>Bad cast in WebCore::RenderThemeMac::paintMediaToggleClosedCaptionsButton</t>
  </si>
  <si>
    <t>M-16 Merge-Merged-912 OS-Mac Pri-1 Restrict-AddIssueComment-EditIssue Security_Impact-Stable Security_Severity-High Type-Bug-Security allpublic</t>
  </si>
  <si>
    <t>Blink&gt;SVG Blink&gt;XML</t>
  </si>
  <si>
    <t>CVE-2013-2911 M-30 Merge-Merged OS-All Pri-1 Release-0 Reward-1000 Security_Impact-Stable Security_Severity-High Stability-ThreadSanitizer Type-Bug-Security allpublic merge-merged-1599</t>
  </si>
  <si>
    <t>window.external leaks the entire global object by way of the wrapper and also allows cross origin script access</t>
  </si>
  <si>
    <t>M-56 OS-All Performance-Memory Pri-1 Release-0-M57 Security_Impact-Stable Security_Severity-High Type-Bug-Security allpublic merge-merged-2924 merge-merged-2987</t>
  </si>
  <si>
    <t>esprehn@chromium.org</t>
  </si>
  <si>
    <t>Use after free in ReplacementFragment::removeUnrenderedNodes</t>
  </si>
  <si>
    <t>CVE-2011-2817 Clusterfuzz M-13 OS-All Pri-1 Restrict-AddIssueComment-EditIssue Security_Impact-Stable Security_Severity-High Stability-Memory-AddressSanitizer Type-Bug-Security allpublic</t>
  </si>
  <si>
    <t>Security: Adobe Flash ContextMenu Use After Free</t>
  </si>
  <si>
    <t>xiong12...@gmail.com</t>
  </si>
  <si>
    <t>Security: heap-buffer-overflow in opj_tcd_code_block_dec_allocate</t>
  </si>
  <si>
    <t>CVE-2016-5158 Hotlist-Merge-Review M-53 OS-All Pri-1 Release-0-M53 Security_Impact-Stable Security_Severity-High Type-Bug-Security allpublic merge-merged-2785 reward-3500 reward-inprocess</t>
  </si>
  <si>
    <t>Negative-size-param in opj_t2_decode_packets</t>
  </si>
  <si>
    <t>CVE-2014-7901 M-39 Merge-Merged Pri-1 Release-0-M39 Reward-1000 Security_Impact-Stable Security_Severity-High Type-Bug-Security allpublic</t>
  </si>
  <si>
    <t>Use-after-free in WebCore::RenderBlockFlow::addOverhangingFloats</t>
  </si>
  <si>
    <t>Clusterfuzz Deadline-Exceeded Hotlist-SyzyASAN M-55 Merge-Merged Merge-merged-2062 OS-All Pri-1 Release-0-M37 Security_Impact-Stable Security_Severity-High Type-Bug-Security allpublic</t>
  </si>
  <si>
    <t>Merged into 388757</t>
  </si>
  <si>
    <t>dyja...@gmail.com</t>
  </si>
  <si>
    <t>Pwn2own: RenderViewImpl::LaunchAndroidContentIntent in renderer can open arbitrary content intent scheme urls</t>
  </si>
  <si>
    <t>CVE-2016-5197 M-54 M-55 OS-Android Pri-0 Release-2-M54 Security_Impact-Stable Security_Severity-High Type-Bug-Security allpublic merge-merged-2840 merge-merged-2883</t>
  </si>
  <si>
    <t>Pwn2Own: V8 OOB Bug.</t>
  </si>
  <si>
    <t>CVE-2016-5198 Hotlist-Merge-Approved Hotlist-Merge-Review NodeJS-Backport-Approved OS-Android OS-Chrome OS-Linux OS-Mac OS-Windows Pri-1 Release-2-M54 Security_Impact-Stable Security_Severity-High Stability-Memory-AddressSanitizer Type-Bug-Security allpublic merge-merged-5.4 merge-merged-5.5</t>
  </si>
  <si>
    <t>Merged into 659475</t>
  </si>
  <si>
    <t>Blink Blink&gt;Media&gt;Audio Internals&gt;Media&gt;Audio</t>
  </si>
  <si>
    <t>Invalid pointer read in WebCore::WaveShaperProcessor::process</t>
  </si>
  <si>
    <t>CVE-2013-2845 M-27 Pri-1 Release-0 Security_Impact-Stable Security_Severity-High Type-Bug-Security allpublic reward-ineligible</t>
  </si>
  <si>
    <t>Heap use after free in WorkerTarget::~WorkerTarget</t>
  </si>
  <si>
    <t>Hotlist-Merge-Review M-51 OS-Linux Pri-1 Release-3-M51 Security_Impact-Stable Security_Severity-High Stability-Crash Type-Bug-Security Via-Wizard allpublic merge-merged-2704</t>
  </si>
  <si>
    <t>edisont@google.com</t>
  </si>
  <si>
    <t>Merged into 610799</t>
  </si>
  <si>
    <t>ligim...@chromium.org</t>
  </si>
  <si>
    <t>Integer overflow in style elements</t>
  </si>
  <si>
    <t>CVE-2011-1290 M-10 Pri-1 ReleaseBlock-Dev ReleaseBlock-Stable Restrict-AddIssueComment-EditIssue Reward-1337 Security Security_Impact-Stable Security_Severity-High Type-Bug-Security allpublic</t>
  </si>
  <si>
    <t>Crash with PDF at bad IP</t>
  </si>
  <si>
    <t>CVE-2011-3957 M-17 Pri-1 Restrict-AddIssueComment-EditIssue Reward-1000 Security_Impact-Stable Security_Severity-High Type-Bug-Security allpublic</t>
  </si>
  <si>
    <t>Blink&gt;Storage</t>
  </si>
  <si>
    <t>Blob ctor with large / diverse parts array kills the tab</t>
  </si>
  <si>
    <t>ClusterFuzz-Verified Hotlist-Google Hotlist-Merge-Review M-53 OS-Linux Pri-0 Release-0-M53 Security_Impact-Stable Security_Severity-High Stability-Crash Stability-Memory-AddressSanitizer Type-Bug Via-Wizard allpublic merge-merged-2704 merge-merged-2743</t>
  </si>
  <si>
    <t>rsturgell@google.com</t>
  </si>
  <si>
    <t>Merged into 619217</t>
  </si>
  <si>
    <t>Merged into 619368</t>
  </si>
  <si>
    <t>UI&gt;Browser&gt;Omnibox&gt;SecurityIndicators</t>
  </si>
  <si>
    <t>Security: www.google.fr marked as "secure" with a Microsoft SSL certificate</t>
  </si>
  <si>
    <t>CVE-2017-5035 FoundIn-M-58 Fracas Fracas-Wrong Hotlist-Merge-Review M-56 M-57 Needs-Feedback OS-Mac OS-Windows Pri-1 Release-0-M57 Security_Impact-Stable Security_Severity-High Team-Security-UX Type-Bug-Security allpublic merge-merged-2987 reward-3000 reward-decline</t>
  </si>
  <si>
    <t>Mac Windows</t>
  </si>
  <si>
    <t>erasmus...@gmail.com</t>
  </si>
  <si>
    <t>ASSERTION FAILED: m_table Heap-use-after-free in WTF::HashTable&lt;WebCore::SVGElement const* WTF::KeyValuePair&lt;WebCore::SVGElement const* WebCore::SV</t>
  </si>
  <si>
    <t>CVE-2013-2837 M-27 Merge-Merged OS-All Pri-1 Release-0 Reward-1000 Security_Impact-Stable Security_Severity-High Stability-Memory-AddressSanitizer Type-Bug-Security WebKit-ID-115361 allpublic merge-merged-chromium</t>
  </si>
  <si>
    <t>Bad cast in CSSParser::createFontFaceRule</t>
  </si>
  <si>
    <t>ApprovedForMerge CVE-2011-1805 M-11 OS-All Pri-1 Restrict-AddIssueComment-EditIssue Security_Impact-Stable Security_Severity-High Stability-Memory-AddressSanitizer Type-Bug-Security allpublic</t>
  </si>
  <si>
    <t>Blink Content</t>
  </si>
  <si>
    <t>Clusterfuzz M-31 Nag OS-All Pri-0 Release-0-M32 ReleaseBlock-Stable Security_Impact-Stable Security_Severity-High Stability-Memory-AddressSanitizer Type-Bug-Security allpublic</t>
  </si>
  <si>
    <t>Security: ARM constant pool can be blocked for too long</t>
  </si>
  <si>
    <t>Arch-ARM M-44 Merge-Merged-44 Merge-merged-45 OS-All Pri-1 Security_Impact-Stable Security_Severity-High Type-Bug-Security allpublic merge-merged-4.4 merge-merged-4.5</t>
  </si>
  <si>
    <t>Use after free with reflections and composited layers</t>
  </si>
  <si>
    <t>M-19 Merge-Merged OS-All Pri-1 Restrict-AddIssueComment-EditIssue Security_Impact-Stable Security_Severity-High Type-Bug-Security allpublic</t>
  </si>
  <si>
    <t>Use after free in document.close()</t>
  </si>
  <si>
    <t>M-6 OS-All Pri-1 ReleaseBlock-Stable Restrict-AddIssueComment-EditIssue Security Security_Impact-Stable Security_Severity-High Type-Bug-Security allpublic reward-500</t>
  </si>
  <si>
    <t>Internals Security</t>
  </si>
  <si>
    <t>FileAPIMessageFilter::OnOpenFile opens files with greater permissions than checked</t>
  </si>
  <si>
    <t>M-30 Merge-Merged OS-All Pri-1 Release-0 Security_Impact-Stable Security_Severity-High Type-Bug-Security allpublic merge-merged-1599</t>
  </si>
  <si>
    <t>tommycli@chromium.org</t>
  </si>
  <si>
    <t>Security: Address bar spoofing on Android with window.open() + 204 No Content</t>
  </si>
  <si>
    <t>M-30 M-31 Merge-Merged Merge-To-M-31-30 OS-Android Pri-1 Release-0-M31 Security_Impact-Stable Security_Severity-High Type-Bug-Security allpublic merge-merged-1599 merge-merged-1650</t>
  </si>
  <si>
    <t>creis@chromium.org</t>
  </si>
  <si>
    <t>Stale pointer in SVGResourceFilter</t>
  </si>
  <si>
    <t>M-6 Pri-2 Restrict-AddIssueComment-EditIssue Security Security_Impact-Stable Security_Severity-High Type-Bug-Security allpublic reward-NA</t>
  </si>
  <si>
    <t>tav...@gmail.com</t>
  </si>
  <si>
    <t>Heap-buffer-overflow in SkScalerContext_DW::generateImage</t>
  </si>
  <si>
    <t>Clusterfuzz M-37 M-38 Merge-Merged OS-All Release-0-M38 Security_Impact-Stable Security_Severity-High Stability-Memory-AddressSanitizer Type-Bug-Security allpublic</t>
  </si>
  <si>
    <t>Blink&gt;Loader</t>
  </si>
  <si>
    <t>Heap-use-after-free in content::RenderFrameImpl::didFinishLoad</t>
  </si>
  <si>
    <t>Clusterfuzz M-36 Merge-merged-1985 OS-All Pri-1 Release-0-M36 Security_Impact-Stable Security_Severity-High Stability-Memory-AddressSanitizer Type-Bug-Security allpublic</t>
  </si>
  <si>
    <t>CVE-2012-3656 Clusterfuzz M-18 Merge-Merged OS-All Pri-1 Restrict-AddIssueComment-EditIssue Security_Impact-Stable Security_Severity-High Stability-Memory-AddressSanitizer Type-Bug-Security allpublic</t>
  </si>
  <si>
    <t>Integer underflow in HTMLFormElement::m_associatedElementsAfterIndex</t>
  </si>
  <si>
    <t>CVE-2011-1795 M-11 OS-All Pri-1 ReleaseBlock-Stable Restrict-AddIssueComment-EditIssue Security_Impact-Stable Security_Severity-High Type-Bug-Security allpublic</t>
  </si>
  <si>
    <t>UI UI&gt;Browser&gt;Autofill</t>
  </si>
  <si>
    <t>Render crash in FormManager::FindCachedFormElement()</t>
  </si>
  <si>
    <t>M-7 OS-All Pri-1 ReleaseBlock-Stable Restrict-AddIssueComment-EditIssue Security Security_Impact-Stable Security_Severity-High Stability-Crash Type-Bug-Security allpublic bulkmove</t>
  </si>
  <si>
    <t>sh...@chromium.org</t>
  </si>
  <si>
    <t>Internals UI&gt;Internationalization</t>
  </si>
  <si>
    <t>Need to upgrade ICU in third_party</t>
  </si>
  <si>
    <t>M-4 OS-All Pri-1 Restrict-AddIssueComment-EditIssue Security Security_Impact-Stable Security_Severity-High TaskForce-Fixit Type-Bug-Security allpublic bulkmove</t>
  </si>
  <si>
    <t>agl@chromium.org</t>
  </si>
  <si>
    <t>Pwn2own (3/13/2014): Use-after-free in bindings</t>
  </si>
  <si>
    <t>CVE-2014-1713 M-33 M-34 Merge-Merged OS-All Pri-0 Release-3-M33 Security_Impact-Stable Security_Severity-High Type-Bug-Security allpublic</t>
  </si>
  <si>
    <t>Heap-buffer-overflow in wk_png_inflate</t>
  </si>
  <si>
    <t>CVE-2011-3045 M-17 Merge-Merged OS-All Pri-2 Restrict-AddIssueComment-EditIssue Security_Impact-Stable Security_Severity-High Type-Bug-Security allpublic merge-merged-1025 merge-merged-963 reward-NA</t>
  </si>
  <si>
    <t>glen...@gmail.com</t>
  </si>
  <si>
    <t>EXTERNAL-REPORT: SVGElementInstance::m_useElement not cleared on corresponding use element destruction</t>
  </si>
  <si>
    <t>M-8 OS-All Pri-1 ReleaseBlock-Stable Restrict-AddIssueComment-EditIssue Security Security_Impact-Stable Security_Severity-High Type-Bug-Security allpublic reward-500</t>
  </si>
  <si>
    <t>Internals&gt;Compositing</t>
  </si>
  <si>
    <t>Scroll pointer iteration during tree sync is a really bad idea</t>
  </si>
  <si>
    <t>M-35 OS-All Pri-1 Release-0-M35 Security_Impact-Stable Security_Severity-High Type-Bug-Security allpublic merge-rejected</t>
  </si>
  <si>
    <t>Heap-use-after-free in WebCore::SVGPropertyTearOff&lt;WebCore::SVGMatrix&gt;::detachWrapper</t>
  </si>
  <si>
    <t>Clusterfuzz M-31 M-32 Merge-Merged-1700 OS-All Pri-1 Release-0-M32 Security_Impact-Stable Security_Severity-High Stability-Memory-AddressSanitizer Type-Bug-Security allpublic</t>
  </si>
  <si>
    <t>[MD audit] [Window Sandbox] CrossCallParamsEx::CreateFromBuffer() integer overflow</t>
  </si>
  <si>
    <t>OS-Windows Pri-0 Restrict-AddIssueComment-Commit Security Security_Impact-Stable Security_Severity-High Type-Bug-Security allpublic</t>
  </si>
  <si>
    <t>Use after free with counters and inline-table and :before content</t>
  </si>
  <si>
    <t>Clusterfuzz M-16 Merge-Merged OS-All Pri-1 Restrict-AddIssueComment-EditIssue Security_Impact-Stable Security_Severity-High Stability-Memory-AddressSanitizer Type-Bug-Security allpublic</t>
  </si>
  <si>
    <t>Merged into 101065</t>
  </si>
  <si>
    <t>sidhpurw...@gmail.com</t>
  </si>
  <si>
    <t>Memory corruption with creating lines on renderblocks.</t>
  </si>
  <si>
    <t>WebSQL shoudn't run a nested message loop during renderer shutdown.</t>
  </si>
  <si>
    <t>Clusterfuzz Hotlist-Recharge M-48 Merge-na OS-All Pri-1 Release-0-M48 Security_Impact-Stable Security_Severity-High Stability-Memory-AddressSanitizer Type-Bug-Security allpublic</t>
  </si>
  <si>
    <t>Heap-use-after-free in WebCore::HTMLMediaElement::~HTMLMediaElement</t>
  </si>
  <si>
    <t>CVE-2013-2846 HasTestcase M-27 OS-All Pri-1 Release-0 Reward-1000 Security_Impact-Stable Security_Severity-High Stability-Memory-AddressSanitizer Type-Bug-Security WebKit-ID-110623 allpublic</t>
  </si>
  <si>
    <t>Internals&gt;GPU&gt;Canvas2D</t>
  </si>
  <si>
    <t>Heap-use-after-free in content::BindWebGraphicsContext3DGLContextCallback</t>
  </si>
  <si>
    <t>Clusterfuzz M-47 M-48 Merve-NA OS-Linux Pri-1 Release-0-M48 Security_Impact-Stable Security_Severity-High Stability-Memory-AddressSanitizer Type-Bug-Security Unreproducible allpublic</t>
  </si>
  <si>
    <t>Heap-buffer-overflow in std::less&lt;std::string&gt;::operator</t>
  </si>
  <si>
    <t>CVE-2014-7924 Clusterfuzz External-Fuzzer-Contribution M-40 Merge-Merged Merge-merged-2214 OS-All Pri-1 Release-0-M40 Security_Impact-Stable Security_Severity-High Stability-Memory-AddressSanitizer Type-Bug-Security allpublic reward-4500</t>
  </si>
  <si>
    <t>Heap-use-after-free in WebCore::RenderTableSection::paintCell</t>
  </si>
  <si>
    <t>CVE-2012-2817 M-20 Merge-Merged OS-All Pri-1 Restrict-AddIssueComment-EditIssue Reward-1000 Security_Impact-Stable Security_Severity-High Stability-Memory-AddressSanitizer Type-Bug-Security allpublic</t>
  </si>
  <si>
    <t>Merged into 120222</t>
  </si>
  <si>
    <t>Heap-use-after-free in WebCore::RenderBlock::insertIntoTrackedRendererMaps</t>
  </si>
  <si>
    <t>Heap-use-after-free in WebCore::RenderQuote::placeQuote</t>
  </si>
  <si>
    <t>CVE-2011-3039 M-17 Merge-Merged Pri-1 Restrict-AddIssueComment-EditIssue Reward-1000 Security_Impact-Stable Security_Severity-High Stability-Memory-AddressSanitizer Type-Bug-Security allpublic</t>
  </si>
  <si>
    <t>Same Origin Policy Bypass via getSVGDocument() method.</t>
  </si>
  <si>
    <t>M-3 OS-All Pri-0 Restrict-AddIssueComment-EditIssue Security Security-High Security_Impact-Stable Security_Severity-High Type-Bug-Security allpublic reward-500</t>
  </si>
  <si>
    <t>isaac.da...@gmail.com</t>
  </si>
  <si>
    <t>Crash in XMLTokenizer::popCurrentNode if window.close() is called during parsing [CVE-2010-0048]</t>
  </si>
  <si>
    <t>Cross-origin bypass: Javascript URL can be set in iframe.src via numerous DOM aliases (via Node and NamedNodeMap)</t>
  </si>
  <si>
    <t>M-5 Pri-2 Restrict-AddIssueComment-EditIssue Reward-1000 Security Security_Impact-Stable Security_Severity-High Type-Bug-Security allpublic</t>
  </si>
  <si>
    <t>UNKNOWN in WebCore::QualifiedName* WTF::HashTable&lt;WebCore::QualifiedName WebCore::QualifiedName WTF::Identity</t>
  </si>
  <si>
    <t>Clusterfuzz M-27 Merge-Merged OS-All Pri-1 Release-0 Security_Impact-Stable Security_Severity-High Stability-Memory-AddressSanitizer Type-Bug-Security allpublic</t>
  </si>
  <si>
    <t>Heap-double-free in SkPictureData::~SkPictureData</t>
  </si>
  <si>
    <t>Clusterfuzz M-43 M-44 Merge-na Missing_Owner-2 OS-All Pri-1 Release-0-M44 ReleaseBlock-Stable Security_Impact-Stable Security_Severity-High Stability-Memory-AddressSanitizer Type-Bug-Security allpublic reward-5000 reward-inprocess reward_to-cloudfuzzer_at_gmail.com</t>
  </si>
  <si>
    <t>Stack-buffer-overflow in SkPackBits::Unpack8</t>
  </si>
  <si>
    <t>Clusterfuzz M-44 Merge-Merged-2403 OS-All Pri-1 Release-0-M44 Security_Impact-Stable Security_Severity-High Stability-Memory-AddressSanitizer Type-Bug-Security allpublic reward-5000 reward-inprocess reward_to-cloudfuzzer_at_gmail.com</t>
  </si>
  <si>
    <t>UNKNOWN in SkReader32::readString</t>
  </si>
  <si>
    <t>CVE-2015-1280 Clusterfuzz M-43 M-44 Merge-Merged-2403 OS-All Pri-1 Release-0-M44 ReleaseBlock-Stable Security_Impact-Stable Security_Severity-High Stability-Memory-AddressSanitizer Type-Bug-Security allpublic reward-5000</t>
  </si>
  <si>
    <t>Use after free in ListIterms and RunIns rendering (from bug 88680)</t>
  </si>
  <si>
    <t>M-15 Merge-Merged OS-All Pri-1 Restrict-AddIssueComment-EditIssue Reward-1000 Security_Impact-Stable Security_Severity-High Type-Bug-Security allpublic merge-merged-874</t>
  </si>
  <si>
    <t>Security: AccessibilityImageMapLink holds onto it's parent even after it's been freed</t>
  </si>
  <si>
    <t>M-16 OS-All Pri-1 Restrict-AddIssueComment-EditIssue Security_Impact-Stable Security_Severity-High Type-Bug-Security allpublic reward-NA</t>
  </si>
  <si>
    <t>chris.fl...@gmail.com</t>
  </si>
  <si>
    <t>Heap-buffer-overflow in android::BlobCache::flatten</t>
  </si>
  <si>
    <t>Clusterfuzz M-39 M-40 OS-Android Pri-1 Release-NA Security_Impact-Stable Security_Severity-High Stability-Memory-AddressSanitizer Type-Bug-Security allpublic</t>
  </si>
  <si>
    <t>CVE-2013-2873 M-28 Merge-Merged OS-All Pri-1 Release-0 Reward-1000 Security-Code28 Security_Impact-Stable Security_Severity-High Stability-Memory-AddressSanitizer Type-Bug-Security allpublic</t>
  </si>
  <si>
    <t>Use after free in LayoutPluginTester.SelfDeletePluginInvoke</t>
  </si>
  <si>
    <t>M-14 OS-Linux Pri-1 Restrict-AddIssueComment-EditIssue Security_Impact-Stable Security_Severity-High Stability-Memory-AddressSanitizer Stability-Valgrind Type-Bug-Security allpublic</t>
  </si>
  <si>
    <t>hbono@chromium.org</t>
  </si>
  <si>
    <t>Internals UI&gt;Input&gt;Text&gt;IME</t>
  </si>
  <si>
    <t>Use-after-free in views::HWNDMessageHandler::_ProcessWindowMessage</t>
  </si>
  <si>
    <t>Clusterfuzz Hotlist-SyzyASAN M-31 Nag OS-All Pri-1 Proj-DesktopAura Release-0 Security_Impact-Stable Security_Severity-High Type-Bug-Security allpublic</t>
  </si>
  <si>
    <t>UI&gt;Browser&gt;Autofill</t>
  </si>
  <si>
    <t>AutofillHostMsg_ShowPasswordSuggestions: validate that suggestions.size() == realms.size()</t>
  </si>
  <si>
    <t>IPCFuzz M-32 Merge-Merged-1700 Merge-merged-1750 OS-All Pri-1 Release-1-M32 ReleaseBlock-Stable Security_Impact-Stable Security_Severity-High Type-Bug-Security allpublic</t>
  </si>
  <si>
    <t>UAF in DOMContentLoaded</t>
  </si>
  <si>
    <t>M-22 Merge-Merged OS-All Pri-1 Security_Impact-Stable Security_Severity-High Type-Bug-Security allpublic reward-2000</t>
  </si>
  <si>
    <t>Merged into 139814</t>
  </si>
  <si>
    <t>asvitk...@chromium.org</t>
  </si>
  <si>
    <t>Global-buffer-overflow in CJS_PublicMethods::MakeFormatDate</t>
  </si>
  <si>
    <t>Clusterfuzz M-36 OS-All Pri-1 Release-0-M36 Security_Impact-Stable Security_Severity-High Stability-Memory-AddressSanitizer Type-Bug-Security allpublic</t>
  </si>
  <si>
    <t>Clusterfuzz Hotlist-Merge-Approved M-49 Merge-Merged-2623 OS-Linux Pri-1 Release-0-M49 ReleaseBlock-Stable Reproducible Security_Impact-Stable Security_Severity-High Stability-Memory-AddressSanitizer Type-Bug-Security allpublic</t>
  </si>
  <si>
    <t>height of &lt;rect&gt; - integer overflow(?)</t>
  </si>
  <si>
    <t>Heap-use-after-free in WebCore::AudioNodeOutput::pull</t>
  </si>
  <si>
    <t>CVE-2013-2845 M-27 Merge-Merged OS-All Pri-1 Release-0 Security_Impact-Stable Security_Severity-High Type-Bug-Security allpublic merge-merged-chromium reward-3133</t>
  </si>
  <si>
    <t>Merged into 179522</t>
  </si>
  <si>
    <t>cdieh...@gmail.com</t>
  </si>
  <si>
    <t>Linux setuid sandbox allows local privilege escalation</t>
  </si>
  <si>
    <t>CVE-2011-1444 M-11 Pri-0 ReleaseBlock-Stable Restrict-AddIssueComment-EditIssue Security Security_Impact-Stable Security_Severity-High Type-Bug-Security allpublic reward-500</t>
  </si>
  <si>
    <t>dan.j.ro...@gmail.com</t>
  </si>
  <si>
    <t>Heap-buffer-overflow in WebCore::XPath::sortBlock</t>
  </si>
  <si>
    <t>M-22 Merge-Merged OS-All Pri-1 Restrict-AddIssueComment-EditIssue Security-CodeYellow Security_Impact-Stable Security_Severity-High Type-Bug-Security allpublic</t>
  </si>
  <si>
    <t>Security: Unchecked .end() iterator dereference in VTVideoDecodeAccelerator::ReusePictureBuffer</t>
  </si>
  <si>
    <t>CVE-2016-5167 Hotlist-Merge-Approved Hotlist-Merge-Review M-53 Merge-Review-52 OS-Mac Pri-1 Release-0-M53 Security_Impact-Stable Security_Severity-High Type-Bug-Security allpublic merge-merged-2785</t>
  </si>
  <si>
    <t>Security: pwn2own 2015 exploit #1</t>
  </si>
  <si>
    <t>M-41 M-42 Merge-na OS-Windows Pri-1 Release-2-M41 Security_Impact-Stable Security_Severity-High Type-Bug-Security allpublic</t>
  </si>
  <si>
    <t>Pwn2own gpu bug</t>
  </si>
  <si>
    <t>CVE-2015-1234 Hotlist-Merge-Approved M-41 M-42 Merge-Merged-2311 OS-All Pri-1 Release-2-M41 Security_Impact-Stable Security_Severity-High Type-Bug-Security allpublic merge-merged-2272</t>
  </si>
  <si>
    <t>Security: ANGLE libGLESv2 Integer Overflow</t>
  </si>
  <si>
    <t>CVE-2013-2901 M-29 Merge-Merged OS-Windows Pri-1 Release-0 Reward-1337 Security_Impact-Stable Security_Severity-High Type-Bug-Security allpublic</t>
  </si>
  <si>
    <t>alex.cha...@contextis.co.uk</t>
  </si>
  <si>
    <t>Use of stale HTMLImageElement pointer in JSHTMLFormElement::nameGetter</t>
  </si>
  <si>
    <t>Use after free due to floats not cleared from parent's next siblings blocks (on losing ability to intrude floats)</t>
  </si>
  <si>
    <t>CVE-2011-2790 M-13 OS-All Pri-1 ReleaseBlock-Stable Restrict-AddIssueComment-EditIssue Reward-1000 Security_Impact-Stable Security_Severity-High Type-Bug-Security allpublic</t>
  </si>
  <si>
    <t>use after free in WebCore::ScriptWrappable::wrapper</t>
  </si>
  <si>
    <t>CVE-2011-2830 M-14 Merge-Merged OS-All Pri-1 Restrict-AddIssueComment-EditIssue Security_Impact-Stable Security_Severity-High Stability-Memory Stability-Memory-AddressSanitizer Stability-Valgrind Type-Bug-Security allpublic</t>
  </si>
  <si>
    <t>Merged into 76771</t>
  </si>
  <si>
    <t>Heap-use-after-free in content::MediaStreamTrackMetricsObserver::SendLifetimeMessages</t>
  </si>
  <si>
    <t>Clusterfuzz M-40 Merge-Merged Merge-merged-2214 OS-All Pri-1 Release-0-M40 ReleaseBlock-Beta Security_Impact-Stable Security_Severity-High Stability-Memory-AddressSanitizer Type-Bug-Security allpublic</t>
  </si>
  <si>
    <t>use-after-poison content::WebURLLoaderImpl::Context::OnReceivedResponse</t>
  </si>
  <si>
    <t>Deadline-Exceeded M-57 OS-Android OS-Chrome OS-Linux OS-Mac OS-Windows Pri-1 Security_Impact-Stable Security_Severity-High Type-Bug-Security Via-Wizard-Security allpublic reward-0</t>
  </si>
  <si>
    <t>r...@revskills.cz</t>
  </si>
  <si>
    <t>Renderer crash on very big animated gif image @ WebCore::RGBA32Buffer::setRGBA(unsigned int *unsigned intunsigned intunsigned intunsigned int)</t>
  </si>
  <si>
    <t>M-7 Pri-1 ReleaseBlock-Beta Restrict-AddIssueComment-EditIssue Security Security_Impact-Stable Security_Severity-High Stability-Crash Type-Bug-Security allpublic bulkmove reward-500</t>
  </si>
  <si>
    <t>simon.sc...@gmail.com</t>
  </si>
  <si>
    <t>Internals&gt;Network&gt;SSL</t>
  </si>
  <si>
    <t>Heap-use-after-free in ASN1_STRING_free</t>
  </si>
  <si>
    <t>Clusterfuzz Hotlist-Merge-Review M-48 Merge-Merged-2623 Merge-Review-48 OS-Linux Pri-1 Reproducible Security_Impact-Stable Security_Severity-High Stability-Libfuzzer Stability-Memory-AddressSanitizer Type-Bug-Security allpublic</t>
  </si>
  <si>
    <t>Flash: out-of-bounds write in shader handling</t>
  </si>
  <si>
    <t>CVE-2015-3041 M-40 OS-All Pri-1 Security_Impact-Stable Security_Severity-High Type-Bug-Security allpublic reward-3000 reward-inprocess</t>
  </si>
  <si>
    <t>Use after free due to flexible box not laying some of its children.</t>
  </si>
  <si>
    <t>Internals&gt;Network&gt;HTTP</t>
  </si>
  <si>
    <t>HTTP 1xx response handling code allows a website to read memory from the main process' heap.</t>
  </si>
  <si>
    <t>CVE-2013-6627 M-31 Pri-1 Release-0-M31 Security_Impact-Stable Security_Severity-High Type-Bug-Security allpublic merge-merged-1650 reward-4000 reward-inprocess</t>
  </si>
  <si>
    <t>Bad-cast to SessionService from invalid vptr;bind_internal.h:248:12</t>
  </si>
  <si>
    <t>CVE-2014-3193 Clusterfuzz External-Fuzzer-Contribution M-38 Merge-Merged Merge-merged-2125 OS-All Pri-1 Release-0-M38 Security_Impact-Stable Security_Severity-High Type-Bug-Security allpublic reward-1500</t>
  </si>
  <si>
    <t>Segmentation fault in WebCore::RenderLayer::paintList when a malformed PNG image is viewed</t>
  </si>
  <si>
    <t>M-5 Pri-1 Restrict-AddIssueComment-EditIssue Reward-1000 Security Security_Impact-Stable Security_Severity-High Type-Bug-Security allpublic</t>
  </si>
  <si>
    <t>Clusterfuzz M-28 OS-All Pri-1 Release-0 Security_Impact-Stable Security_Severity-High Stability-Memory-AddressSanitizer Type-Bug-Security allpublic</t>
  </si>
  <si>
    <t>Security: use-after-free in WebCore::GraphicsContext::paintingDisabled</t>
  </si>
  <si>
    <t>M-23 Merge-Merged Pri-1 Reward-1000 Security_Impact-Stable Security_Severity-High Stability-Memory-AddressSanitizer Type-Bug-Security WebKit-ID-94652 allpublic</t>
  </si>
  <si>
    <t>UNKNOWN in icu_52::RegexMatcher::MatchChunkAt</t>
  </si>
  <si>
    <t>CVE-2014-7923 Merge-Merged Merge-Merged-2171 Merge-merged-2214 Nag OS-All Pri-1 Release-0-M40 Security_Impact-Stable Security_Severity-High Stability-Memory-AddressSanitizer Type-Bug-Security allpublic reward-5000</t>
  </si>
  <si>
    <t>Clusterfuzz M-36 M-37 Merge-Merged OS-All Pri-1 Release-1-M36 ReleaseBlock-Stable Security_Impact-Stable Security_Severity-High Stability-Memory-AddressSanitizer Type-Bug-Security allpublic</t>
  </si>
  <si>
    <t>Heap-use-after-free in WebCore::Node::normalize</t>
  </si>
  <si>
    <t>CVE-2012-3596 Clusterfuzz M-17 Merge-Merged OS-All Pri-1 Restrict-AddIssueComment-EditIssue Security_Impact-Stable Security_Severity-High Stability-Memory-AddressSanitizer Type-Bug-Security allpublic</t>
  </si>
  <si>
    <t>Heap-use-after-free in opj_t1_decode_cblks</t>
  </si>
  <si>
    <t>CVE-2014-7902 M-39 Merge-Merged Pri-1 Release-0-M39 Reward-1000 Security_Impact-Stable Security_Severity-High Type-Bug-Security allpublic</t>
  </si>
  <si>
    <t>Use after free when inline runin precedes details tag</t>
  </si>
  <si>
    <t>CVE-2011-1792 M-11 OS-All Pri-1 ReleaseBlock-Stable Restrict-AddIssueComment-EditIssue Security_Impact-Stable Security_Severity-High Type-Bug-Security allpublic</t>
  </si>
  <si>
    <t>Bad-cast to blink::LayoutBox from blink::LayoutText;LayoutBox.h:NUMBER:1</t>
  </si>
  <si>
    <t>Clusterfuzz Hotlist-Merge-Review M-43 Merge-merged-2357 OS-All Pri-1 Release-0-M43 Security_Impact-Stable Security_Severity-High Type-Bug-Security allpublic</t>
  </si>
  <si>
    <t>Heap-use-after-free in blink::Node::setNeedsStyleRecalc</t>
  </si>
  <si>
    <t>CVE-2014-7932 Hotlist-Merge-Approved M-40 Merge-Merged Merge-merged-2214 Pri-1 Release-0-M40 Security_Impact-Stable Security_Severity-High Stability-Memory-AddressSanitizer Type-Bug-Security allpublic reward-2000</t>
  </si>
  <si>
    <t>WebKit: invalid cast in WebCore::toRenderBlock / WebCore::RenderBlock::blockSelectionGaps</t>
  </si>
  <si>
    <t>Security: UXSS/SOP bypass with document.write (Chrome on iOS)</t>
  </si>
  <si>
    <t>CVE-2012-2899 M-21 OS-iOS Pri-1 Security_Impact-Stable Security_Severity-High Type-Bug-Security allpublic reward-500</t>
  </si>
  <si>
    <t>iOS</t>
  </si>
  <si>
    <t>Heap-use-after-free in WebCore::StyleResolver::collectMatchingRulesForList</t>
  </si>
  <si>
    <t>CVE-2012-2857 M-21 OS-All Pri-1 Restrict-AddIssueComment-EditIssue Reward-1000 Security_Impact-Stable Security_Severity-High Stability-Memory-AddressSanitizer Type-Bug-Security allpublic merge-merged-1180</t>
  </si>
  <si>
    <t>Heap-use-after-free in WebCore::SVGLength::value</t>
  </si>
  <si>
    <t>M-20 OS-All Pri-1 Restrict-AddIssueComment-EditIssue Security_Impact-Stable Security_Severity-High Type-Bug-Security allpublic reward-ineligible</t>
  </si>
  <si>
    <t>Heap memory corruption in web database support (SQLite/ICU)</t>
  </si>
  <si>
    <t>CVE-2011-2791 M-13 Pri-1 ReleaseBlock-Stable Restrict-AddIssueComment-EditIssue Reward-1000 Security_Impact-Stable Security_Severity-High Type-Bug-Security allpublic merge-merged-782</t>
  </si>
  <si>
    <t>ZDI-CAN-3563: New Vulnerability Report</t>
  </si>
  <si>
    <t>CVE-2016-1645 Hotlist-Merge-Review M-49 Merge-Merged-2623 OS-All Pri-1 Release-1-M49 Security_Impact-Stable Security_Severity-High Type-Bug-Security allpublic reward-ineligible</t>
  </si>
  <si>
    <t>Crash when using Web Audio + media element with no audio or when user navigates</t>
  </si>
  <si>
    <t>M-21 M21-bugbash OS-All Pri-1 Restrict-AddIssueComment-EditIssue Security_Impact-Stable Security_Severity-High Stability-Crash Type-Bug-Security allpublic merge-merged-1180</t>
  </si>
  <si>
    <t>alek...@chromium.org</t>
  </si>
  <si>
    <t>Merged into 132890</t>
  </si>
  <si>
    <t>daha...@gmail.com</t>
  </si>
  <si>
    <t>Use-after-free with plugin and editing</t>
  </si>
  <si>
    <t>CVE-2011-3888 M-15 Merge-Merged OS-All Pri-1 Restrict-AddIssueComment-EditIssue Reward-1000 Security_Impact-Stable Security_Severity-High Stability-Memory-AddressSanitizer Type-Bug-Security allpublic merge-merged-874</t>
  </si>
  <si>
    <t>Blink&gt;WebComponents</t>
  </si>
  <si>
    <t>Heap-use-after-free in WebCore::HTMLImportLoader::removeImport</t>
  </si>
  <si>
    <t>Clusterfuzz M-37 Merge-Merged Merge-merged-2062 Nag OS-All Pri-1 Release-0-M37 Security_Impact-Stable Security_Severity-High Stability-Memory-AddressSanitizer Type-Bug-Security allpublic</t>
  </si>
  <si>
    <t>Blink&gt;Network&gt;WebSockets</t>
  </si>
  <si>
    <t>Heap-use-after-free in WebCore::KURL::~KURL</t>
  </si>
  <si>
    <t>CVE-2014-3165 Clusterfuzz External-Fuzzer-Contribution M-36 Merge-merged-1985 Merge-merged-2062 OS-All Pri-1 Release-1-M36 ReleaseBlock-Stable Security_Impact-Stable Security_Severity-High Stability-Memory-AddressSanitizer Type-Bug-Security allpublic reward-2000</t>
  </si>
  <si>
    <t>Heap-use-after-free in WebCore::CachedResource::checkNotify</t>
  </si>
  <si>
    <t>Invalid memory access (with possible avenue to corruption)  in the xpath handling libxml</t>
  </si>
  <si>
    <t>CVE-2010-4008 M-7 OS-All Pri-1 ReleaseBlock-Stable Restrict-AddIssueComment-EditIssue Reward-1000 Security Security_Impact-Stable Security_Severity-High Type-Bug-Security allpublic</t>
  </si>
  <si>
    <t>min...@bkav.com.vn</t>
  </si>
  <si>
    <t>Heap-use-after-free in WebCore::HTMLBodyElement::insertedInto</t>
  </si>
  <si>
    <t>CVE-2014-1720 Merge-Merged-1847 OS-All Pri-1 Release-0-M34 Security_Impact-Stable Security_Severity-High Stability-Memory-AddressSanitizer Type-Bug-Security allpublic reward-2000</t>
  </si>
  <si>
    <t>Stale pointer in Range::processContents when modified during mutation event</t>
  </si>
  <si>
    <t>Security: Integer overflow from "offset + size" everywhere</t>
  </si>
  <si>
    <t>M-37 OS-All Pri-1 ReleaseBlock-Stable Security_Impact-Stable Security_Severity-High Type-Bug-Security allpublic wip</t>
  </si>
  <si>
    <t>mdempsky@chromium.org</t>
  </si>
  <si>
    <t>Probable memory corruption in WebCore::CounterNode::lastDescendant</t>
  </si>
  <si>
    <t>CVE-2011-1188 M-10 OS-All Pri-1 Restrict-AddIssueComment-EditIssue Security Security_Impact-Stable Security_Severity-High Type-Bug-Security allpublic reward-500</t>
  </si>
  <si>
    <t>Heap-use-after-free in WebCore::RenderObjectChildList::destroyLeftoverChildren</t>
  </si>
  <si>
    <t>CVE-2013-2918 M-30 Merge-Merged OS-All Pri-1 Release-0 Reward-1000 Security_Impact-Stable Security_Severity-High Stability-Memory-AddressSanitizer Stability-ThreadSanitizer Type-Bug-Security allpublic merge-merged-1599</t>
  </si>
  <si>
    <t>Heap-buffer-overflow in CPDF_DIBSource::GetScanline</t>
  </si>
  <si>
    <t>Clusterfuzz Hotlist-Merge-Approved M-46 M-47 M-48 OS-Linux Pri-1 Release-0-M47 Reproducible Security_Impact-Stable Security_Severity-High Stability-Memory-AddressSanitizer Type-Bug-Security allpublic merge-merged-2526</t>
  </si>
  <si>
    <t>Geolocation use after free</t>
  </si>
  <si>
    <t>M-6 M-7 OS-All Pri-1 Restrict-AddIssueComment-EditIssue Security Security_Impact-Stable Security_Severity-High Type-Bug-Security allpublic reward-500</t>
  </si>
  <si>
    <t>Bad-cast to CJS_EventHandler from ;PublicMethods.cpp:2026:7</t>
  </si>
  <si>
    <t>Clusterfuzz External-Fuzzer-Contribution Hotlist-Merge-Review M-45 M-46 Merge-Merged-2454 Merge-Merged-2490 OS-Linux Pri-1 Release-0-M46 Reproducible Security_Impact-Stable Security_Severity-High Type-Bug-Security allpublic reward-0</t>
  </si>
  <si>
    <t>RUNTIME_ASSERT in map-&gt;IsMap() in src/heap/spaces.cc</t>
  </si>
  <si>
    <t>Clusterfuzz Hotlist-Merge-Review M-50 OS-Linux Pri-1 Release-0-M50 Reproducible Security_Impact-Stable Security_Severity-High Type-Bug-Security allpublic merge-merged-5.0</t>
  </si>
  <si>
    <t>Security: V8 OOB Read(?) in GC with Array Object.</t>
  </si>
  <si>
    <t>CVE-2016-5129 Hotlist-Merge-Review M-51 M-52 OS-All Pri-1 Release-0-M52 Security_Impact-Stable Security_Severity-High Type-Bug-Security allpublic merge-merged-5.2 reward-5000 reward-inprocess</t>
  </si>
  <si>
    <t>sjh...@gmail.com</t>
  </si>
  <si>
    <t>Merged into 620553</t>
  </si>
  <si>
    <t>Internals&gt;Compositing&gt;Software Mobile&gt;WebView</t>
  </si>
  <si>
    <t>ChromeView segfaults writing illegally during Vellamo test with drawPosTextH</t>
  </si>
  <si>
    <t>M-30 Merge-Merged OS-Android Pri-2 Release-0 Security_Impact-Stable Security_Severity-High Type-Bug-Security allpublic merge-merged-1599</t>
  </si>
  <si>
    <t>tomhud...@chromium.org</t>
  </si>
  <si>
    <t>Breakpad ClientInfo::PopulateCustomInfo() integer wrap leads to heap overflow</t>
  </si>
  <si>
    <t>M-18 OS-Windows Pri-2 Restrict-AddIssueComment-EditIssue Security_Impact-Stable Security_Severity-High Type-Bug-Security allpublic</t>
  </si>
  <si>
    <t>Security: Renderer sandbox bypass by crafting LevelDB database in "profile/File System/"</t>
  </si>
  <si>
    <t>Audit-IPC CVE-2013-0829 M-24 Pri-0 Release-0 Security_Impact-Stable Security_Severity-High Type-Bug-Security allpublic merge-merged-1312</t>
  </si>
  <si>
    <t>Heap-use-after-free in blink::FileReader::doAbort</t>
  </si>
  <si>
    <t>CVE-2015-3080 M-40 Pri-1 Security_Impact-Stable Security_Severity-High Type-Bug-Security allpublic reward-5000</t>
  </si>
  <si>
    <t>Security: Universal XSS using a FrameNavigationDisabler bypass</t>
  </si>
  <si>
    <t>CVE-2016-1673 Pri-1 Release-0-M51 Security_Impact-Stable Security_Severity-High Type-Bug-Security allpublic reward-7500 reward-inprocess</t>
  </si>
  <si>
    <t>UNKNOWN in v8::internal::Simulator::DecodeTypeImmediate</t>
  </si>
  <si>
    <t>Clusterfuzz M-42 M-43 Merge-Merged-4.3 OS-All Pri-1 Release-0-M43 Security_Impact-Stable Security_Severity-High Stability-Memory-AddressSanitizer Type-Bug-Security allpublic</t>
  </si>
  <si>
    <t>Clusterfuzz Hotlist-Webkit M-33 Merge-na OS-All Pri-1 Security_Impact-Stable Security_Severity-High Stability-Memory-AddressSanitizer Type-Bug-Security allpublic</t>
  </si>
  <si>
    <t>Global-buffer-overflow in v8::internal::MarkCompactCollector::EmptyMarkingDeque</t>
  </si>
  <si>
    <t>Clusterfuzz Feature-v8 M-25 OS-All Pri-1 Security_Impact-Stable Security_Severity-High Stability-Memory-AddressSanitizer Type-Bug-Security allpublic</t>
  </si>
  <si>
    <t>Input validation error in BrowserPluginEmbedderHelper::OnHandleInputEvent() leads to bad cast</t>
  </si>
  <si>
    <t>Audit-IPC M-23 OS-All Pri-1 Security_Impact-Stable Security_Severity-High Type-Bug-Security allpublic</t>
  </si>
  <si>
    <t>Merged into 164682</t>
  </si>
  <si>
    <t>fsam...@chromium.org</t>
  </si>
  <si>
    <t>Heap-use-after-free in WebCore::Range::compareBoundaryPoints</t>
  </si>
  <si>
    <t>Clusterfuzz M-27 Merge-Merged OS-All Pri-1 Release-1 Security_Impact-Stable Security_Severity-High Stability-Memory-AddressSanitizer Type-Bug-Security allpublic</t>
  </si>
  <si>
    <t>Use-after-free in SVG renderer</t>
  </si>
  <si>
    <t>M-16 Merge-Merged OS-All Pri-1 Restrict-AddIssueComment-EditIssue Reward-1000 Security_Impact-Stable Security_Severity-High Stability-Memory-AddressSanitizer Type-Bug-Security WebKit-ID-71741 allpublic</t>
  </si>
  <si>
    <t>Heap-use-after-free in blink::FrameView::setScrollbarModes</t>
  </si>
  <si>
    <t>Clusterfuzz M-43 Merge-merged-2357 OS-All Pri-1 Release-0-M43 ReleaseBlock-Stable Security_Impact-Stable Security_Severity-High Stability-Memory-AddressSanitizer Type-Bug-Security allpublic</t>
  </si>
  <si>
    <t>Security: Page can run arbitrary code in the context of a UserGestureIndicator</t>
  </si>
  <si>
    <t>M-39 OS-Android Pri-1 Release-0-M39 ReleaseBlock-Stable Security_Impact-Stable Security_Severity-High Type-Bug-Security allpublic</t>
  </si>
  <si>
    <t>rbyers@chromium.org</t>
  </si>
  <si>
    <t>IPC: out-of-bounds vector accesses with mismatched vector</t>
  </si>
  <si>
    <t>Audit-IPC CVE-2013-0890 M-25 Merge-Merged OS-Linux Pri-0 Release-0 Security_Impact-Stable Security_Severity-High Type-Bug-Security allpublic merge-Merged-1364</t>
  </si>
  <si>
    <t>Heap-use-after-free in WebCore::RenderSVGModelObject::checkIntersection</t>
  </si>
  <si>
    <t>CVE-2012-3707 Clusterfuzz M-20 Merge-Merged OS-All Pri-1 Security_Impact-Stable Security_Severity-High Stability-Memory-AddressSanitizer Type-Bug-Security WebKit-ID-89059 allpublic</t>
  </si>
  <si>
    <t>Need to merge fix for WebKit font issue to 375 branch</t>
  </si>
  <si>
    <t>CVE-2012-3654 Clusterfuzz M-20 Merge-Merged OS-All Pri-1 Security_Impact-Stable Security_Severity-High Stability-Memory-AddressSanitizer Type-Bug-Security allpublic</t>
  </si>
  <si>
    <t>Merged into 122029</t>
  </si>
  <si>
    <t>Use-after-free in content::WebPluginDelegateStub::~WebPluginDelegateStub</t>
  </si>
  <si>
    <t>Clusterfuzz Hotlist-SyzyASAN Merge-merged-1750 Nag OS-All Pri-1 Release-0-M33 Security_Impact-Stable Security_Severity-High Type-Bug-Security allpublic</t>
  </si>
  <si>
    <t>Bad cast to RenderBlock in accessibility assuming that anonymous blocks are renderblocks.</t>
  </si>
  <si>
    <t>CVE-2011-1460 M-11 OS-All Pri-1 ReleaseBlock-Stable Restrict-AddIssueComment-EditIssue Security_Impact-Stable Security_Severity-High Type-Bug-Security allpublic</t>
  </si>
  <si>
    <t>Security: heap-buffer-overflow in opj_v4dwt_interleave_h</t>
  </si>
  <si>
    <t>CVE-2016-5159 Hotlist-Merge-Review M-53 OS-All Pri-1 Release-0-M53 Security_Impact-Stable Security_Severity-High Type-Bug-Security allpublic merge-merged-2785 reward-3500 reward-inprocess</t>
  </si>
  <si>
    <t>[LangFuzz] Crash at v8::internal::WriteQuoteJsonString with invalid write</t>
  </si>
  <si>
    <t>CVE-2011-3900 M-15 Merge-Merged OS-All Pri-1 ReleaseBlock-Stable Restrict-AddIssueComment-EditIssue Reward-1000 Security_Impact-Stable Security_Severity-High Type-Bug-Security allpublic</t>
  </si>
  <si>
    <t>Heap-use-after-free in CPDFSDK_Widget::SetAppModified</t>
  </si>
  <si>
    <t>Hotlist-Merge-Review M-53 Merge-Review-53 OS-All Pri-1 Release-0-M54 Security_Impact-Stable Security_Severity-High Type-Bug-Security allpublic merge-merged-2840 reward-NA</t>
  </si>
  <si>
    <t>Security: SharedWorkerDevToolsAgentHost UAF (sandbox escape)</t>
  </si>
  <si>
    <t>Hotlist-Merge-Approved Hotlist-Merge-Review M-47 M-48 Merge-merged-2564 OS-All Pri-1 Release-1-M47 Security_Impact-Stable Security_Severity-High Type-Bug-Security allpublic merge-merged-2526</t>
  </si>
  <si>
    <t>Heap-use-after-free in WebCore::SVGMatrixV8Internal::rotateMethodCallback</t>
  </si>
  <si>
    <t>Crash in RenderBlock::willBeDestroyed when removing from a map and destroying a continuation that has been already destroyed</t>
  </si>
  <si>
    <t>M-39 Merge-Merged-2171 OS-All Pri-1 Release-0-M39 Security_Impact-Stable Security_Severity-High Type-Bug-Security allpublic</t>
  </si>
  <si>
    <t>bartekn@chromium.org</t>
  </si>
  <si>
    <t>Heap-use-after-free in void cc::PreCalculateMetaInformation&lt;cc::LayerImpl&gt;</t>
  </si>
  <si>
    <t>Clusterfuzz Merge-merged-2125 OS-All Pri-1 Release-0-M39 Security_Impact-Stable Security_Severity-High Stability-Memory-AddressSanitizer Type-Bug-Security allpublic</t>
  </si>
  <si>
    <t>Heap-use-after-free in JavaObjectWeakGlobalRef::Assign</t>
  </si>
  <si>
    <t>Clusterfuzz Merge-Merged OS-All Pri-1 Release-0-M39 Security_Impact-Stable Security_Severity-High Stability-Memory-AddressSanitizer Type-Bug-Security allpublic</t>
  </si>
  <si>
    <t>Blink Blink&gt;WebGL</t>
  </si>
  <si>
    <t>Security: integer overflow in gpu process with webgl</t>
  </si>
  <si>
    <t>M-22 Merge-Merged OS-All Pri-1 ReleaseBlock-Stable Reward-1000 Security_Impact-Stable Security_Severity-High Type-Bug-Security allpublic merge-merged-1229</t>
  </si>
  <si>
    <t>Bad-cast to blink::ShadowRoot from blink::HTMLDocument;ShadowRoot.h:165:1</t>
  </si>
  <si>
    <t>Clusterfuzz Hotlist-Merge-Approved M-42 Merge-Merged-2311 OS-All Pri-1 Release-0-M42 Security_Impact-Stable Security_Severity-High Type-Bug-Security allpublic</t>
  </si>
  <si>
    <t>Stale node being set as layout root when rendering meter progress elements.</t>
  </si>
  <si>
    <t>Security: heap-use-after-free in blink::LayoutBox::shapeOutsideInfo</t>
  </si>
  <si>
    <t>Hotlist-Merge-Approved Hotlist-Merge-Review M-51 M-52 Merge-Review-51 OS-All Pri-1 Release-0-M52 Security_Impact-Stable Security_Severity-High Stability-Memory-AddressSanitizer Type-Bug-Security allpublic merge-merged-2743 reward-3000 reward-inprocess</t>
  </si>
  <si>
    <t>Use after free in ContainerNode::removeChild (looks related to plugin)</t>
  </si>
  <si>
    <t>Merged into 95761</t>
  </si>
  <si>
    <t>Use-of-uninitialized-value in /mnt/scratch0/clusterfuzz/slave-bot/builds/linux_msan_chrome_ipc/custom/msan_ipc</t>
  </si>
  <si>
    <t>Clusterfuzz M-43 M-44 Merge-Merged-2403 OS-All Pri-1 Release-0-M44 Security_Impact-Stable Security_Severity-High Stability-Memory-MemorySanitizer Type-Bug-Security allpublic</t>
  </si>
  <si>
    <t>Bad cast in RenderBlock::createLineBoxes due to double attach in htmlformelement</t>
  </si>
  <si>
    <t>ApprovedForMerge CVE-2011-2339 M-12 OS-All Pri-1 Restrict-AddIssueComment-EditIssue Security_Impact-Stable Security_Severity-High Type-Bug-Security allpublic</t>
  </si>
  <si>
    <t>Security: heap-use-after-free in blink::MutationObserver::enqueueMutationRecord</t>
  </si>
  <si>
    <t>CVE-2015-6789 Hotlist-Merge-Approved M-47 M-48 Merge-merged-2564 OS-All Pri-1 Release-1-M47 Security_Impact-Stable Security_Severity-High Type-Bug-Security allpublic merge-merged-2526 reward-2000</t>
  </si>
  <si>
    <t>UXSS in DocumentLoader::createWriterFor</t>
  </si>
  <si>
    <t>Hotlist-Merge-Approved M-48 Merge-Merged-2623 Merge-Merged-master1 Merge-merged-2564 OS-All Pri-1 Release-NA Security_Impact-Stable Security_Severity-High Type-Bug-Security allpublic</t>
  </si>
  <si>
    <t>Services&gt;SignIn</t>
  </si>
  <si>
    <t>Security: an attacker can sign-in a victim to his own account.</t>
  </si>
  <si>
    <t>CVE-2013-2879 M-28 Merge-Merged OS-All Pri-0 Release-0 ReleaseBlock-Beta Security_Impact-Stable Security_Severity-High Type-Bug-Security allpublic merge-Merged-1547</t>
  </si>
  <si>
    <t>Chrome: Crash Report - WebCore::Resource::ResourceCallback::timerFired</t>
  </si>
  <si>
    <t>M-35 OS-All Pri-1 Release-0-M35 ReleaseBlock-Stable Security_Impact-Stable Security_Severity-High Type-Bug-Security allpublic merge-merged-1916 merge-merged-1948 merge-merged-1949 merge-merged-1950</t>
  </si>
  <si>
    <t>dxie@chromium.org</t>
  </si>
  <si>
    <t>Merged into 352043</t>
  </si>
  <si>
    <t>lpa...@etouch.net</t>
  </si>
  <si>
    <t>Use of uninitialized value in SkAlphaRuns::Break</t>
  </si>
  <si>
    <t>CVE-2011-3927 M-16 Merge-Merged Merge-Merged-912 OS-All Pri-1 Restrict-AddIssueComment-EditIssue Reward-1000 Security_Impact-Stable Security_Severity-High Stability-Valgrind Type-Bug-Security allpublic merge-merged-963</t>
  </si>
  <si>
    <t>CVE-2012-3610 M-17 Merge-Merged OS-All Pri-1 Restrict-AddIssueComment-EditIssue Security_Impact-Stable Security_Severity-High Stability-Memory-AddressSanitizer Type-Bug-Security allpublic</t>
  </si>
  <si>
    <t>Heap-buffer-overflow in WebCore::HTMLTreeBuilder::HTMLTreeBuilder</t>
  </si>
  <si>
    <t>CVE-2011-3926 M-16 Merge-Merged Merge-Merged-912 OS-All Pri-1 Restrict-AddIssueComment-EditIssue Reward-1000 Security_Impact-Stable Security_Severity-High Stability-Memory-AddressSanitizer Type-Bug-Security allpublic merge-merged-963</t>
  </si>
  <si>
    <t>Seeking on webm 1080p video causes crash</t>
  </si>
  <si>
    <t>CVE-2011-3894 M-15 Merge-Merged Pri-1 ReleaseBlock-Stable Restrict-AddIssueComment-EditIssue Security_Impact-Stable Security_Severity-High Type-Bug-Security allpublic</t>
  </si>
  <si>
    <t>ldobbins@chromium.org</t>
  </si>
  <si>
    <t>Use after free in FocusController::advanceFocusInDocumentOrder</t>
  </si>
  <si>
    <t>CVE-2011-2857 M-14 Merge-Merged OS-All Pri-1 Restrict-AddIssueComment-EditIssue Reward-1000 Security_Impact-Stable Security_Severity-High Stability-Memory-AddressSanitizer Type-Bug-Security allpublic</t>
  </si>
  <si>
    <t>Blink Blink&gt;Location Content&gt;Core</t>
  </si>
  <si>
    <t>Security: WebKit: WebCore::GeolocationService::positionChanged use after free</t>
  </si>
  <si>
    <t>M-5 OS-All Pri-1 Restrict-AddIssueComment-EditIssue Reward-1000 Security Security_Impact-Stable Security_Severity-High Type-Bug-Security allpublic</t>
  </si>
  <si>
    <t>UAF: Utterance should not keep a raw pointer to TtsMessageFilter</t>
  </si>
  <si>
    <t>IPCFuzz M-33 Merge-merged-1750 OS-All Pri-1 Release-0-M33 Security_Impact-Stable Security_Severity-High Type-Bug-Security allpublic</t>
  </si>
  <si>
    <t>Merged into 329651</t>
  </si>
  <si>
    <t>dmazz...@chromium.org</t>
  </si>
  <si>
    <t>Heap-use-after-free in WebCore::RenderBlock::removeChild</t>
  </si>
  <si>
    <t>ASSERTION FAILED: !object || object-&gt;isBox() UNKNOWN in WebCore::toRenderBox</t>
  </si>
  <si>
    <t>Clusterfuzz FixedIn-1011.17.0 M-25 Merge-Merged OS-All Pri-1 Release-1 Security_Impact-Stable Security_Severity-High Stability-Memory-AddressSanitizer Type-Bug-Security allpublic release-private</t>
  </si>
  <si>
    <t>Use after free in table :before :after content.</t>
  </si>
  <si>
    <t>CVE-2011-3885 M-15 Merge-Merged OS-All Pri-1 Restrict-AddIssueComment-EditIssue Reward-1000 Security_Impact-Stable Security_Severity-High Type-Bug-Security allpublic merge-merged-874</t>
  </si>
  <si>
    <t>IndexedDBHostMsg_DatabaseGet: validate params.object_store_id</t>
  </si>
  <si>
    <t>IPCFuzz M-29 OS-All Pri-1 Release-0 Security_Impact-Stable Security_Severity-High Type-Bug-Security allpublic</t>
  </si>
  <si>
    <t>ZDI-CAN-784: Apple Webkit Rendering Counter Remote Code Execution Vulnerability</t>
  </si>
  <si>
    <t>M-5 Pri-1 Restrict-AddIssueComment-EditIssue Security Security_Impact-Stable Security_Severity-High Type-Bug-Security allpublic cve-2010-1784</t>
  </si>
  <si>
    <t>Clusterfuzz M-32 Merge-Merged-1700 OS-All Pri-1 Release-0-M32 Security_Impact-Stable Security_Severity-High Stability-Memory-AddressSanitizer Type-Bug-Security allpublic</t>
  </si>
  <si>
    <t>Use-after-free due to issues in counter layout.</t>
  </si>
  <si>
    <t>CVE-2012-2818 M-20 Merge-Merged OS-All Pri-1 Restrict-AddIssueComment-EditIssue Reward-1000 Security_Impact-Stable Security_Severity-High Stability-Memory-AddressSanitizer Type-Bug-Security allpublic</t>
  </si>
  <si>
    <t>Merged into 120944</t>
  </si>
  <si>
    <t>Internals Internals&gt;Media&gt;Video</t>
  </si>
  <si>
    <t>Heap-buffer-overflow in UpsampleBgraLinePairSSE2</t>
  </si>
  <si>
    <t>CVE-2012-2858 M-21 OS-All Pri-1 Restrict-AddIssueComment-EditIssue Reward-1000 Security_Impact-Stable Security_Severity-High Type-Bug-Security allpublic merge-merged-1180</t>
  </si>
  <si>
    <t>CVE-2012-3703 M-20 Merge-Merged OS-All Pri-1 Security_Impact-Stable Security_Severity-High Type-Bug-Security allpublic</t>
  </si>
  <si>
    <t>OS&gt;Kernel</t>
  </si>
  <si>
    <t>CrOS: Vulnerability reported in sys-kernel/chromeos-kernel-3_8</t>
  </si>
  <si>
    <t>Hotlist-Merge-Approved M-55 OS-Chrome Pri-1 Security_Impact-Stable Security_Severity-High Type-Bug-Security VerifyIn-59 VerifyIn-60 Vomit allpublic merge-merged-chromeos-3.10 merge-merged-chromeos-3.14 merge-merged-release-R55-8872.B-chromeos-3.10 merge-merged-release-R55-8872.B-chromeos-3.14 merge-merged-release-R55-8872.B-chromeos-3.18 merge-merged-release-R55-8872.B-chromeos-3.8 merge-merged-release-R56-9000.B-chromeos-3.10 merge-merged-release-R56-9000.B-chromeos-3.14 merge-merged-release-R56-9000.B-chromeos-3.18 merge-merged-release-R56-9000.B-chromeos-3.8</t>
  </si>
  <si>
    <t>Heap-use-after-free in WebCore::SVGTransformListV8Internal::numberOfItemsAttrGetter</t>
  </si>
  <si>
    <t>Clusterfuzz M-25 Merge-Merged OS-All Pri-1 Release-0 Security_Impact-Stable Security_Severity-High Stability-Memory-AddressSanitizer Type-Bug-Security WebKit-ID-106957 allpublic release-private</t>
  </si>
  <si>
    <t>UNKNOWN in v8::base::NoBarrier_Load</t>
  </si>
  <si>
    <t>Clusterfuzz M-41 OS-All Pri-1 Security_Impact-Stable Security_Severity-High Stability-Memory-AddressSanitizer Type-Bug-Security allpublic merge-merged-4.1 merge-merged-4.2</t>
  </si>
  <si>
    <t>Heap-use-after-free in WebCore::DocumentThreadableLoader::cancel</t>
  </si>
  <si>
    <t>CVE-2012-3702 CVE-2012-3712 Clusterfuzz M-20 Merge-Merged OS-All Pri-1 Security_Impact-Stable Security_Severity-High Stability-Memory-AddressSanitizer Type-Bug-Security allpublic</t>
  </si>
  <si>
    <t>Heap-use-after-free in blink::RenderBlockFlow::determineStartPosition</t>
  </si>
  <si>
    <t>Clusterfuzz M-44 Merge-na OS-All Pri-1 Release-0-M44 Security_Impact-Stable Security_Severity-High Stability-Memory-AddressSanitizer Type-Bug-Security allpublic</t>
  </si>
  <si>
    <t>Uninitialized IPC message in OutOfProcessPPAPITest.ImageData</t>
  </si>
  <si>
    <t>M-36 M-37 Merge-merged-1985 Merge-merged-2062 OS-Linux Pri-1 Release-1-M36 ReleaseBlock-Stable Security_Impact-Stable Security_Severity-High Stability-Memory-MemorySanitizer Type-Bug-Security allpublic</t>
  </si>
  <si>
    <t>earthdok@chromium.org</t>
  </si>
  <si>
    <t>UNKNOWN in content::WebContentsImpl::OnDidStartLoading</t>
  </si>
  <si>
    <t>Clusterfuzz M-41 Nag OS-All Pri-1 Release-0-M41 Security_Impact-Stable Security_Severity-High Stability-Memory-AddressSanitizer Type-Bug-Security allpublic merge-merged-2272</t>
  </si>
  <si>
    <t>Internals&gt;GPU Internals&gt;GPU&gt;Internals</t>
  </si>
  <si>
    <t>Security: GPU process MailboxManagerImpl double-reads</t>
  </si>
  <si>
    <t>M-49 OS-All Pri-1 Security_Impact-Stable Security_Severity-High Type-Bug-Security allpublic merge-merged-2661</t>
  </si>
  <si>
    <t>Internals&gt;Plugins&gt;PDF Internals&gt;Skia</t>
  </si>
  <si>
    <t>Stack-buffer-overflow in cf2_hintmap_build</t>
  </si>
  <si>
    <t>Deadline-Exceeded M-40 OS-All Pri-1 Security_Impact-Stable Security_Severity-High Type-Bug-Security Vomit allpublic</t>
  </si>
  <si>
    <t>Blink Blink&gt;Storage Internals</t>
  </si>
  <si>
    <t>DatabaseMessageFilter: path traversal in origin_identifier</t>
  </si>
  <si>
    <t>CVE-2013-0911 M-25 Merge-Merged OS-All Pri-1 Release-1 ReleaseBlock-Stable Security_Impact-Stable Security_Severity-High Type-Bug-Security allpublic merge-Merged-1364</t>
  </si>
  <si>
    <t>Heap-use-after-free in base::subtle::RefCountedThreadSafeBase::Release</t>
  </si>
  <si>
    <t>Clusterfuzz Hotlist-Merge-Approved Hotlist-Merge-Review M-49 Merge-Merged-2623 Nag OS-All Pri-1 Release-2-M49 Security_Impact-Stable Security_Severity-High Stability-Memory-AddressSanitizer Type-Bug-Security allpublic merge-merged-2661</t>
  </si>
  <si>
    <t>cross_fuzz: CSSRule::parentStyleSheet use after free</t>
  </si>
  <si>
    <t>PDF: use-after-frees in field name tree again</t>
  </si>
  <si>
    <t>CVE-2012-5156 M-24 Merge-Merged OS-All Pri-0 Release-0 Security_Impact-Stable Security_Severity-High Type-Bug-Security allpublic</t>
  </si>
  <si>
    <t>Heap-buffer-overflow in float blink::ShapeResultSpacing::computeSpacing&lt;unsigned short&gt;</t>
  </si>
  <si>
    <t>Clusterfuzz M-51 M-52 OS-Mac Pri-1 Release-0-M52 Reproducible Security_Impact-Stable Security_Severity-High Stability-Memory-AddressSanitizer Type-Bug-Security allpublic merge-merged-2743</t>
  </si>
  <si>
    <t>Security: CheckDuplicateHandle (BreakDebugger) browser crash with (Web) Workers and WebSQL</t>
  </si>
  <si>
    <t>CVE-2013-2854 M-27 Merge-Merged OS-Windows Pri-0 Release-1 Security-Code28 Security_Impact-Stable Security_Severity-High Type-Bug-Security allpublic reward-2000</t>
  </si>
  <si>
    <t>Heap-buffer-overflow in WebCore::RenderBlock::clone</t>
  </si>
  <si>
    <t>Heap-use-after-free in WebCore::SubframeLoader::loadSubframe</t>
  </si>
  <si>
    <t>CVE-2011-3021 M-17 Merge-Merged OS-All Pri-1 Restrict-AddIssueComment-EditIssue Reward-1000 Security_Impact-Stable Security_Severity-High Stability-Memory-AddressSanitizer Type-Bug-Security allpublic</t>
  </si>
  <si>
    <t>Security: V8 Array length getter override</t>
  </si>
  <si>
    <t>M-36 Merge-Merged OS-All Pri-1 Release-0-M36 ReleaseBlock-Stable Security_Impact-Stable Security_Severity-High Type-Bug-Security allpublic</t>
  </si>
  <si>
    <t>Merged into 387031</t>
  </si>
  <si>
    <t>zdi-can-464: malformed svglist parsing code execution</t>
  </si>
  <si>
    <t>OS-All Pri-0 Restrict-AddIssueComment-Commit Security Security_Impact-Stable Security_Severity-High Type-Bug-Security allpublic reward-topanel</t>
  </si>
  <si>
    <t>whbe...@gmail.com</t>
  </si>
  <si>
    <t>Heap-use-after-free in WebCore::RenderBlock::selectionGaps</t>
  </si>
  <si>
    <t>Clusterfuzz M-16 Merge-Merged Merge-Merged-912 OS-All Pri-1 Restrict-AddIssueComment-EditIssue Security_Impact-Stable Security_Severity-High Stability-Memory-AddressSanitizer Type-Bug-Security allpublic merge-merged-963</t>
  </si>
  <si>
    <t>Security: Flash Player RegExp Object Integer Signedness Error</t>
  </si>
  <si>
    <t>CVE-2015-0310 M-40 Merge-na Nag OS-All Pri-1 Release-0-M40 Security_Impact-Stable Security_Severity-High Type-Bug-Security allpublic reward-4000</t>
  </si>
  <si>
    <t>Heap-use-after-free in WebCore::TargetListener::handleEvent [Stale event listener]</t>
  </si>
  <si>
    <t>ASSERTION FAILED: !m_hasBadParent Heap-use-after-free in WebCore::InlineBox::nextLeafChild</t>
  </si>
  <si>
    <t>Clusterfuzz M-40 Merge-merged-2214 Nag OS-All Pri-1 Release-0-M40 Security_Impact-Stable Security_Severity-High Stability-Memory-AddressSanitizer Type-Bug-Security allpublic</t>
  </si>
  <si>
    <t>Security: UXSS in V8</t>
  </si>
  <si>
    <t>CVE-2015-1206 CVE-2015-1210 M-40 M-41 Merge-merged-2214 OS-All Pri-0 Release-1-M40 ReleaseBlock-Stable Security_Impact-Stable Security_Severity-High Type-Bug-Security allpublic merge-merged-2272 reward-ineligible</t>
  </si>
  <si>
    <t>Freed SVGTRefElement used in SVGStyledElement::buildPendingResourcesIfNeeded</t>
  </si>
  <si>
    <t>CVE-2011-3240 Clusterfuzz M-14 OS-All Pri-1 Restrict-AddIssueComment-EditIssue Security_Impact-Stable Security_Severity-High Stability-Memory-AddressSanitizer Type-Bug-Security allpublic</t>
  </si>
  <si>
    <t>use-after-free in imageloader with fallbackcontent</t>
  </si>
  <si>
    <t>ApprovedForMerge CVE-2011-1818 M-12 OS-All Pri-1 Restrict-AddIssueComment-EditIssue Reward-1000 Security_Impact-Stable Security_Severity-High Type-Bug-Security allpublic</t>
  </si>
  <si>
    <t>Heap-use-after-free in WebCore::RenderTextFragment::originalText</t>
  </si>
  <si>
    <t>Clusterfuzz M-32 OS-All Pri-1 Security_Impact-Stable Security_Severity-High Stability-Memory-AddressSanitizer Type-Bug-Security allpublic</t>
  </si>
  <si>
    <t>Heap-use-after-free in content::GLHelper::CopyTextureToImpl::FinishRequest</t>
  </si>
  <si>
    <t>Clusterfuzz Hotlist-Merge-Approved M-41 M-42 Merge-Merged-2311 OS-All Pri-1 Release-0-M42 Security_Impact-Stable Security_Severity-High Stability-Memory-AddressSanitizer Type-Bug-Security allpublic</t>
  </si>
  <si>
    <t>Heap-use-after-free in WebCore::InlineFlowBox::computeUnderAnnotationAdjustment</t>
  </si>
  <si>
    <t>CVE-2011-3038 M-17 Merge-Merged OS-All Pri-1 Restrict-AddIssueComment-EditIssue Reward-1000 Security_Impact-Stable Security_Severity-High Stability-Memory-AddressSanitizer Type-Bug-Security allpublic</t>
  </si>
  <si>
    <t>Blink Internals Internals&gt;Plugins Internals&gt;Plugins&gt;Pepper</t>
  </si>
  <si>
    <t>chrome_1c30000!webkit::ppapi::PPB_Widget_Impl::Invalidate crash</t>
  </si>
  <si>
    <t>CVE-2011-2789 M-13 Pri-1 ReleaseBlock-Beta Restrict-AddIssueComment-EditIssue Security_Impact-Stable Security_Severity-High Type-Bug-Security allpublic reward-500</t>
  </si>
  <si>
    <t>Merged into 85808</t>
  </si>
  <si>
    <t>fabio.tu...@gmail.com</t>
  </si>
  <si>
    <t>sunandt@chromium.org</t>
  </si>
  <si>
    <t>Internals&gt;Network</t>
  </si>
  <si>
    <t>UNKNOWN in /usr/lib/x86_64-linux-gnu/libstdc++.so.6+0x6441f</t>
  </si>
  <si>
    <t>Clusterfuzz Merge-Merged Merge-merged-1750 OS-All Pri-0 Release-0-M33 Security_Impact-Stable Security_Severity-High Stability-Memory-AddressSanitizer Type-Bug-Security allpublic</t>
  </si>
  <si>
    <t>ASSERTION FAILED: it != m_customElementBindings.end()</t>
  </si>
  <si>
    <t>Clusterfuzz Hotlist-Merge-Approved M-40 M-41 Merge-merged-2214 OS-All Pri-1 Release-1-M40 Security_Impact-Stable Security_Severity-High Stability-Memory-AddressSanitizer Type-Bug-Security allpublic merge-merged-2272</t>
  </si>
  <si>
    <t>Blink&gt;MemoryAllocator&gt;GarbageCollection</t>
  </si>
  <si>
    <t>Heap-use-after-free in blink::Frame::deprecatedLocalOwner</t>
  </si>
  <si>
    <t>CVE-2015-1284 M-44 Merge-Merged-2403 Pri-1 Release-0-M44 Security_Impact-Stable Security_Severity-High Type-Bug-Security allpublic reward-2000</t>
  </si>
  <si>
    <t>Merged into 493243</t>
  </si>
  <si>
    <t>ExtensionFunctionRegistry: missing check for iter != factories_.end()</t>
  </si>
  <si>
    <t>M-27 Merge-Merged Merge-Merged-1453 OS-All Pri-1 Release-0 Security_Impact-Stable Security_Severity-High Type-Bug-Security allpublic</t>
  </si>
  <si>
    <t>Heap-use-after-free in WebCore::Frame::dispatchVisibilityStateChangeEvent</t>
  </si>
  <si>
    <t>CVE-2012-5139 M-23 Merge-Merged OS-All Pri-1 Security_Impact-Stable Security_Severity-High Stability-Memory-AddressSanitizer Type-Bug-Security allpublic reward-1500</t>
  </si>
  <si>
    <t>Memory corruption in :first-letter rendering</t>
  </si>
  <si>
    <t>Blink&gt;XML</t>
  </si>
  <si>
    <t>Update libxml to 2.9.3 or latest</t>
  </si>
  <si>
    <t>Hotlist-Merge-Approved M-50 M-51 OS-All Pri-1 Release-0-M51 Security_Impact-Stable Security_Severity-High Type-Bug-Security allpublic merge-merged-2661 merge-merged-2666</t>
  </si>
  <si>
    <t>mmoroz@chromium.org</t>
  </si>
  <si>
    <t>Heap-use-after-free in WebCore::RenderObject::isDescendantOf</t>
  </si>
  <si>
    <t>Bad cast from RenderTableCol to RenderBlock in search css</t>
  </si>
  <si>
    <t>URL Bar Spoof</t>
  </si>
  <si>
    <t>CVE-2011-1446 M-11 OS-All Pri-1 ReleaseBlock-Stable Restrict-AddIssueComment-EditIssue Reward-1000 Security_Impact-Stable Security_Severity-High Type-Bug-Security allpublic</t>
  </si>
  <si>
    <t>Security: Adobe Flash Player PSDK Use After Free Vulnerability</t>
  </si>
  <si>
    <t>M-X Pri-1 Security_Impact-Stable Security_Severity-High Type-Bug-Security allpublic reward-5000 reward-inprocess</t>
  </si>
  <si>
    <t>URL bar spoof</t>
  </si>
  <si>
    <t>CVE-2011-1446 M-11 Pri-1 ReleaseBlock-Stable Restrict-AddIssueComment-EditIssue Reward-1000 Security Security_Impact-Stable Security_Severity-High Type-Bug-Security allpublic</t>
  </si>
  <si>
    <t>Security: heap-use-after-free in blink::ScopedStyleResolver::collectMatchingAuthorRules</t>
  </si>
  <si>
    <t>CVE-2016-1634 M-49 Merge-na Pri-1 Release-0-M49 Security_Impact-Stable Security_Severity-High Stability-Memory-AddressSanitizer Type-Bug-Security allpublic reward-3000 reward-inprocess</t>
  </si>
  <si>
    <t>Use after free due to style not updated and having stale fonts.</t>
  </si>
  <si>
    <t>M-14 Merge-Merged OS-All Pri-1 Restrict-AddIssueComment-EditIssue Security_Impact-Stable Security_Severity-High Type-Bug-Security allpublic</t>
  </si>
  <si>
    <t>Flash Broker Bypass 0x2D (CVE-2012-0725)</t>
  </si>
  <si>
    <t>Email Subject: ZDI-CAN-4429: New Vulnerability Report</t>
  </si>
  <si>
    <t>CVE-2017-5059 M-58 OS-Android OS-Chrome OS-Linux OS-Mac OS-Windows Pri-1 Release-0-M58 Security_Impact-Stable Security_Severity-High Type-Bug-Security Via-Wizard-Security allpublic reward-ineligible</t>
  </si>
  <si>
    <t>Content Internals&gt;Skia</t>
  </si>
  <si>
    <t>Heap-buffer-overflow in SkA1_Blitter::blitH</t>
  </si>
  <si>
    <t>Clusterfuzz Hotlist-SyzyASAN M-28 Merge-Merged OS-All Pri-1 Release-0 Security-Code28 Security_Impact-Stable Security_Severity-High Type-Bug-Security allpublic</t>
  </si>
  <si>
    <t>Blink&gt;Forms Blink&gt;Forms&gt;Datetimelocal</t>
  </si>
  <si>
    <t>Heap-use-after-free in blink::BaseMultipleFieldsDateAndTimeInputType::pickerIndicatorChooseValue</t>
  </si>
  <si>
    <t>Clusterfuzz Merge-merged-2125 OS-All Pri-1 Release-0-M38 Security_Impact-Stable Security_Severity-High Stability-Memory-AddressSanitizer Type-Bug-Security allpublic</t>
  </si>
  <si>
    <t>Use after free in Stylesheet due to issue in CLONE nodes</t>
  </si>
  <si>
    <t>CVE-2011-2355 M-12 OS-All Pri-1 ReleaseBlock-Stable Restrict-AddIssueComment-EditIssue Security_Impact-Stable Security_Severity-High Stability-Memory-AddressSanitizer Type-Bug-Security allpublic</t>
  </si>
  <si>
    <t>Heap-use-after-free in WebCore::FrameLoader::checkTimerFired</t>
  </si>
  <si>
    <t>CVE-2012-3595 Clusterfuzz M-17 Merge-Merged OS-All Pri-1 Restrict-AddIssueComment-EditIssue Security_Impact-Stable Security_Severity-High Stability-Memory-AddressSanitizer Type-Bug-Security allpublic</t>
  </si>
  <si>
    <t>CHECK failure in CHECK(start &lt;= end) failed: ../../v8/src/heap/spaces.cc(1722)</t>
  </si>
  <si>
    <t>Clusterfuzz M-38 Merge-Merged OS-All Pri-1 Release-0-M38 Security_Impact-Stable Security_Severity-High Type-Bug-Security allpublic</t>
  </si>
  <si>
    <t>Heap-use-after-free in WebCore::Element::attrIfExists</t>
  </si>
  <si>
    <t>Clusterfuzz Hotlist-SyzyASAN M-37 Merge-merged-2062 OS-All Pri-1 Release-0-M37 Security_Impact-Stable Security_Severity-High Type-Bug-Security allpublic</t>
  </si>
  <si>
    <t>UNKNOWN in v8::internal::MemoryChunk::heap</t>
  </si>
  <si>
    <t>Use after free in WebCore::ContainerNode::parserAddChild</t>
  </si>
  <si>
    <t>CVE-2011-2350 M-12 OS-All Pri-1 ReleaseBlock-Stable Restrict-AddIssueComment-EditIssue Security_Impact-Stable Security_Severity-High Type-Bug-Security allpublic reward-500</t>
  </si>
  <si>
    <t>CSSCursorImageValue not clearing SVGElement back pointer</t>
  </si>
  <si>
    <t>M-8 OS-All Pri-1 Restrict-AddIssueComment-EditIssue Security Security_Impact-Stable Security_Severity-High Stability-Crash Type-Bug-Security allpublic bulkmove crash-Reproducible reward-500 svg</t>
  </si>
  <si>
    <t>jan.toso...@gmail.com</t>
  </si>
  <si>
    <t>PDF missing integer validation for Flate / LZW / Fax prediction codes and other parameters</t>
  </si>
  <si>
    <t>CVE-2011-3015 M-17 Merge-Merged Pri-0 Restrict-AddIssueComment-EditIssue Security_Impact-Stable Security_Severity-High Type-Bug-Security allpublic</t>
  </si>
  <si>
    <t>Security: Universal XSS through adopting image elements</t>
  </si>
  <si>
    <t>CVE-2016-1667 Hotlist-Merge-Review M-50 Merge-Approved-50 Pri-1 Release-3-M50 Security_Impact-Stable Security_Severity-High Type-Bug-Security allpublic merge-merged-2661 merge-merged-2716 reward-8000 reward-inprocess</t>
  </si>
  <si>
    <t>i &lt; m_len</t>
  </si>
  <si>
    <t>Clusterfuzz M-52 OS-Mac Pri-1 Release-0-M52 Reproducible Security_Impact-Stable Security_Severity-High Stability-Memory-AddressSanitizer Type-Bug-Security allpublic merge-merged-2743</t>
  </si>
  <si>
    <t>Heap-use-after-free in blink::WebViewImpl::close</t>
  </si>
  <si>
    <t>Clusterfuzz Hotlist-Merge-Review M-46 Merge-Merged-2490 OS-Linux Pri-1 Release-2-M46 Reproducible Security_Impact-Stable Security_Severity-High Stability-ThreadSanitizer Type-Bug-Security allpublic</t>
  </si>
  <si>
    <t>Heap-use-after-free in WebCore::SVGTextLayoutAttributesBuilder::fillCharacterDataMap</t>
  </si>
  <si>
    <t>M-18 Merge-Merged OS-All Pri-1 Restrict-AddIssueComment-EditIssue Security_Impact-Stable Security_Severity-High Type-Bug-Security allpublic</t>
  </si>
  <si>
    <t>Security: Heap-use-after-free in CFFL_InteractiveFormFiller::OnSetFocus</t>
  </si>
  <si>
    <t>CVE-2011-3050 M-17 Merge-Merged OS-All Pri-1 Restrict-AddIssueComment-EditIssue Reward-1000 Security_Impact-Stable Security_Severity-High Stability-Memory-AddressSanitizer Type-Bug-Security allpublic</t>
  </si>
  <si>
    <t>Heap-use-after-free in WebCore::ImageInputType::attach</t>
  </si>
  <si>
    <t>CVE-2013-2857 M-27 Merge-Merged OS-All Pri-1 Release-1 Reward-1000 Security_Impact-Stable Security_Severity-High Stability-Memory-AddressSanitizer Type-Bug-Security allpublic</t>
  </si>
  <si>
    <t>Security: [v8] Out of bound(??) memory write with asm.js</t>
  </si>
  <si>
    <t>CVE-2016-1653 M-49 M-50 Nag Pri-1 Release-0-M50 Security_Impact-Stable Security_Severity-High Type-Bug-Security allpublic merge-merged-4.9 merge-merged-5.0 reward-5000</t>
  </si>
  <si>
    <t>Security: heap-buffer-overflow in ImageBitmap::ImageBitmap</t>
  </si>
  <si>
    <t>CVE-2016-5182 Hotlist-Merge-Review M-54 OS-All Pri-1 Release-0-M54 Security_Impact-Stable Security_Severity-High Type-Bug-Security allpublic merge-merged-2840 reward-5500 reward-inprocess</t>
  </si>
  <si>
    <t>Chrome: Crash Report - gfx::Image::ToImageSkia</t>
  </si>
  <si>
    <t>Hotlist-Merge-Approved Hotlist-SyzyASAN M-50 OS-Windows Pri-1 Release-0-M50 Security_Impact-Stable Security_Severity-High Stability-Crash Type-Bug-Security allpublic merge-merged-2661</t>
  </si>
  <si>
    <t>pbomm...@chromium.org</t>
  </si>
  <si>
    <t>Bad cast in WebCore::BreakBlockquoteCommand::doApply</t>
  </si>
  <si>
    <t>CVE-2011-1790 M-11 OS-All Pri-1 Restrict-AddIssueComment-EditIssue Security_Impact-Stable Security_Severity-High Type-Bug-Security allpublic</t>
  </si>
  <si>
    <t>Internals&gt;Network&gt;DNS UI&gt;Browser&gt;Navigation UI&gt;Browser&gt;Omnibox</t>
  </si>
  <si>
    <t>Security: Illegal domain name resolving using leading dot creating unexpected behaviour/URL Bar Spoofing</t>
  </si>
  <si>
    <t>M-41 M-42 Merge-na OS-All Pri-1 Release-0-M42 Reward-1000 Security_Impact-Stable Security_Severity-High Team-Security-UX Type-Bug-Security allpublic</t>
  </si>
  <si>
    <t>fr...@detectify.com</t>
  </si>
  <si>
    <t>Heap-use-after-free LayoutBoxModelObject::continuation() (NO STACK)</t>
  </si>
  <si>
    <t>Clusterfuzz M-50 M-51 Merge-na OS-Linux Pri-1 Release-NA Reproducible Security_Impact-Stable Security_Severity-High Stability-ThreadSanitizer Type-Bug-Security allpublic</t>
  </si>
  <si>
    <t>Blink Blink&gt;DOM Blink&gt;SVG</t>
  </si>
  <si>
    <t>Heap-use-after-free in WebCore::RenderObject::childAt</t>
  </si>
  <si>
    <t>CVE-2011-3924 M-16 Merge-Merged Merge-Merged-912 OS-All Pri-1 Restrict-AddIssueComment-EditIssue Reward-1000 Security_Impact-Stable Security_Severity-High Stability-Memory-AddressSanitizer Type-Bug-Security WebKit-ID-74285 allpublic merge-merged-963</t>
  </si>
  <si>
    <t>Use-of-uninitialized-value in CPDF_TextPage::PreMarkedContent</t>
  </si>
  <si>
    <t>Clusterfuzz Hotlist-Merge-Review M-50 M-51 OS-Linux Pri-2 Release-2-M50 Reproducible Security_Impact-Stable Security_Severity-High Stability-Memory-MemorySanitizer Type-Bug-Security allpublic merge-merged-2661 merge-merged-2704</t>
  </si>
  <si>
    <t>Security: Use After Free in RegExp of V8</t>
  </si>
  <si>
    <t>CVE-2016-1669 M-50 NodeJS-Backport-Done Pri-1 Release-3-M50 Security_Impact-Stable Security_Severity-High Type-Bug-Security allpublic merge-merged-5.0 merge-merged-5.1 reward-3000 reward-inprocess</t>
  </si>
  <si>
    <t>OOB write in PDF character code mapping</t>
  </si>
  <si>
    <t>Use after free in WebCore::Text::recalcStyle due to before after content issue in table parts</t>
  </si>
  <si>
    <t>CVE-2011-2860 Clusterfuzz M-14 Merge-Merged OS-All Pri-1 Restrict-AddIssueComment-EditIssue Reward-1000 Security_Impact-Stable Security_Severity-High Stability-Memory-AddressSanitizer Type-Bug-Security allpublic</t>
  </si>
  <si>
    <t>Merged into 93587</t>
  </si>
  <si>
    <t>Heap-use-after-free in WebCore::FrameLoader::stopAllLoaders</t>
  </si>
  <si>
    <t>Clusterfuzz M-22 OS-All Pri-1 Restrict-AddIssueComment-EditIssue Security-CodeYellow Security_Impact-Stable Security_Severity-High Stability-Memory-AddressSanitizer Type-Bug-Security allpublic webkit-id-90805</t>
  </si>
  <si>
    <t>User after free in table destroy</t>
  </si>
  <si>
    <t>Use-of-uninitialized-value in v8::InstantiateModuleFromAsm</t>
  </si>
  <si>
    <t>Clusterfuzz Deadline-Exceeded M-51 M-52 Nag OS-Linux Pri-1 Release-1-M51 Reproducible Security_Impact-Stable Security_Severity-High Stability-Memory-MemorySanitizer Type-Bug-Security allpublic</t>
  </si>
  <si>
    <t>Flash use-after-free in display list handling from KEEN Team round #2</t>
  </si>
  <si>
    <t>CVE-2015-3124 M-42 OS-All Pri-1 Security_Impact-Stable Security_Severity-High Type-Bug-Security allpublic reward-3000 reward-inprocess</t>
  </si>
  <si>
    <t>Internals Internals&gt;Media</t>
  </si>
  <si>
    <t>Crash when webp image is invalid</t>
  </si>
  <si>
    <t>Bad cast to MouseEvent in Node::defaultEventHandler()</t>
  </si>
  <si>
    <t>HasTestcase M-7 OS-All Pri-1 ReleaseBlock-Stable Restrict-AddIssueComment-EditIssue Security Security_Impact-Stable Security_Severity-High Stability-Crash Type-Bug-Security allpublic bulkmove reward-500</t>
  </si>
  <si>
    <t>fam....@live.nl</t>
  </si>
  <si>
    <t>Security: Use after free in Flash (StageVideoAvailabilityEvent) can make bad things happen</t>
  </si>
  <si>
    <t>CVE-2015-0315 M-40 Merge-na OS-All Pri-1 Security_Impact-Stable Security_Severity-High Type-Bug-Security allpublic reward-7500</t>
  </si>
  <si>
    <t>ASSERTION FAILED: node-&gt;treeScope() == m_oldScope Heap-use-after-free in WebCore::Node::~Node</t>
  </si>
  <si>
    <t>Clusterfuzz M-28 Merge-Merged OS-All Pri-1 Release-0 Security-Code28 Security_Impact-Stable Security_Severity-High Stability-Memory-AddressSanitizer Type-Bug-Security allpublic merge-merged-chromium</t>
  </si>
  <si>
    <t>Use-after-free in v8::internal::GlobalHandles::Destroy</t>
  </si>
  <si>
    <t>Clusterfuzz Hotlist-SyzyASAN M-31 M-32 Merge-Merged Merge-Merged-1700 OS-All Pri-1 Release-1-M31 Security_Impact-Stable Security_Severity-High Type-Bug-Security allpublic merge-merged-1650</t>
  </si>
  <si>
    <t>GCing a node observed by a WebKitMutationObserver can cause an invalid HashSet iterator</t>
  </si>
  <si>
    <t>adamk@chromium.org</t>
  </si>
  <si>
    <t>Multiple integer overflows in SVG filter effects</t>
  </si>
  <si>
    <t>CVE-2011-1800 M-11 OS-All Pri-1 ReleaseBlock-Stable Restrict-AddIssueComment-EditIssue Security_Impact-Stable Security_Severity-High Type-Bug-Security allpublic</t>
  </si>
  <si>
    <t>cdn@google.com</t>
  </si>
  <si>
    <t>Security: UXSS in AuthenticatorHelper</t>
  </si>
  <si>
    <t>CVE-2015-1275 Deadline-Exceeded M-44 OS-Android Pri-1 Release-0-M44 Security_Impact-Stable Security_Severity-High Type-Bug-Security allpublic reward-7500</t>
  </si>
  <si>
    <t>win...@gmail.com</t>
  </si>
  <si>
    <t>Security: SEGV on unknown address with javascript url and __proto__</t>
  </si>
  <si>
    <t>CVE-2013-2882 M-28 Merge-Merged OS-All Pri-1 Release-1 Reward-1000 Security_Impact-Stable Security_Severity-High Stability-Memory-AddressSanitizer Type-Bug-Security allpublic</t>
  </si>
  <si>
    <t>Security: use-after-free in content::WebContentsImpl::~WebContentsImpl</t>
  </si>
  <si>
    <t>CVE-2013-6653 Merge-merged-1750 OS-All Pri-1 Release-0-M33 ReleaseBlock-Stable Reward-1000 Security_Impact-Stable Security_Severity-High Type-Bug-Security allpublic</t>
  </si>
  <si>
    <t>Heap-use-after-free in WebCore::CSSStyleSelector::matchRulesForList</t>
  </si>
  <si>
    <t>CVE-2011-3968 M-17 Merge-Merged OS-All Pri-1 Restrict-AddIssueComment-EditIssue Reward-1000 Security_Impact-Stable Security_Severity-High Stability-Memory-AddressSanitizer Type-Bug-Security allpublic merge-merged-963</t>
  </si>
  <si>
    <t>Heap-use-after-free in WebCore::CSSCrossfadeValue::~CSSCrossfadeValue</t>
  </si>
  <si>
    <t>CVE-2011-3051 M-17 Merge-Merged OS-All Pri-1 Restrict-AddIssueComment-EditIssue Reward-1000 Security_Impact-Stable Security_Severity-High Stability-Memory-AddressSanitizer Type-Bug-Security allpublic</t>
  </si>
  <si>
    <t>CVE-2012-3652 Clusterfuzz M-19 Merge-Merged OS-All Pri-1 Security_Impact-Stable Security_Severity-High Stability-Memory-AddressSanitizer Type-Bug-Security allpublic</t>
  </si>
  <si>
    <t>Security: Renderer sandbox bypass on ChildProcessSecurityPolicyImpl::SecurityState::HasPermissionsForFile()</t>
  </si>
  <si>
    <t>Audit-IPC CVE-2012-5138 M-23 Merge-Merged-1271 OS-All Pri-0 Security_Impact-Stable Security_Severity-High Type-Bug-Security allpublic merge-merged-1312</t>
  </si>
  <si>
    <t>Heap-use-after-free in WebCore::StyledElement::ensureMutableInlineStyle</t>
  </si>
  <si>
    <t>CVE-2013-2871 M-28 Merge-Merged OS-All Pri-1 Release-0 Reward-1000 Security-Code28 Security_Impact-Stable Security_Severity-High Stability-Memory-AddressSanitizer Type-Bug-Security allpublic</t>
  </si>
  <si>
    <t>Chrome_Mac: Crash Report - Stack Signature: WebKit::NotificationPresenterImpl::checkPermission-5428423</t>
  </si>
  <si>
    <t>M-10 OS-All Pri-1 Restrict-AddIssueComment-EditIssue Security Security_Impact-Stable Security_Severity-High Stability-Crash Type-Bug-Security allpublic bulkmove</t>
  </si>
  <si>
    <t>SVG animation API crashes on SVGAnimateTransform</t>
  </si>
  <si>
    <t>CVE-2011-2867 M-14 OS-All Pri-1 Restrict-AddIssueComment-EditIssue Security_Impact-Stable Security_Severity-High Stability-Memory-AddressSanitizer Type-Bug-Security allpublic</t>
  </si>
  <si>
    <t>Heap-use-after-free in net::ClientCertStoreNSS::GetClientCertsOnWorkerThread</t>
  </si>
  <si>
    <t>Clusterfuzz Hotlist-Merge-Review M-40 Merge-Merged Merge-merged-2214 OS-All Pri-1 Release-0-M40 ReleaseBlock-Stable Security_Impact-Stable Security_Severity-High Stability-Memory-AddressSanitizer Type-Bug-Security allpublic</t>
  </si>
  <si>
    <t>Security: PureCall on CPWL_Edit::OnKillFocus</t>
  </si>
  <si>
    <t>CVE-2016-1613 Hotlist-Merge-Review M-48 Merge-merged-2564 Release-0-M48 Security_Impact-Stable Security_Severity-High Type-Bug-Security allpublic reward-3000 reward-inprocess</t>
  </si>
  <si>
    <t>Use after free in XMLDocumentParser</t>
  </si>
  <si>
    <t>CVE-2011-2338 M-12 OS-All Pri-1 Restrict-AddIssueComment-EditIssue Security_Impact-Stable Security_Severity-High Stability-Memory-AddressSanitizer Type-Bug-Security allpublic</t>
  </si>
  <si>
    <t>Security: Fix all ScriptWrappables stored in a static Persistent</t>
  </si>
  <si>
    <t>M-57 OS-All Pri-1 Release-0-M57 Security_Impact-Stable Security_Severity-High Type-Bug-Security allpublic merge-merged-2987</t>
  </si>
  <si>
    <t>Heap-use-after-free in webkit_media::WebMediaPlayerImpl::paint</t>
  </si>
  <si>
    <t>CVE-2013-2840 M-27 Merge-Merged OS-All Pri-2 Release-0 Reward-1000 Security_Impact-Stable Security_Severity-High Stability-Memory-AddressSanitizer Type-Bug-Security allpublic merge-merged-chromium</t>
  </si>
  <si>
    <t>n...@vulndev.org</t>
  </si>
  <si>
    <t>Merged into 230117</t>
  </si>
  <si>
    <t>Heap-use-after-free in WebCore::WorkerEventQueue::close</t>
  </si>
  <si>
    <t>Clusterfuzz M-19 Merge-Merged OS-All Pri-1 Restrict-AddIssueComment-EditIssue Security_Impact-Stable Security_Severity-High Stability-Memory-AddressSanitizer Type-Bug-Security allpublic</t>
  </si>
  <si>
    <t>Merged into 120007</t>
  </si>
  <si>
    <t>Heap-use-after-free in WebCore::RenderBlock::finishDelayUpdateScrollInfo</t>
  </si>
  <si>
    <t>Merged into 120006</t>
  </si>
  <si>
    <t>Heap-use-after-free in WebCore::computeNonFastScrollableRegion</t>
  </si>
  <si>
    <t>Merged into 153184</t>
  </si>
  <si>
    <t>sachinsh...@gmail.com</t>
  </si>
  <si>
    <t>Merged into 154385</t>
  </si>
  <si>
    <t>UI&gt;Browser&gt;SafeBrowsing</t>
  </si>
  <si>
    <t>Crash in base::DeleteHelper&lt;safe_browsing::DownloadProtectionService::CheckClientDownloadRequest&gt;::DoDelete(void const *)</t>
  </si>
  <si>
    <t>M-28 Merge-Merged OS-All Pri-1 Release-0 Security-Code28 Security_Impact-Stable Security_Severity-High Stability-Crash Type-Bug-Security allpublic</t>
  </si>
  <si>
    <t>mattm@chromium.org</t>
  </si>
  <si>
    <t>CVE-2012-3671 Clusterfuzz M-19 Merge-Merged OS-All Pri-1 Security_Impact-Stable Security_Severity-High Stability-Memory-AddressSanitizer Type-Bug-Security allpublic</t>
  </si>
  <si>
    <t>Use-after-free in findPlaceForCounter</t>
  </si>
  <si>
    <t>CVE-2011-3883 M-15 Merge-Merged OS-All Pri-1 Restrict-AddIssueComment-EditIssue Reward-1000 Security_Impact-Stable Security_Severity-High Stability-Memory-AddressSanitizer Type-Bug-Security allpublic merge-merged-874</t>
  </si>
  <si>
    <t>Invalid read handling malformed SVG &lt;use&gt; element</t>
  </si>
  <si>
    <t>M-5 Pri-1 Restrict-AddIssueComment-EditIssue Security Security_Impact-Stable Security_Severity-High Type-Bug-Security allpublic cve-2010-1788</t>
  </si>
  <si>
    <t>Heap-buffer-overflow in matroska_parse_block</t>
  </si>
  <si>
    <t>CVE-2011-3019 Clusterfuzz M-17 Merge-Merged OS-All Pri-1 Restrict-AddIssueComment-EditIssue Security_Impact-Stable Security_Severity-High Stability-Memory-AddressSanitizer Type-Bug-Security allpublic</t>
  </si>
  <si>
    <t>Use-after-free in CPDFSDK_PageView::LoadFXAnnots</t>
  </si>
  <si>
    <t>Clusterfuzz Hotlist-SyzyASAN Nag OS-All Pri-1 Release-0-M38 Security_Impact-Stable Security_Severity-High Type-Bug-Security allpublic</t>
  </si>
  <si>
    <t>Security: Universal XSS by polluting private scripts with named properties</t>
  </si>
  <si>
    <t>CVE-2017-5008 M-56 OS-All Pri-1 Release-0-M56 Security_Impact-Stable Security_Severity-High Type-Bug-Security allpublic merge-merged-2924 reward-8000 reward-inprocess</t>
  </si>
  <si>
    <t>write-after-free in third_party/WebKit/Source/WebCore/svg/animation/SVGSMILElement.h:58</t>
  </si>
  <si>
    <t>ApprovedForMerge CVE-2011-1803 M-11 OS-All Pri-2 Restrict-AddIssueComment-EditIssue Security_Impact-Stable Security_Severity-High Stability-Memory Stability-Memory-AddressSanitizer Type-Bug-Security allpublic</t>
  </si>
  <si>
    <t>Merged into 82516</t>
  </si>
  <si>
    <t>Security: Universal XSS converting IDL array/sequence values</t>
  </si>
  <si>
    <t>Hotlist-Merge-Approved M-50 M-51 OS-All Pri-1 Release-0-M51 Security_Impact-Stable Security_Severity-High Type-Bug-Security allpublic merge-merged-2704 reward-ineligible</t>
  </si>
  <si>
    <t>j...@opera.com</t>
  </si>
  <si>
    <t>Floats not cleared to logical height wraps.</t>
  </si>
  <si>
    <t>CVE-2011-1437 M-11 OS-All Pri-1 Restrict-AddIssueComment-EditIssue Reward-1000 Security Security_Impact-Stable Security_Severity-High Type-Bug-Security allpublic</t>
  </si>
  <si>
    <t>Blink Stability</t>
  </si>
  <si>
    <t>Crash by form controls with form attributes under orphan nodes</t>
  </si>
  <si>
    <t>M-9 Pri-1 Restrict-AddIssueComment-EditIssue Security Security_Impact-Stable Security_Severity-High Type-Bug-Security allpublic reward-500 reward-decline</t>
  </si>
  <si>
    <t>stefanva...@gmail.com</t>
  </si>
  <si>
    <t>Security:WebCore::HTMLTextAreaElement::updateValue+0xf</t>
  </si>
  <si>
    <t>Stale nodes in Document::recalcStyleSelector</t>
  </si>
  <si>
    <t>Security:  ERROR: AddressSanitizer heap-buffer-overflow on address 0x7fde15ff9890 at pc 0x7fde364c5034</t>
  </si>
  <si>
    <t>CVE-2011-3095 M-19 Merge-Merged OS-All Pri-1 Restrict-AddIssueComment-EditIssue Reward-1000 Security_Impact-Stable Security_Severity-High Stability-Memory-AddressSanitizer Type-Bug-Security allpublic merge-merged-1084 testcasenotadded</t>
  </si>
  <si>
    <t>heikkine...@gmail.com</t>
  </si>
  <si>
    <t>CVE-2014-7927 Clusterfuzz External-Fuzzer-Contribution M-40 OS-All Pri-1 Security_Impact-Stable Security_Severity-High Stability-Memory-AddressSanitizer Type-Bug-Security allpublic reward-3500</t>
  </si>
  <si>
    <t>ASSERTION FAILED: index &lt; arraySize</t>
  </si>
  <si>
    <t>CVE-2016-1660 Hotlist-Merge-Review M-50 Merge-Merged-2623 Missing_Severity-1 Nag OS-Linux Pri-1 Release-2-M50 ReleaseBlock-Stable Security_Impact-Stable Security_Severity-High Stability-Memory-AddressSanitizer Type-Bug-Security allpublic reward-3000</t>
  </si>
  <si>
    <t>Chrome_Mac: Crash Report - blink::HarfBuzzShaper::setGlyphPositionsForHarfBuzzRun</t>
  </si>
  <si>
    <t>Hotlist-Merge-Approved Hotlist-Merge-Review M-42 M-43 Merge-Merged-2311 OS-All Pri-1 Release-2-M41 ReleaseBlock-Stable Security_Impact-Stable Security_Severity-High Stability-Crash Type-Bug-Security allpublic merge-merged-2272 merge-merged-2272_101</t>
  </si>
  <si>
    <t>paulir...@chromium.org</t>
  </si>
  <si>
    <t>Merged into 459043</t>
  </si>
  <si>
    <t>gupt0...@gmail.com</t>
  </si>
  <si>
    <t>ilanbarm...@gmail.com</t>
  </si>
  <si>
    <t>Segfault in x86_64/memset.S below SkScalerContext::getImage on Linux</t>
  </si>
  <si>
    <t>M-7 OS-Linux Pri-2 Restrict-AddIssueComment-EditIssue Reward-1000 Security Security_Impact-Stable Security_Severity-High Type-Bug-Security allpublic</t>
  </si>
  <si>
    <t>Use after free in WebCore::findPlainText</t>
  </si>
  <si>
    <t>CVE-2011-2827 M-13 Merge-Merged OS-All Pri-1 Restrict-AddIssueComment-EditIssue Reward-1000 Security_Impact-Stable Security_Severity-High Stability-Memory-AddressSanitizer Type-Bug-Security allpublic</t>
  </si>
  <si>
    <t>Heap-use-after-free in CFX_BaseSegmentedArray::Iterate</t>
  </si>
  <si>
    <t>Clusterfuzz M-40 Merge-Merged Merge-merged-2214 Nag OS-All Pri-1 Release-0-M40 Security_Impact-Stable Security_Severity-High Stability-Memory-AddressSanitizer Type-Bug-Security allpublic</t>
  </si>
  <si>
    <t>Merged into 425040</t>
  </si>
  <si>
    <t>Chrome: Crash Report -         Stack Signature: v8::internal::MarkCompactCollector::RecordS...</t>
  </si>
  <si>
    <t>CVE-2011-3103 M-19 Merge-Merged OS-All Pri-1 Security_Impact-Stable Security_Severity-High Type-Bug-Security allpublic</t>
  </si>
  <si>
    <t>brettw@chromium.org</t>
  </si>
  <si>
    <t>UI&gt;Browser&gt;Omnibox UI&gt;Internationalization&gt;RTL UI&gt;Security&gt;UrlFormatting</t>
  </si>
  <si>
    <t>Chrome For Android Address Bar Spoofing Issue Due To Mishandling Of RTL Characters</t>
  </si>
  <si>
    <t>CVE-2016-5163 M-53 OS-Android Pri-1 Release-0-M53 Security_Impact-Stable Security_Severity-High Team-Security-UX Type-Bug-Security allpublic reward-3000 reward-inprocess</t>
  </si>
  <si>
    <t>rbsoulhu...@gmail.com</t>
  </si>
  <si>
    <t>Merged into 609680</t>
  </si>
  <si>
    <t>t...@packetfu.com</t>
  </si>
  <si>
    <t>Heap-use-after-free in Pickle::~Pickle</t>
  </si>
  <si>
    <t>Clusterfuzz M-30 M-31 Nag OS-All Pri-1 Security_Impact-Stable Security_Severity-High Stability-Memory-AddressSanitizer Type-Bug-Security allpublic</t>
  </si>
  <si>
    <t>Heap-buffer-overflow in SkAlphaRuns::add</t>
  </si>
  <si>
    <t>CVE-2011-3033 M-17 Merge-Merged OS-All Pri-1 Restrict-AddIssueComment-EditIssue Reward-1000 Security_Impact-Stable Security_Severity-High Stability-Memory-AddressSanitizer Type-Bug-Security allpublic</t>
  </si>
  <si>
    <t>Heap-use-after-free in WebCore::ApplyStyleCommand::removeInlineStyle</t>
  </si>
  <si>
    <t>ViewHostMsg_UpdateVideo memory corruption</t>
  </si>
  <si>
    <t>Pri-3 Restrict-AddIssueComment-Commit Security Security_Impact-Stable Security_Severity-High Type-Bug-Security allpublic reward-topanel</t>
  </si>
  <si>
    <t>Bad cast in PageClickTracker::handleEvent</t>
  </si>
  <si>
    <t>Blink&gt;Storage&gt;AppCache</t>
  </si>
  <si>
    <t>Security: AppCacheUpdateJob accesses map::end()</t>
  </si>
  <si>
    <t>CVE-2015-6766 Hotlist-Merge-Approved M-47 M-48 OS-All Pri-1 Release-0-M47 Security_Impact-Stable Security_Severity-High Type-Bug-Security allpublic merge-merged-2526 reward-11337</t>
  </si>
  <si>
    <t>PartialCircularBuffer is unsafe to use across security boundaries</t>
  </si>
  <si>
    <t>::-webkit-scrollbar causes "Aw Snap" when combined with certain JavaScripts</t>
  </si>
  <si>
    <t>HasTestcase M-5 OS-All Pri-2 Restrict-AddIssueComment-EditIssue Security Security_Impact-Stable Security_Severity-High Stability-Crash Type-Bug-Security allpublic bulkmove not-extensions reward-NA</t>
  </si>
  <si>
    <t>thaberm...@gmail.com</t>
  </si>
  <si>
    <t>Heap-use-after-free in WebCore::RenderBlock::removeFloatingObject</t>
  </si>
  <si>
    <t>CVE-2012-3674 Clusterfuzz M-18 Merge-Merged OS-All Pri-1 Restrict-AddIssueComment-EditIssue Security_Impact-Stable Security_Severity-High Stability-Memory-AddressSanitizer Type-Bug-Security allpublic</t>
  </si>
  <si>
    <t>Heap-use-after-free in WebCore::V8HTMLBodyElement::wrapSlow</t>
  </si>
  <si>
    <t>CVE-2011-3070 Clusterfuzz M-18 Merge-Merged OS-All Pri-1 Restrict-AddIssueComment-EditIssue Security_Impact-Stable Security_Severity-High Stability-Memory-AddressSanitizer Type-Bug-Security allpublic</t>
  </si>
  <si>
    <t>WebKit 49902 - chrome.dll!WebCore::toWebWidgetClient ReadAV@NULL (08ffd4f21a8c6465bb1e19a2f52e4bd5)</t>
  </si>
  <si>
    <t>CVE-2011-1799 M-11 OS-All Pri-1 ReleaseBlock-Stable Restrict-AddIssueComment-EditIssue Security Security_Impact-Stable Security_Severity-High Type-Bug-Security allpublic</t>
  </si>
  <si>
    <t>Use after free in tables float :after content</t>
  </si>
  <si>
    <t>Merged into 99597</t>
  </si>
  <si>
    <t>Blink&gt;WebGL Internals&gt;GPU&gt;VendorSpecific</t>
  </si>
  <si>
    <t>Stack-use-after-return in _mesa_optimize_program</t>
  </si>
  <si>
    <t>Clusterfuzz M-33 Merge-merged-1750 Nag OS-All Pri-1 Release-0-M33 ReleaseBlock-Stable Security_Impact-Stable Security_Severity-High Stability-Memory-AddressSanitizer Type-Bug-Security allpublic</t>
  </si>
  <si>
    <t>innerHTML decompilation issues in textarea</t>
  </si>
  <si>
    <t>M-5 Pri-2 Restrict-AddIssueComment-EditIssue Security Security_Impact-Stable Security_Severity-High Type-Bug-Security allpublic reward-topanel</t>
  </si>
  <si>
    <t>sirdarck...@gmail.com</t>
  </si>
  <si>
    <t>Security: Heap-buffer-overflow in png_decompress_chunk</t>
  </si>
  <si>
    <t>CVE-2011-3026 M-17 Merge-Merged Pri-0 Restrict-AddIssueComment-EditIssue Reward-1337 Security_Impact-Stable Security_Severity-High Type-Bug-Security allpublic merge-merged-1025 merge-merged-963</t>
  </si>
  <si>
    <t>Use after free due to style not updated for svg text runs.</t>
  </si>
  <si>
    <t>CVE-2011-2877 M-14 Merge-Merged Merge-Merged-835 OS-All Pri-1 Restrict-AddIssueComment-EditIssue Reward-1000 Security_Impact-Stable Security_Severity-High Stability-CodeYellow Stability-Memory-AddressSanitizer Type-Bug-Security allpublic merge-merged-874</t>
  </si>
  <si>
    <t>Merged into 95072</t>
  </si>
  <si>
    <t>UI&gt;Settings</t>
  </si>
  <si>
    <t>Heap-use-after-free in WebsiteSettings::OnUIClosing</t>
  </si>
  <si>
    <t>Clusterfuzz External-Fuzzer-Contribution M-53 OS-Linux Pri-1 Reproducible Security_Impact-Stable Security_Severity-High Stability-Memory-AddressSanitizer Type-Bug-Security allpublic reward-0</t>
  </si>
  <si>
    <t>Blink&gt;Media&gt;Video Internals&gt;Media</t>
  </si>
  <si>
    <t>Use-after-free in WebCore::TimerBase::stop</t>
  </si>
  <si>
    <t>CVE-2013-6622 Hotlist-SyzyASAN M-31 Nag OS-All Pri-2 Release-0-M31 Security_Impact-Stable Security_Severity-High Type-Bug-Security allpublic merge-merged-1650 reward-2000</t>
  </si>
  <si>
    <t>Security: Integer overflow allocating shared memory in AudioInputRendererHost::OnCreateStream</t>
  </si>
  <si>
    <t>CVE-2014-1744 M-35 Pri-1 Release-0-M35 Security_Impact-Stable Security_Severity-High Type-Bug-Security allpublic merge-merged-1916 reward-3000 reward-inprocess</t>
  </si>
  <si>
    <t>aaron.st...@gmail.com</t>
  </si>
  <si>
    <t>OOB function pointer array call FEComponentTransfer::apply</t>
  </si>
  <si>
    <t>CVE-2011-1463 M-11 OS-All Pri-1 ReleaseBlock-Stable Restrict-AddIssueComment-EditIssue Security_Impact-Stable Security_Severity-High Type-Bug-Security allpublic</t>
  </si>
  <si>
    <t>Internals&gt;Sandbox</t>
  </si>
  <si>
    <t>Security: Windows Sandbox Named Pipe Policy Doesn't Block Relative Paths</t>
  </si>
  <si>
    <t>CVE-2013-6652 Merge-merged-1750 OS-Windows Pri-1 Release-0-M33 Security_Impact-Stable Security_Severity-High Type-Bug-Security allpublic reward-2000</t>
  </si>
  <si>
    <t>tyra...@gmail.com</t>
  </si>
  <si>
    <t>Crash in WebCore::SMILTimeContainer::begin</t>
  </si>
  <si>
    <t>M-8 OS-All Pri-1 ReleaseBlock-Stable Restrict-AddIssueComment-EditIssue Reward-1000 Security Security_Impact-Stable Security_Severity-High Type-Bug-Security allpublic</t>
  </si>
  <si>
    <t>Geolocation events fire after document deletion</t>
  </si>
  <si>
    <t>Use-after-free in webrtc::WebRtcSession::data_channel()</t>
  </si>
  <si>
    <t>M-25 Merge-Merged OS-All Pri-1 Release-1 Security_Impact-Stable Security_Severity-High Stability-Memory-AddressSanitizer Type-Bug-Security allpublic release-private</t>
  </si>
  <si>
    <t>phoglund@chromium.org</t>
  </si>
  <si>
    <t>Generic fix: Register custom fonts at creation time rather than retire time.</t>
  </si>
  <si>
    <t>CVE-2011-3885 M-15 Merge-Merged OS-All Pri-1 ReleaseBlock-Stable Restrict-AddIssueComment-EditIssue Reward-1337 Security_Impact-Stable Security_Severity-High Type-Bug-Security allpublic merge-merged-874</t>
  </si>
  <si>
    <t>Use-of-uninitialized-value in lh_retrieve</t>
  </si>
  <si>
    <t>Clusterfuzz M-48 M-50 OS-Linux Pri-1 Release-0-M50 Reproducible Security_Impact-Stable Security_Severity-High Stability-Libfuzzer Stability-Memory-MemorySanitizer Type-Bug-Security allpublic</t>
  </si>
  <si>
    <t>Cross-origin named subframe access leaks cross-origin subframes of the same name</t>
  </si>
  <si>
    <t>CVE-2013-2859 M-27 Merge-Merged OS-All Release-1 Security-Code28 Security_Impact-Stable Security_Severity-High Type-Bug-Security allpublic reward-1500</t>
  </si>
  <si>
    <t>bobbyhol...@gmail.com</t>
  </si>
  <si>
    <t>Use after free of markers in CompositeEditCommand::replaceTextInNodePreservingMarkers</t>
  </si>
  <si>
    <t>CVE-2011-2832 Clusterfuzz M-13 Merge-Merged OS-All Pri-1 Restrict-AddIssueComment-EditIssue Security_Impact-Stable Security_Severity-High Stability-Memory-AddressSanitizer Type-Bug-Security allpublic</t>
  </si>
  <si>
    <t>Use after free in tables</t>
  </si>
  <si>
    <t>Blink&gt;Network&gt;XHR</t>
  </si>
  <si>
    <t>ASSERTION FAILED: m_pendingActivityCount &gt; 0 Heap-use-after-free in WebCore::XMLHttpRequest::open</t>
  </si>
  <si>
    <t>CVE-2013-2925 M-30 OS-All Pri-1 Release-1-M30 ReleaseBlock-Stable Reward-1000 Security_Impact-Stable Security_Severity-High Stability-Memory-AddressSanitizer Type-Bug-Security allpublic merge-merged-1599</t>
  </si>
  <si>
    <t>Security: invalid memory reference to window object</t>
  </si>
  <si>
    <t>Blink&gt;Media&gt;Audio</t>
  </si>
  <si>
    <t>Use-of-uninitialized-value in WebCore::AudioContext::scheduleNodeDeletion</t>
  </si>
  <si>
    <t>Clusterfuzz M-36 M-37 Merge-merged-2062 Nag OS-All Pri-1 Release-0-M37 Security_Impact-Stable Security_Severity-High Stability-Memory-MemorySanitizer Type-Bug-Security allpublic wip</t>
  </si>
  <si>
    <t>Merged into 389216</t>
  </si>
  <si>
    <t>Heap-use-after-free in extensions::BookmarkAppHelper::OnBubbleCompleted</t>
  </si>
  <si>
    <t>Clusterfuzz Hotlist-Merge-Approved M-47 M-48 Nag OS-Linux Pri-1 Release-1-M47 ReleaseBlock-NA Reproducible Security_Impact-Stable Security_Severity-High Stability-Memory-AddressSanitizer Type-Bug-Security allpublic merge-merged-2526</t>
  </si>
  <si>
    <t>Security: AppCacheDispatcherHost UaF with host transfer</t>
  </si>
  <si>
    <t>CVE-2015-6767 Hotlist-Merge-Approved M-47 M-48 Merge-merged-2564 OS-All Pri-1 Release-0-M47 Security_Impact-Stable Security_Severity-High Type-Bug-Security allpublic merge-merged-2526 reward-10000</t>
  </si>
  <si>
    <t>Security: LayoutBlock Security DCHECK FAILED</t>
  </si>
  <si>
    <t>CVE-2017-5052 Deadline-Exceeded Hotlist-Merge-Approved M-57 M-58 M-59 OS-All Pri-1 Release-1-M57 Reward-1000 Security_Impact-Stable Security_Severity-High Type-Bug-Security allpublic merge-merged-2987 merge-merged-3029 reward-inprocess</t>
  </si>
  <si>
    <t>WebM crash in vp8_setup_intra_recon()</t>
  </si>
  <si>
    <t>M-7 Pri-1 Restrict-AddIssueComment-EditIssue Reward-1000 Security Security_Impact-Stable Security_Severity-High Type-Bug-Security allpublic</t>
  </si>
  <si>
    <t>dereference poisoned value in avcodec_52!ff_thread_decode_frame</t>
  </si>
  <si>
    <t>CVE-2011-1198 M-10 OS-All Pri-1 Restrict-AddIssueComment-EditIssue Security Security_Impact-Stable Security_Severity-High Stability-Crash Type-Bug-Security allpublic bulkmove reward-topanel</t>
  </si>
  <si>
    <t>Security: Stealing data cross domain using proxies and stealing JSON data using UTF-16BE</t>
  </si>
  <si>
    <t>CVE-2017-5028 Deadline-Exceeded Hotlist-Merge-Approved M-56 OS-All Pri-1 Release-0-M56 Security_Impact-Stable Security_Severity-High Type-Bug-Security allpublic reward-3000 reward-inprocess</t>
  </si>
  <si>
    <t>gareth.h...@portswigger.net</t>
  </si>
  <si>
    <t>CVE-2014-1742 M-34 Merge-Merged-1847 Nag OS-All Pri-1 Release-2-M34 Reward-1000 Security_Impact-Stable Security_Severity-High Stability-Memory-AddressSanitizer Type-Bug-Security allpublic merge-merged-1916 reward-inprocess</t>
  </si>
  <si>
    <t>Heap-buffer-overflow in SkA8_Blitter::blitH</t>
  </si>
  <si>
    <t>M-22 Merge-Merged OS-All Pri-1 Reward-1000 Security_Impact-Stable Security_Severity-High Stability-Memory-AddressSanitizer Type-Bug-Security allpublic</t>
  </si>
  <si>
    <t>Security: use-after-free vulnerability in flash player latest version</t>
  </si>
  <si>
    <t>Clusterfuzz HasTestcase OS-All Pri-1 Release-0-M33 Security_Impact-Stable Security_Severity-High Stability-Memory-AddressSanitizer Stability-ThreadSanitizer Type-Bug-Security allpublic</t>
  </si>
  <si>
    <t>Merged into 265889</t>
  </si>
  <si>
    <t>ZDI-CAN-806: Apple Safari's Webkit Runin Use-after-free Vulnerability</t>
  </si>
  <si>
    <t>M-5 OS-All Pri-1 Restrict-AddIssueComment-EditIssue Security Security_Impact-Stable Security_Severity-High Type-Bug-Security allpublic cve-2010-1782</t>
  </si>
  <si>
    <t>Security: Persistent UXSS via SchemaRegistry</t>
  </si>
  <si>
    <t>CVE-2016-1676 Hotlist-Merge-Approved M-51 OS-All Pri-1 Release-0-M51 Security_Impact-Stable Security_Severity-High Type-Bug-Security allpublic merge-merged-2704 reward-7500 reward-inprocess</t>
  </si>
  <si>
    <t>Security: type confusion in JSPropGetter of pdfium</t>
  </si>
  <si>
    <t>CVE-2017-5057 M-58 OS-All Pri-1 Release-0-M58 Security_Impact-Stable Security_Severity-High Type-Bug-Security allpublic reward-3000 reward-inprocess</t>
  </si>
  <si>
    <t>Security: any UXSS bug on Android can be turned into a persistent RCE bug via the play store</t>
  </si>
  <si>
    <t>M-55 OS-All OS-Android Pri-1 Security_Impact-Stable Security_Severity-High Type-Bug-Security allpublic</t>
  </si>
  <si>
    <t>All Android</t>
  </si>
  <si>
    <t>jochen@chromium.org</t>
  </si>
  <si>
    <t>Heap-use-after-free in WebCore::RenderBlock::LineBreaker::nextLineBreak [SVG text]</t>
  </si>
  <si>
    <t>Heap-use-after-free in WebCore::ElementV8Internal::onclickAttrGetter</t>
  </si>
  <si>
    <t>M-22 Merge-Merged OS-All Pri-1 Reward-1000 Security-CodeYellow Security_Impact-Stable Security_Severity-High Stability-Memory-AddressSanitizer Type-Bug-Security allpublic</t>
  </si>
  <si>
    <t>Heap-buffer-overflow in WebCore::InlineFlowBox::addToLine (regions issue)</t>
  </si>
  <si>
    <t>Use-after frees and bad casts with -webkit-column-span</t>
  </si>
  <si>
    <t>CVE-2011-3958 M-17 Merge-Merged OS-All Pri-1 Restrict-AddIssueComment-EditIssue Security_Impact-Stable Security_Severity-High Stability-Memory-AddressSanitizer Type-Bug-Security allpublic merge-merged-963 reward-2000</t>
  </si>
  <si>
    <t>Merged into 105459</t>
  </si>
  <si>
    <t>Heap-use-after-free in blink::DocumentOrderedMap::add</t>
  </si>
  <si>
    <t>Clusterfuzz M-38 Merge-merged-2062 Merge-merged-2125 OS-All Pri-1 Release-3-M37 Security_Impact-Stable Security_Severity-High Stability-Memory-AddressSanitizer Type-Bug-Security allpublic</t>
  </si>
  <si>
    <t>Lack of bounds checking in OpenSSL allows servers to read 64KB chunks of random memory.</t>
  </si>
  <si>
    <t>M-34 OS-Android Pri-0 ReleaseBlock-Stable Security_Impact-Stable Security_Severity-High Type-Bug</t>
  </si>
  <si>
    <t>[LangFuzz] Crash in v8::internal::ShortCircuitConsString with invalid read</t>
  </si>
  <si>
    <t>CVE-2011-3115 M-19 Merge-Merged OS-All Pri-1 Reward-1000 Security_Impact-Stable Security_Severity-High Type-Bug-Security allpublic</t>
  </si>
  <si>
    <t>Use-of-uninitialized-value in IPC::ChannelPosix::ProcessOutgoingMessages</t>
  </si>
  <si>
    <t>Clusterfuzz M-38 Merge-na OS-All Pri-1 Release-0-M38 Security_Impact-Stable Security_Severity-High Stability-Memory-MemorySanitizer Type-Bug-Security allpublic</t>
  </si>
  <si>
    <t>Crash in chrome</t>
  </si>
  <si>
    <t>Clusterfuzz Hotlist-Merge-Review M-48 M-49 Merge-Merged-2623 OS-Linux Pri-1 Release-0-M49 Reproducible Security_Impact-Stable Security_Severity-High Stability-Memory-AddressSanitizer Type-Bug-Security allpublic</t>
  </si>
  <si>
    <t>Crash in blink::AudioParamTimeline::valuesForFrameRangeImpl</t>
  </si>
  <si>
    <t>Clusterfuzz Hotlist-Merge-Approved M-49 Merge-Merged-2623 Merge-merged-2564 OS-Linux Pri-1 Release-0-M49 Reproducible Security_Impact-Stable Security_Severity-High Stability-Memory-AddressSanitizer Type-Bug-Security allpublic</t>
  </si>
  <si>
    <t>Crash in v8::internal::compiler::InstructionSequence::GetRepresentation</t>
  </si>
  <si>
    <t>Clusterfuzz Deadline-Exceeded M-51 Nag NodeJS-Backport-Done OS-Android OS-Chrome OS-Linux OS-Mac OS-Windows Pri-1 Release-1-M51 Reproducible Security_Impact-Stable Security_Severity-High Stability-Memory-AddressSanitizer Type-Bug-Security allpublic merge-merged-5.1 merge-merged-5.2</t>
  </si>
  <si>
    <t>Crash in v8::internal::Runtime_FunctionGetScript</t>
  </si>
  <si>
    <t>Clusterfuzz M-49 Merge-na OS-Linux Pri-1 Release-NA Reproducible Security_Impact-Stable Security_Severity-High Stability-Memory-AddressSanitizer Type-Bug-Security allpublic</t>
  </si>
  <si>
    <t>Security: potential UAF in pdfium timer</t>
  </si>
  <si>
    <t>CVE-2017-5039 M-57 OS-All Pri-1 Release-0-M57 Security_Impact-Stable Security_Severity-High Type-Bug-Security allpublic reward-500 reward-inprocess</t>
  </si>
  <si>
    <t>jinmot...@gmail.com</t>
  </si>
  <si>
    <t>Security: ASAN heap-use-after-free in SVGElement::propertyFromAttribute</t>
  </si>
  <si>
    <t>M-37 Nag OS-All Pri-1 Release-0-M37 Security_Impact-Stable Security_Severity-High Type-Bug-Security allpublic reward-2000</t>
  </si>
  <si>
    <t>Security: ParseFTPList buffer fencepost integer underflow</t>
  </si>
  <si>
    <t>Area-MISC OS-All Pri-1 Restrict-AddIssueComment-Commit Security Security_Impact-Stable Security_Severity-High Type-Bug-Security allpublic reward-topanel</t>
  </si>
  <si>
    <t>Security: ParseFTPList integer underflow</t>
  </si>
  <si>
    <t>Blink&gt;Forms&gt;Password</t>
  </si>
  <si>
    <t>Bad-cast to const blink::WebPasswordCredential from blink::WebCredential;type_converters.cc:87:9</t>
  </si>
  <si>
    <t>Clusterfuzz Hotlist-Merge-Approved M-51 OS-Linux Pri-1 Release-0-M51 Reproducible Security_Impact-Stable Security_Severity-High Stability-UndefinedBehaviorSanitizer Type-Bug-Security allpublic merge-merged-2704</t>
  </si>
  <si>
    <t>Heap-use-after-free in blink::ScriptStreamer::streamingCompleteOnBackgroundThread</t>
  </si>
  <si>
    <t>Clusterfuzz Hotlist-Merge-Approved M-43 Merge-merged-2357 OS-All Pri-1 Release-0-M43 Security_Impact-Stable Security_Severity-High Stability-Memory-AddressSanitizer Type-Bug-Security allpublic</t>
  </si>
  <si>
    <t>ASSERTION FAILED: m_pendingStylesheets &gt; 0 Heap-use-after-free in blink::StyleEngine::clearResolver</t>
  </si>
  <si>
    <t>CVE-2014-7934 M-40 Merge-merged-2214 Pri-1 Release-0-M40 Security_Impact-Stable Security_Severity-High Stability-Memory-AddressSanitizer Type-Bug-Security allpublic reward-2000</t>
  </si>
  <si>
    <t>Use-after-free in WebCore::SVGAnimatedProperty::detachAnimatedPropertiesForElement</t>
  </si>
  <si>
    <t>Clusterfuzz Hotlist-SyzyASAN M-31 Missing_Impact-2 OS-All Pri-1 Security_Impact-Stable Security_Severity-High Type-Bug-Security allpublic</t>
  </si>
  <si>
    <t>Security: use-after-free in WebCore::RenderBoxModelObject::hasSelfPaintingLayer()</t>
  </si>
  <si>
    <t>CVE-2011-3081 M-18 Merge-Merged OS-All Pri-1 Restrict-AddIssueComment-EditIssue Reward-1000 Security_Impact-Stable Security_Severity-High Type-Bug-Security allpublic</t>
  </si>
  <si>
    <t>Heap-use-after-free in WebCore::HTMLInputElement::setValue for type=range type=date and type=time with datalist</t>
  </si>
  <si>
    <t>Heap-use-after-free in WebCore::RenderBlock::addOverflowFromFloats</t>
  </si>
  <si>
    <t>Merged into 124919</t>
  </si>
  <si>
    <t>ASSERTION FAILED: node-&gt;isMediaControlElement() UNKNOWN in blink::mediaControlElementType</t>
  </si>
  <si>
    <t>Clusterfuzz M-38 Merge-merged-2125 OS-All Pri-1 Security_Impact-Stable Security_Severity-High Stability-Memory-AddressSanitizer Type-Bug-Security allpublic</t>
  </si>
  <si>
    <t>Internals&gt;Mojo</t>
  </si>
  <si>
    <t>Security: mojo: Unchecked ports message payload lengths leading to buffer overflows and uafs</t>
  </si>
  <si>
    <t>Hotlist-Merge-Approved Hotlist-Merge-Review M-51 M-52 OS-All Release-3-M51 Security_Impact-Stable Security_Severity-High Type-Bug-Security allpublic merge-merged-2704 merge-merged-2743</t>
  </si>
  <si>
    <t>Freed m_renderer used in InlineBox::deleteLine</t>
  </si>
  <si>
    <t>CVE-2011-3904 M-16 OS-All Pri-1 Restrict-AddIssueComment-EditIssue Security_Impact-Stable Security_Severity-High Type-Bug-Security WEBKIT-ID-66015 allpublic</t>
  </si>
  <si>
    <t>OOB write in V8 (only 64bit)</t>
  </si>
  <si>
    <t>Arch-x86_64 CVE-2013-6639 M-31 Merge-Merged OS-All Pri-1 Release-1-M31 Security_Impact-Stable Security_Severity-High Stability-ThreadSanitizer Type-Bug-Security allpublic</t>
  </si>
  <si>
    <t>Merge webkit bug https://bugs.webkit.org/show_bug.cgi?id=39143</t>
  </si>
  <si>
    <t>Pri-1 Restrict-AddIssueComment-Commit Security Security_Impact-Stable Security_Severity-High Type-Bug-Security allpublic</t>
  </si>
  <si>
    <t>Heap-use-after-free in WebCore::DatabaseTracker::interruptAllDatabasesForContext</t>
  </si>
  <si>
    <t>M-16 Merge-Merged Merge-Merged-912 OS-All Pri-1 Restrict-AddIssueComment-EditIssue Security_Impact-Stable Security_Severity-High Stability-Memory-AddressSanitizer Type-Bug-Security allpublic merge-merged-963</t>
  </si>
  <si>
    <t>Children of cloned anonymous blocks should set childreninline flag</t>
  </si>
  <si>
    <t>Bad casts due to issues in splitAnonymousBlocksAroundChild</t>
  </si>
  <si>
    <t>30x redirects silently honored in response to CONNECT</t>
  </si>
  <si>
    <t>OS-All Pri-1 Restrict-AddIssueComment-Commit Security Security_Impact-Stable Security_Severity-High Type-Bug-Security allpublic reward-topanel</t>
  </si>
  <si>
    <t>OOB read in WebM/vorbis vorbis_decode_frame()</t>
  </si>
  <si>
    <t>CVE-2011-3895 M-15 Merge-Merged Pri-0 Restrict-AddIssueComment-EditIssue Reward-1000 Security_Impact-Stable Security_Severity-High Stability-Memory-AddressSanitizer Stability-Valgrind Type-Bug-Security allpublic</t>
  </si>
  <si>
    <t>Heap-use-after-free in WebCore::RenderObject::setStyle</t>
  </si>
  <si>
    <t>CVE-2012-2829 M-20 Merge-Merged OS-All Pri-1 Restrict-AddIssueComment-EditIssue Reward-1000 Security_Impact-Stable Security_Severity-High Stability-Memory-AddressSanitizer Type-Bug-Security allpublic</t>
  </si>
  <si>
    <t>Stale pointer in WebCore::RenderBlock::marginBeforeForChild</t>
  </si>
  <si>
    <t>ApprovedForMerge CVE-2011-1804 M-11 OS-All Pri-1 Restrict-AddIssueComment-EditIssue Reward-1000 Security_Impact-Stable Security_Severity-High Type-Bug-Security allpublic</t>
  </si>
  <si>
    <t>Flash: bad cast(?) in display list handling from KeenTean</t>
  </si>
  <si>
    <t>CVE-2015-0322 M-41 OS-All Pri-1 Security_Impact-Stable Security_Severity-High Type-Bug-Security allpublic reward-2000 reward-inprocess</t>
  </si>
  <si>
    <t>UI UI&gt;Browser&gt;TabStrip</t>
  </si>
  <si>
    <t>Browser process crash (CHECK failure) in TabStripModel::GetContentsAt(int) const</t>
  </si>
  <si>
    <t>M-9 Pri-1 Restrict-AddIssueComment-EditIssue Security Security_Impact-Stable Security_Severity-High Stability-Crash Type-Bug-Security allpublic bulkmove</t>
  </si>
  <si>
    <t>huanr@chromium.org</t>
  </si>
  <si>
    <t>Use after free with first-letter</t>
  </si>
  <si>
    <t>Stale text node in linebox due to failure to dirty linebox when that text child is dirtied</t>
  </si>
  <si>
    <t>ApprovedForMerge CVE-2011-1189 M-10 Pri-1 Restrict-AddIssueComment-EditIssue Reward-1000 Security Security_Impact-Stable Security_Severity-High Type-Bug-Security allpublic</t>
  </si>
  <si>
    <t>Security: Boundless Tunes - universal SOP bypass through ActionSctipt's Sound object</t>
  </si>
  <si>
    <t>CVE-2015-5116 M-42 OS-All Pri-1 Security_Impact-Stable Security_Severity-High Type-Bug-Security allpublic reward-7500 reward-inprocess</t>
  </si>
  <si>
    <t>ojakiga...@gmail.com</t>
  </si>
  <si>
    <t>Internals&gt;GPU Internals&gt;Plugins&gt;Flash</t>
  </si>
  <si>
    <t>Heap-use-after-free in gpu::CommandBufferHelper::~CommandBufferHelper</t>
  </si>
  <si>
    <t>Heap-use-after-free in WebCore::TimerBase::start</t>
  </si>
  <si>
    <t>CVE-2013-2904 M-29 Merge-Merged OS-All Pri-1 Release-0 Reward-1000 Security_Impact-Stable Security_Severity-High Stability-Memory-AddressSanitizer Type-Bug-Security allpublic merge-Merged-1547</t>
  </si>
  <si>
    <t>Heap-use-after-free in crypto::Encryptor::Decrypt</t>
  </si>
  <si>
    <t>Clusterfuzz M-43 M-44 M-45 Merge-Merged-2403 OS-All Pri-1 Release-0-M44 Security_Impact-Stable Security_Severity-High Stability-Memory-AddressSanitizer Type-Bug-Security allpublic</t>
  </si>
  <si>
    <t>Use after free in CounterNode</t>
  </si>
  <si>
    <t>Services&gt;Sync</t>
  </si>
  <si>
    <t>Google Account Sync auth token leaked to active network attacker who suppresses XMPP STARTTLS</t>
  </si>
  <si>
    <t>M-38 Merge-Merged-2171 Merge-merged-2125 Pri-1 Security_Impact-Stable Security_Severity-High Type-Bug-Security allpublic</t>
  </si>
  <si>
    <t>klyubin@google.com</t>
  </si>
  <si>
    <t>chrome.tabs.executeScriptInTab allows running script in the gallery</t>
  </si>
  <si>
    <t>M-4 OS-All Pri-1 ReleaseBlock-Stable Restrict-AddIssueComment-EditIssue Security Security_Impact-Stable Security_Severity-High Type-Bug-Security allpublic</t>
  </si>
  <si>
    <t>aa@chromium.org</t>
  </si>
  <si>
    <t>Bad-cast to blink::AudioNode from invalid vptr;AudioNode.cpp:401:13</t>
  </si>
  <si>
    <t>Clusterfuzz M-41 Nag OS-All Pri-1 Release-0-M41 Security_Impact-Stable Security_Severity-High Type-Bug-Security allpublic merge-merged-2272</t>
  </si>
  <si>
    <t>Heap-buffer-overflow in CCodec_RLScanlineDecoder::v_GetNextLine</t>
  </si>
  <si>
    <t>Clusterfuzz Hotlist-Merge-Approved Hotlist-Merge-Review M-47 M-48 Merge-merged-2564 OS-Linux Pri-1 Release-1-M47 Reproducible Security_Impact-Stable Security_Severity-High Stability-Memory-AddressSanitizer Type-Bug-Security allpublic merge-merged-2526</t>
  </si>
  <si>
    <t>Clusterfuzz M-25 Merge-Merged OS-All Pri-1 Release-0 Security-CodeYellow Security_Impact-Stable Security_Severity-High Stability-Memory-AddressSanitizer Type-Bug-Security allpublic release-private webkit-id-90802</t>
  </si>
  <si>
    <t>Heap-use-after-free in WebCore::EllipsisBox::paint</t>
  </si>
  <si>
    <t>Clusterfuzz M-22 Merge-Merged OS-All Pri-1 Restrict-AddIssueComment-EditIssue Security-CodeYellow Security_Impact-Stable Security_Severity-High Stability-Memory-AddressSanitizer Type-Bug-Security allpublic webkit-id-91138</t>
  </si>
  <si>
    <t>Internals&gt;GPU&gt;ANGLE</t>
  </si>
  <si>
    <t>Multiple use-after-frees in ANGLE shader translator</t>
  </si>
  <si>
    <t>Hotlist-Merge-Review M-51 M-52 OS-All Pri-1 Security_Impact-Stable Security_Severity-High Type-Bug merge-merged-2743</t>
  </si>
  <si>
    <t>piman@chromium.org</t>
  </si>
  <si>
    <t>Table layout crash bug from wushi</t>
  </si>
  <si>
    <t>Use after free in counters in :before :after content</t>
  </si>
  <si>
    <t>M-14 Merge-Merged OS-All Pri-1 Restrict-AddIssueComment-EditIssue Security_Impact-Stable Security_Severity-High Stability-Memory-AddressSanitizer Type-Bug-Security allpublic reward-500</t>
  </si>
  <si>
    <t>Merged into 97608</t>
  </si>
  <si>
    <t>mbarbe...@chromium.org</t>
  </si>
  <si>
    <t>Heap-use-after-free in content::MessagePortService::UpdateMessagePort</t>
  </si>
  <si>
    <t>Security: Setting innerText allows DOMSubtreeModified listeners to cause crashes</t>
  </si>
  <si>
    <t>M-17 Merge-Merged OS-All Pri-1 Restrict-AddIssueComment-EditIssue Security_Impact-Stable Security_Severity-High Type-Bug-Security allpublic</t>
  </si>
  <si>
    <t>UNKNOWN in TIntermSymbol::TIntermSymbol</t>
  </si>
  <si>
    <t>Clusterfuzz M-20 Merge-Merged OS-All Pri-1 Reward-1000 Security_Impact-Stable Security_Severity-High Stability-Memory-AddressSanitizer Type-Bug-Security allpublic</t>
  </si>
  <si>
    <t>Merged into 130369</t>
  </si>
  <si>
    <t>Heap-use-after-free in WebCore::RenderBlock::addChildIgnoringAnonymousColumnBlocks</t>
  </si>
  <si>
    <t>CVE-2012-3672 Clusterfuzz M-19 Merge-Merged OS-All Pri-1 Security_Impact-Stable Security_Severity-High Stability-Memory-AddressSanitizer Type-Bug-Security allpublic</t>
  </si>
  <si>
    <t>ASSERT obj-&gt;parentObject() == this in accessibility tree</t>
  </si>
  <si>
    <t>M-14 Merge-Merged-835 OS-All Pri-1 Restrict-AddIssueComment-EditIssue Security_Impact-Stable Security_Severity-High Type-Bug-Security allpublic merge-merged-874</t>
  </si>
  <si>
    <t>Services&gt;Safebrowsing</t>
  </si>
  <si>
    <t>Crash in _platform_memmove$VARIANT$Nehalem</t>
  </si>
  <si>
    <t>CVE-2016-5167 Clusterfuzz M-53 OS-Mac Pri-1 Release-0-M53 Reproducible Security_Impact-Stable Security_Severity-High Stability-Libfuzzer Stability-Memory-AddressSanitizer Type-Bug-Security allpublic merge-merged-2785</t>
  </si>
  <si>
    <t>Blink Blink&gt;CSS</t>
  </si>
  <si>
    <t>Heap-use-after-free in WebCore::SelectorChecker::checkOneSelector</t>
  </si>
  <si>
    <t>CVE-2012-3625 Clusterfuzz M-18 Merge-Merged OS-All Pri-1 Restrict-AddIssueComment-EditIssue Security_Impact-Stable Security_Severity-High Stability-Memory-AddressSanitizer Type-Bug-Security allpublic</t>
  </si>
  <si>
    <t>Security: Possible integer overflow in CFX_BasicArray::Append</t>
  </si>
  <si>
    <t>Heap-use-after-free in WebCore::StyleCachedImageSet::cssValue</t>
  </si>
  <si>
    <t>WebCore::NamedNodeMap::setAttributes() stale iterator</t>
  </si>
  <si>
    <t>OS-Windows Pri-1 Restrict-AddIssueComment-Commit Security Security_Impact-Stable Security_Severity-High Stability-Crash Type-Bug-Security allpublic bulkmove reward-topanel</t>
  </si>
  <si>
    <t>selectedStylesheetSet memory corruption</t>
  </si>
  <si>
    <t>Internals UI&gt;Browser&gt;Navigation</t>
  </si>
  <si>
    <t>RenderViewHostImpl::OnMessageReceived</t>
  </si>
  <si>
    <t>CVE-2013-0903 M-25 Merge-Merged Merge-Merged-1410 OS-All Pri-1 Release-1 Reward-1000 Security_Impact-Stable Security_Severity-High Type-Bug-Security allpublic merge-Merged-1364</t>
  </si>
  <si>
    <t>Security: heap-buffer-overflow in SkGradientShaderBase::SkGradientShaderBase</t>
  </si>
  <si>
    <t>Arch-ARM Arch-x86 M-42 Merge-na OS-All Pri-1 Release-0-M42 Security_Impact-Stable Security_Severity-High Type-Bug-Security allpublic reward-5000</t>
  </si>
  <si>
    <t>Blink Internals&gt;Media&gt;Audio</t>
  </si>
  <si>
    <t>Heap-buffer-overflow in WebCore::AudioBufferSourceNode::process</t>
  </si>
  <si>
    <t>Security: Flash UAF with Color.setRGB in AS2</t>
  </si>
  <si>
    <t>CVE-2015-3128 M-42 Pri-1 Security_Impact-Stable Security_Severity-High Type-Bug-Security allpublic reward-7500</t>
  </si>
  <si>
    <t>Bad cast in CSSStyleSelector::createTransformOperations</t>
  </si>
  <si>
    <t>Security: Universal XSS using plugin objects</t>
  </si>
  <si>
    <t>CVE-2015-6772 Hotlist-Merge-Approved M-47 Merge-merged-2564 OS-All Pri-1 Release-0-M47 ReleaseBlock-Stable Security_Impact-Stable Security_Severity-High Type-Bug-Security allpublic merge-merged-2526 reward-7500 reward-inprocess</t>
  </si>
  <si>
    <t>UI&gt;Internationalization</t>
  </si>
  <si>
    <t>Bad-cast to icu_54::UnicodeSet from icu_54::Quantifier;rbt_pars.cpp:1105:22</t>
  </si>
  <si>
    <t>Clusterfuzz Hotlist-Merge-Review M-46 Merge-Merged-2490 OS-Linux Pri-1 Release-0-M46 Reproducible Security_Impact-Stable Security_Severity-High Type-Bug-Security allpublic</t>
  </si>
  <si>
    <t>Bad-cast to blink::ScriptWrappable from blink::WebGLRenderingContextBase::TypedExtensionTracker&lt;blink::ANGLEInstancedArrays&gt;;ScriptWrappable.h:192:32</t>
  </si>
  <si>
    <t>Clusterfuzz M-46 Merge-na Needs-Feedback OS-Linux Pri-1 Release-0-M46 Reproducible Security_Impact-Stable Security_Severity-High Type-Bug-Security allpublic</t>
  </si>
  <si>
    <t>Stack-buffer-overflow in v8::internal::MarkCompactCollector::SweepInParallel</t>
  </si>
  <si>
    <t>CVE-2014-7931 M-40 Merge-Merged Pri-1 Release-0-M40 Security_Impact-Stable Security_Severity-High Stability-Memory-AddressSanitizer Type-Bug-Security allpublic reward-3000</t>
  </si>
  <si>
    <t>v8_i18n::BCP47ToICUFormat() - crash</t>
  </si>
  <si>
    <t>M-16 Merge-Merged Merge-Merged-912 OS-All Pri-1 ReleaseBlock-Stable Restrict-AddIssueComment-EditIssue Reward-1000 Security_Impact-Stable Security_Severity-High Type-Bug-Security allpublic</t>
  </si>
  <si>
    <t>Heap-use-after-free in /mnt/scratch0/clusterfuzz/slave-bot/builds/chromium-browser-asan_linux-release/r</t>
  </si>
  <si>
    <t>Clusterfuzz Hotlist-Merge-Approved M-43 M-44 Merge-Merged-2403 OS-All Pri-1 Release-0-M44 ReleaseBlock-Stable Security_Impact-Stable Security_Severity-High Stability-Memory-AddressSanitizer Type-Bug-Security allpublic findit-wrong</t>
  </si>
  <si>
    <t>Use RefPtr in PageWidgetDelegate and guard RenderView</t>
  </si>
  <si>
    <t>M-33 Merge-Merged Merge-merged-1750 OS-All Pri-1 Release-0-M33 Security_Impact-Stable Security_Severity-High Type-Bug-Security allpublic</t>
  </si>
  <si>
    <t>Stale pointer in WebCore::Document::recalcStyleSelector</t>
  </si>
  <si>
    <t>M-11 OS-All Pri-1 Restrict-AddIssueComment-EditIssue Security_Impact-Stable Security_Severity-High Type-Bug-Security allpublic reward-topanel</t>
  </si>
  <si>
    <t>ZDI-CAN-766: SVG ForeignObject Rendering Layout Vulnerability</t>
  </si>
  <si>
    <t>M-5 Pri-1 Restrict-AddIssueComment-EditIssue Security Security_Impact-Stable Security_Severity-High Type-Bug-Security allpublic cve-2010-1786</t>
  </si>
  <si>
    <t>ASSERT_WITH_SECURITY_IMPLICATION(i &lt;= length) in WebCore::WindowFeatures::WindowFeatures</t>
  </si>
  <si>
    <t>M-36 Merge-merged-1985 OS-All Pri-1 Release-1-M36 Security_Impact-Stable Security_Severity-High Type-Bug-Security allpublic merge-merged-1916</t>
  </si>
  <si>
    <t>Clusterfuzz M-38 Merge-na Nag OS-Linux OS-Windows Pri-1 Release-0-M38 Security_Impact-Stable Security_Severity-High Stability-Memory-AddressSanitizer Type-Bug-Security allpublic</t>
  </si>
  <si>
    <t>Use after free in Geolocation::fatalErrorOccurred</t>
  </si>
  <si>
    <t>CVE-2011-2814 M-13 OS-All Pri-1 Restrict-AddIssueComment-EditIssue Security_Impact-Stable Security_Severity-High Stability-Memory-AddressSanitizer Type-Bug-Security allpublic</t>
  </si>
  <si>
    <t>Use-after-free in std::_Tree&lt;std::_Tmap_traits&lt;base::FilePathboolstd::less&lt;base::FilePath&gt;</t>
  </si>
  <si>
    <t>Clusterfuzz Hotlist-SyzyASAN M-40 OS-All Pri-1 Security_Impact-Stable Security_Severity-High Type-Bug-Security allpublic merge-rejected</t>
  </si>
  <si>
    <t>Dev. console null character crash @ history::URLDatabase::GetMostRecentKeywordSearchTerms</t>
  </si>
  <si>
    <t>ApprovedForMerge CVE-2011-1291 M-10 Pri-1 Restrict-AddIssueComment-EditIssue Security Security_Impact-Stable Security_Severity-High Stability-Crash Type-Bug-Security allpublic bulkmove reward-500</t>
  </si>
  <si>
    <t>alex.tur...@gmail.com</t>
  </si>
  <si>
    <t>Heap-use-after-free in WebCore::ScriptController::executeIfJavaScriptURL</t>
  </si>
  <si>
    <t>M-19 Merge-Merged OS-All Pri-1 Restrict-AddIssueComment-EditIssue Security_Impact-Stable Security_Severity-High Stability-Memory-AddressSanitizer Type-Bug-Security allpublic</t>
  </si>
  <si>
    <t>Heap-buffer-overflow in WebCore::HTMLOptionElement::selected</t>
  </si>
  <si>
    <t>CVE-2012-3626 M-19 Merge-Merged OS-All Pri-1 Restrict-AddIssueComment-EditIssue Security_Impact-Stable Security_Severity-High Type-Bug-Security allpublic</t>
  </si>
  <si>
    <t>Use after free due to document destruction within unload event</t>
  </si>
  <si>
    <t>CVE-2011-2846 M-14 Merge-Merged Pri-1 Restrict-AddIssueComment-EditIssue Reward-1000 Security_Impact-Stable Security_Severity-High Stability-Memory-AddressSanitizer Type-Bug-Security allpublic</t>
  </si>
  <si>
    <t>Merged into 89219</t>
  </si>
  <si>
    <t>Reparenting error due to double merge of anonymous blocks in removeChild</t>
  </si>
  <si>
    <t>Blink&gt;HTML&gt;Frame</t>
  </si>
  <si>
    <t>Security: Universal XSS via reentrancy in FrameLoader::startLoad</t>
  </si>
  <si>
    <t>CVE-2016-1697 Hotlist-Merge-Approved M-51 M-52 OS-All Pri-1 Release-1-M51 ReleaseBlock-Stable Security_Impact-Stable Security_Severity-High Type-Bug-Security allpublic merge-merged-2704 merge-merged-2743 reward-7500 reward-inprocess</t>
  </si>
  <si>
    <t>Security: integer overflow in webgl on osx</t>
  </si>
  <si>
    <t>M-22 OS-Mac Pri-1 Reward-1000 Security_Impact-Stable Security_Severity-High Type-Bug-Security allpublic merge-merged-1229 merge-merged-1271</t>
  </si>
  <si>
    <t>Merged into 149717</t>
  </si>
  <si>
    <t>ZDI-CAN-782: Apple Webkit SVG First-Letter Style Remote Code Execution Vulnerability</t>
  </si>
  <si>
    <t>M-5 Pri-1 Restrict-AddIssueComment-EditIssue Security Security_Impact-Stable Security_Severity-High Type-Bug-Security allpublic cve-2010-1785</t>
  </si>
  <si>
    <t>Issue with merging anonymous block in renderblock::removechild (2)</t>
  </si>
  <si>
    <t>Floats not cleared due to overflow (remaining usecase)</t>
  </si>
  <si>
    <t>CVE-2011-1808 M-12 OS-All Pri-1 ReleaseBlock-Stable Restrict-AddIssueComment-EditIssue Reward-1000 Security_Impact-Stable Security_Severity-High Type-Bug-Security allpublic</t>
  </si>
  <si>
    <t>Security: RTL character + IP address = spoofed domain</t>
  </si>
  <si>
    <t>M-45 OS-All Pri-1 Release-NA Security_Impact-Stable Security_Severity-High Team-Security-UX Type-Bug-Security allpublic reward-ineligible</t>
  </si>
  <si>
    <t>mgiuca@chromium.org</t>
  </si>
  <si>
    <t>Merged into 495933</t>
  </si>
  <si>
    <t>UNKNOWN in SA8_alpha_D32_nofilter_DX</t>
  </si>
  <si>
    <t>Clusterfuzz M-41 OS-All Pri-1 Release-0-M41 Security_Impact-Stable Security_Severity-High Stability-Memory-AddressSanitizer Type-Bug-Security allpublic</t>
  </si>
  <si>
    <t>Merged into 445831</t>
  </si>
  <si>
    <t>Harden audio stream creation in the browser</t>
  </si>
  <si>
    <t>Audit-IPC CVE-2012-5149 M-24 OS-All Pri-0 Release-0 Security_Impact-Stable Security_Severity-High Type-Bug-Security allpublic merge-Merged-1364 merge-merged-1312</t>
  </si>
  <si>
    <t>Renderer process crash when doing WebGL canvas to 2D canvas drawImage()</t>
  </si>
  <si>
    <t>CVE-2011-3052 M-17 Merge-Merged OS-All Pri-1 ReleaseBlock-Stable Restrict-AddIssueComment-EditIssue Security_Impact-Stable Security_Severity-High Type-Bug-Security allpublic merge-merged-963</t>
  </si>
  <si>
    <t>benvanik@google.com</t>
  </si>
  <si>
    <t>Merged into 116637</t>
  </si>
  <si>
    <t>aleicht@google.com</t>
  </si>
  <si>
    <t>Merged into 116157</t>
  </si>
  <si>
    <t>rowillia@google.com</t>
  </si>
  <si>
    <t>Security: accessing DataView methods with negative index could cause crash</t>
  </si>
  <si>
    <t>CVE-2011-1289 M-9 OS-All Pri-1 Restrict-AddIssueComment-EditIssue Security Security_Impact-Stable Security_Severity-High Type-Bug-Security allpublic</t>
  </si>
  <si>
    <t>jianli@chromium.org</t>
  </si>
  <si>
    <t>Blink&gt;Layout Internals&gt;Views</t>
  </si>
  <si>
    <t>Heap-use-after-free in gfx::RenderTextWin::GetGlyphBounds</t>
  </si>
  <si>
    <t>Hotlist-SyzyASAN M-29 Merge-Merged OS-Windows Pri-1 Release-0 ReleaseBlock-Stable Security_Impact-Stable Security_Severity-High Type-Bug-Security WinFuzz allpublic merge-Merged-1547</t>
  </si>
  <si>
    <t>Cross_fuzz and ClusterFuzz crashes in WebCore::DatabaseTracker::removeOpenDatabase</t>
  </si>
  <si>
    <t>M-15 Merge-Merged OS-All Pri-1 Restrict-AddIssueComment-EditIssue Security_Impact-Stable Security_Severity-High Stability-CodeYellow Stability-Crash Stability-Memory-AddressSanitizer Type-Bug-Security WebKit-ID-70071 allpublic merge-merged-874</t>
  </si>
  <si>
    <t>Merged into 71551</t>
  </si>
  <si>
    <t>Heap-buffer-overflow in opj_j2k_read_mcc</t>
  </si>
  <si>
    <t>Clusterfuzz Hotlist-Merge-Review M-47 M-48 Merge-merged-2564 OS-Linux Pri-1 Release-0-M48 Reproducible Security_Impact-Stable Security_Severity-High Stability-Memory-AddressSanitizer Type-Bug-Security allpublic</t>
  </si>
  <si>
    <t>Heap-use-after-free in blink::FrameView::performLayout</t>
  </si>
  <si>
    <t>CVE-2016-1644 Clusterfuzz External-Fuzzer-Contribution Hotlist-Merge-Approved M-49 Merge-Merged-2623 Merge-Merged-master1 OS-Linux Release-1-M49 Reproducible Security_Impact-Stable Security_Severity-High Stability-Memory-AddressSanitizer Type-Bug-Security allpublic merge-merged-2661 reward-3500 reward-inprocess</t>
  </si>
  <si>
    <t>Security: Multiple vulnerabilities in mojo channel implementation</t>
  </si>
  <si>
    <t>Hotlist-Merge-Review M-50 M-51 M-52 Merge-Rejected-50 Pri-1 Release-0-M51 Security_Impact-Stable Security_Severity-High Type-Bug-Security allpublic merge-merged-2704</t>
  </si>
  <si>
    <t>ASSERTION FAILED: !m_deletionHasBegun UNKNOWN in WebCore::DeviceOrientationEvent::~DeviceOrientationEvent</t>
  </si>
  <si>
    <t>Security: use-after-free in WebAudio</t>
  </si>
  <si>
    <t>M-43 M-44 Merge-na Nag Pri-1 Security_Impact-Stable Security_Severity-High Type-Bug-Security allpublic reward-0</t>
  </si>
  <si>
    <t>Merge webkit bug https://bugs.webkit.org/show_bug.cgi?id=40407</t>
  </si>
  <si>
    <t>M-5 Pri-1 Restrict-AddIssueComment-EditIssue Security Security_Impact-Stable Security_Severity-High Type-Bug-Security allpublic cve-2010-1780</t>
  </si>
  <si>
    <t>CVE-2015-1215 M-41 Nag OS-All Pri-1 Release-0-M41 Security_Impact-Stable Security_Severity-High Stability-Memory-AddressSanitizer Type-Bug-Security allpublic merge-merged-2272 reward-5000</t>
  </si>
  <si>
    <t>UI&gt;Browser&gt;Passwords</t>
  </si>
  <si>
    <t>Crash in password_manager::ContentPasswordManagerDriver::OnPasswordFormsParsed</t>
  </si>
  <si>
    <t>Clusterfuzz M-50 Merge-na Nag OS-Windows Pri-1 Release-0-M50 ReleaseBlock-Stable Reproducible Security_Impact-Stable Security_Severity-High Stability-Memory-AddressSanitizer Type-Bug-Security allpublic passwords_external_dep</t>
  </si>
  <si>
    <t>Bad cast due to childrenInline assumption in RenderSVGText</t>
  </si>
  <si>
    <t>CVE-2011-1798 M-11 OS-All Pri-1 ReleaseBlock-Stable Restrict-AddIssueComment-EditIssue Security_Impact-Stable Security_Severity-High Type-Bug-Security allpublic</t>
  </si>
  <si>
    <t>Use after free in floats and first-letter</t>
  </si>
  <si>
    <t>Security: Out-of-bounds read in V8 Array.concat</t>
  </si>
  <si>
    <t>CVE-2017-5030 Hotlist-Merge-Review M-56 NodeJS-Backport-Approved OS-Android OS-Chrome OS-Linux OS-Mac OS-Windows Pri-1 Release-0-M57 Security_Impact-Stable Security_Severity-High Type-Bug-Security allpublic merge-merged-5.6 merge-merged-5.7 reward-7500 reward-inprocess</t>
  </si>
  <si>
    <t>btis...@gmail.com</t>
  </si>
  <si>
    <t>Security: Universal XSS via fullscreen element updates</t>
  </si>
  <si>
    <t>CVE-2016-5207 Hotlist-Merge-Review M-54 M-55 OS-All Pri-1 Release-0-M55 Security_Impact-Stable Security_Severity-High Type-Bug-Security allpublic merge-merged-2883 reward-7500 reward-inprocess</t>
  </si>
  <si>
    <t>Internals&gt;Sandbox&gt;SiteIsolation Platform&gt;Extensions Services&gt;Sync UI&gt;Browser&gt;Navigation</t>
  </si>
  <si>
    <t>Security: renderer-&gt;extension privesc via sync</t>
  </si>
  <si>
    <t>M-55 OS-Chrome OS-Linux OS-Mac OS-Windows Pri-1 Security_Impact-Stable Security_Severity-High Type-Bug-Security allpublic</t>
  </si>
  <si>
    <t>jannh@google.com</t>
  </si>
  <si>
    <t>CVE-2012-1521 Clusterfuzz M-18 Merge-Merged OS-All Pri-1 ReleaseBlock-Stable Restrict-AddIssueComment-EditIssue Security_Impact-Stable Security_Severity-High Stability-Memory-AddressSanitizer Type-Bug-Security allpublic</t>
  </si>
  <si>
    <t>Security: Heap Memory Corruption off-by-one (Overwrite 0x2C with 0x00) in ffmpeg function matroska_fix_ass_packet</t>
  </si>
  <si>
    <t>OS-All Pri-1 Release-0-M39 Security_Impact-Stable Security_Severity-High Type-Bug-Security allpublic reward-ineligible</t>
  </si>
  <si>
    <t>Security: Flash UAF with Color.setTransform in AS2</t>
  </si>
  <si>
    <t>M-44 OS-All Pri-1 Security_Impact-Stable Security_Severity-High Type-Bug-Security allpublic reward-ineligible</t>
  </si>
  <si>
    <t>Security: Arbitrary cross-origin bypass using __defineGetter__ prototype override</t>
  </si>
  <si>
    <t>CVE-2011-2856 M-14 Pri-0 Restrict-AddIssueComment-EditIssue Security_Impact-Stable Security_Severity-High Type-Bug-Security allpublic reward-2000</t>
  </si>
  <si>
    <t>Crasher in WebCore::StyleBase::stylesheet</t>
  </si>
  <si>
    <t>CVE-2011-2811 M-13 OS-All Pri-1 ReleaseBlock-Stable Restrict-AddIssueComment-EditIssue Security_Impact-Stable Security_Severity-High Stability-Memory-AddressSanitizer Type-Bug-Security allpublic</t>
  </si>
  <si>
    <t>Merged into 85302</t>
  </si>
  <si>
    <t>An integer overflow in libskia could be used to escalate from Chrome's sandbox in Android</t>
  </si>
  <si>
    <t>M-43 M-44 OS-Android Security_Impact-Stable Security_Severity-High Type-Bug-Security allpublic reward-3000</t>
  </si>
  <si>
    <t>Security: Universal XSS through removing link elements</t>
  </si>
  <si>
    <t>CVE-2017-5010 M-56 OS-All Pri-1 Release-0-M56 Security_Impact-Stable Security_Severity-High Type-Bug-Security allpublic merge-merged-2924 reward-7500 reward-inprocess</t>
  </si>
  <si>
    <t>Heap-use-after-free in WebCore::RenderTextTrackCue::layout</t>
  </si>
  <si>
    <t>Heap-use-after-free in WebCore::CachedRawResource::didAddClient</t>
  </si>
  <si>
    <t>Clusterfuzz M-19 Merge-Merged OS-All Pri-1 ReleaseBlock-Stable Restrict-AddIssueComment-EditIssue Security_Impact-Stable Security_Severity-High Stability-Memory-AddressSanitizer Type-Bug-Security allpublic</t>
  </si>
  <si>
    <t>Blink&gt;DOM Blink&gt;SVG</t>
  </si>
  <si>
    <t>Security: Universal XSS by intercepting a UA shadow tree</t>
  </si>
  <si>
    <t>CVE-2016-5204 M-52 OS-All Pri-1 Release-0-M55 Security_Impact-Stable Security_Severity-High Type-Bug-Security allpublic reward-7500 reward-inprocess</t>
  </si>
  <si>
    <t>Security: possible memory corruption (double-free) in XPath processing code</t>
  </si>
  <si>
    <t>M-8 Pri-1 ReleaseBlock-Stable Restrict-AddIssueComment-EditIssue Reward-1000 Security Security_Impact-Stable Security_Severity-High Type-Bug-Security allpublic</t>
  </si>
  <si>
    <t>Use after free in first-letter container destruction handling.</t>
  </si>
  <si>
    <t>Clusterfuzz M-15 Merge-Merged Pri-1 Restrict-AddIssueComment-EditIssue Security_Impact-Stable Security_Severity-High Stability-Memory-AddressSanitizer Type-Bug-Security allpublic</t>
  </si>
  <si>
    <t>Heap Use After Free @blink::BaseMultipleFieldsDateAndTimeInputType::readonlyAttributeChanged</t>
  </si>
  <si>
    <t>CVE-2015-1223 M-41 OS-All Pri-1 Release-0-M41 Security_Impact-Stable Security_Severity-High Type-Bug-Security allpublic merge-merged-2272 reward-2000</t>
  </si>
  <si>
    <t>0in.em...@gmail.com</t>
  </si>
  <si>
    <t>Security: Universal XSS by loading a javascript: URI from an unloaded window</t>
  </si>
  <si>
    <t>CVE-2015-1293 Hotlist-Merge-Review M-45 Merge-Merged-2454 Merge-Merged-2490 Pri-1 Release-0-M45 Security_Impact-Stable Security_Severity-High Type-Bug-Security allpublic reward-7500 reward-inprocess</t>
  </si>
  <si>
    <t>Heap-use-after-free in base::MessageLoop::PostTask</t>
  </si>
  <si>
    <t>Clusterfuzz M-42 M-43 M-44 Merge-na OS-All Pri-1 Release-0-M44 Security_Impact-Stable Security_Severity-High Stability-Memory-AddressSanitizer Type-Bug-Security allpublic</t>
  </si>
  <si>
    <t>Blink Internals&gt;Media&gt;Video Internals&gt;Skia</t>
  </si>
  <si>
    <t>Heap-use-after-free in WebCore::RenderLayerBacking::paintIntoLayer</t>
  </si>
  <si>
    <t>M-23 Merge-Merged OS-All Pri-1 Reward-1000 Security_Impact-Stable Security_Severity-High Type-Bug-Security WebKit-ID-100265-RESOLVED WebKit-Rev-132398 allpublic</t>
  </si>
  <si>
    <t>Merged into 154055</t>
  </si>
  <si>
    <t>bryandon...@gmail.com</t>
  </si>
  <si>
    <t>WebKit: Use after free in ~Node because ~HTMLLinkElement triggers script execution</t>
  </si>
  <si>
    <t>CVE-2012-3669 M-19 Merge-Merged OS-All Pri-1 Restrict-AddIssueComment-EditIssue Security_Impact-Stable Security_Severity-High Type-Bug-Security allpublic</t>
  </si>
  <si>
    <t>Bad cast in addChildToAnonymousColumnBlocks</t>
  </si>
  <si>
    <t>CVE-2011-3027 M-17 Merge-Merged OS-All Pri-1 Restrict-AddIssueComment-EditIssue Reward-1000 Security_Impact-Stable Security_Severity-High Stability-Memory-AddressSanitizer Type-Bug-Security allpublic</t>
  </si>
  <si>
    <t>Need to merge WebKit fix for ZDI-CAN-632 to Beta branch</t>
  </si>
  <si>
    <t>Url bar spoof</t>
  </si>
  <si>
    <t>UNKNOWN in SkSweepGradient::SweepGradientContext::shadeSpan</t>
  </si>
  <si>
    <t>CVE-2015-1294 M-44 M-45 Pri-1 Release-0-M45 Security_Impact-Stable Security_Severity-High Stability-Memory-AddressSanitizer Type-Bug-Security allpublic merge-merged-m44 reward-5000</t>
  </si>
  <si>
    <t>Security: MidiHostMsg_SendData vector OOB on Android</t>
  </si>
  <si>
    <t>CVE-2015-1232 M-41 OS-Android Pri-1 Release-0-M41 Security_Impact-Stable Security_Severity-High Type-Bug-Security allpublic merge-merged-2272 reward-7500</t>
  </si>
  <si>
    <t>Heap-use-after-free in blink::RenderObject::setNeedsLayout</t>
  </si>
  <si>
    <t>Clusterfuzz M-42 Merge-na OS-All Pri-1 Release-0-M42 Security_Impact-Stable Security_Severity-High Stability-Memory-AddressSanitizer Type-Bug-Security allpublic</t>
  </si>
  <si>
    <t>Merged into 451059</t>
  </si>
  <si>
    <t>ZDI-CAN-1283: Webkit fontface Invalid Font Family Remote Code Execution Vulnerability</t>
  </si>
  <si>
    <t>CVE-2011-2825 M-14 Merge-Merged OS-All Pri-1 Restrict-AddIssueComment-EditIssue Security_Impact-Stable Security_Severity-High Stability-Memory-AddressSanitizer Type-Bug-Security ZDI-CAN-1283 allpublic</t>
  </si>
  <si>
    <t>Merged into 88670</t>
  </si>
  <si>
    <t>&lt;Unloaded_S.DLL&gt;+0x42cd17f crash</t>
  </si>
  <si>
    <t>M-15 OS-All Pri-1 Restrict-AddIssueComment-EditIssue Reward-1000 Security Security_Impact-Stable Security_Severity-High Type-Bug-Security allpublic</t>
  </si>
  <si>
    <t>Crashes at wild EIP when pressing "print" button on PDFs</t>
  </si>
  <si>
    <t>Security: ASan reports a use-after-free while using SecureShell</t>
  </si>
  <si>
    <t>CVE-2013-0898 M-25 OS-All Pri-1 Release-0 Security_Impact-Stable Security_Severity-High Stability-Memory-AddressSanitizer Type-Bug-Security allpublic merge-Merged-1364</t>
  </si>
  <si>
    <t>glider@chromium.org</t>
  </si>
  <si>
    <t>Security: Proxy credential leak: WebSockets send proxy headers to destination server</t>
  </si>
  <si>
    <t>Hotlist-Merge-Approved Hotlist-Merge-Review M-40 M-41 Merge-merged-2214 OS-All Pri-1 Release-1-M40 Security_Impact-Stable Security_Severity-High Type-Bug-Security allpublic merge-merged-2272</t>
  </si>
  <si>
    <t>ricea@chromium.org</t>
  </si>
  <si>
    <t>Heap-buffer-overflow in convolveVertically_SSE2</t>
  </si>
  <si>
    <t>Clusterfuzz M-37 Merge-Merged OS-All Pri-1 Release-0-M37 Security_Impact-Stable Security_Severity-High Stability-Memory-AddressSanitizer Type-Bug-Security allpublic</t>
  </si>
  <si>
    <t>Bad cast in FormSubmission::create</t>
  </si>
  <si>
    <t>CVE-2012-3603 Clusterfuzz M-17 Merge-Merged OS-All Pri-1 Restrict-AddIssueComment-EditIssue Security_Impact-Stable Security_Severity-High Stability-Memory-AddressSanitizer Type-Bug-Security allpublic</t>
  </si>
  <si>
    <t>Security: Universal XSS using iterables</t>
  </si>
  <si>
    <t>CVE-2016-1668 Hotlist-Merge-Approved Hotlist-Merge-Review M-50 Pri-1 Release-3-M50 Security_Impact-Stable Security_Severity-High Type-Bug-Security allpublic merge-merged-2661 merge-merged-2704 reward-7500 reward-inprocess</t>
  </si>
  <si>
    <t>Use-after-free of renderer when recalcStyle() is called during layout or painting.</t>
  </si>
  <si>
    <t>OS-All Pri-1 Restrict-AddIssueComment-Commit Security Security_Impact-Stable Security_Severity-High Type-Bug-Security allpublic</t>
  </si>
  <si>
    <t>Clusterfuzz M-23 Merge-Merged Merge-Merged-1271 OS-All Pri-1 Security_Impact-Stable Security_Severity-High Stability-Memory-AddressSanitizer Type-Bug-Security allpublic</t>
  </si>
  <si>
    <t>Heap-use-after-free in WebCore::ApplyStyleCommand::joinChildTextNodes</t>
  </si>
  <si>
    <t>CVE-2012-3598 M-19 Merge-Merged OS-All Pri-1 Security_Impact-Stable Security_Severity-High Type-Bug-Security WebKit-ID-85939 allpublic</t>
  </si>
  <si>
    <t>Heap-use-after-free in WebCore::ReplaceSelectionCommand::performTrivialReplace</t>
  </si>
  <si>
    <t>CVE-2012-3617 M-19 Merge-Merged OS-All Pri-1 Security_Impact-Stable Security_Severity-High Type-Bug-Security allpublic</t>
  </si>
  <si>
    <t>Heap-use-after-free in WebCore::InlineTextBox::nodeAtPoint</t>
  </si>
  <si>
    <t>CVE-2012-3692 Clusterfuzz M-20 Merge-Merged OS-All Pri-1 Security_Impact-Stable Security_Severity-High Stability-Memory-AddressSanitizer Type-Bug-Security allpublic</t>
  </si>
  <si>
    <t>Merged into 129936</t>
  </si>
  <si>
    <t>Security: libxml2 growBuffer integer overflow on 64-bit machines</t>
  </si>
  <si>
    <t>CVE-2012-2807 M-20 Merge-Merged OS-Linux Pri-1 Restrict-AddIssueComment-EditIssue Security_Impact-Stable Security_Severity-High Type-Bug-Security allpublic merge-merged-1132 reward-3000</t>
  </si>
  <si>
    <t>Heap-use-after-free in blink::SMILTimeContainer::updateAnimations</t>
  </si>
  <si>
    <t>CVE-2015-1256 Hotlist-Merge-Review M-43 Merge-merged-2357 OS-All Pri-1 Release-0-M43 Security_Impact-Stable Security_Severity-High Type-Bug-Security allpublic reward-2000</t>
  </si>
  <si>
    <t>Heap-double-free in opj_tcd_code_block_dec_deallocate</t>
  </si>
  <si>
    <t>Pri-1 Release-0-M40 Security_Impact-Stable Security_Severity-High Type-Bug-Security allpublic reward-ineligible</t>
  </si>
  <si>
    <t>Security: Race condition in Flash workers may cause an exploitable double free by abusing bytearray.writeObject</t>
  </si>
  <si>
    <t>CVE-2015-0359 M-40 Pri-1 Security_Impact-Stable Security_Severity-High Type-Bug-Security allpublic reward-7500</t>
  </si>
  <si>
    <t>Mask RenderArena freelist entries.</t>
  </si>
  <si>
    <t>M-22 Merge-Merged Pri-1 Security_Impact-Stable Security_Severity-High Type-Bug-Security allpublic</t>
  </si>
  <si>
    <t>Blink Blink&gt;Storage&gt;IndexedDB</t>
  </si>
  <si>
    <t>Failing assertion in IDBTransaction.cpp</t>
  </si>
  <si>
    <t>CVE-2011-3955 M-17 OS-All Pri-1 ReleaseBlock-Stable Restrict-AddIssueComment-EditIssue Security_Impact-Stable Security_Severity-High Type-Bug-Security allpublic</t>
  </si>
  <si>
    <t>dgro...@chromium.org</t>
  </si>
  <si>
    <t>Merged into 93106</t>
  </si>
  <si>
    <t>Use after free in EventSource</t>
  </si>
  <si>
    <t>M-8 Pri-1 ReleaseBlock-Stable Restrict-AddIssueComment-EditIssue Security Security_Impact-Stable Security_Severity-High Type-Bug-Security allpublic</t>
  </si>
  <si>
    <t>Merge fix for WebKit CSS hover security bug to 375</t>
  </si>
  <si>
    <t>CVE-2012-3635 Clusterfuzz M-16 Merge-Merged Merge-Merged-912 OS-All Pri-1 Restrict-AddIssueComment-EditIssue Security_Impact-Stable Security_Severity-High Stability-Memory-AddressSanitizer Type-Bug-Security allpublic merge-merged-963</t>
  </si>
  <si>
    <t>Bad-cast to WebCore::HTMLLabelElement from WebCore::SVGUnknownElement;WebNode.h:164:16</t>
  </si>
  <si>
    <t>Clusterfuzz M-37 Merge-merged-2062 OS-All Pri-1 Release-0-M37 Security_Impact-Stable Security_Severity-High Type-Bug-Security allpublic</t>
  </si>
  <si>
    <t>Security: update libxml to 2.9.4</t>
  </si>
  <si>
    <t>Merged into 614405</t>
  </si>
  <si>
    <t>CachedImage does not clear the ImageObserver pointer when dropping its Image ref</t>
  </si>
  <si>
    <t>CVE-2012-3710 M-20 Merge-Merged OS-All Pri-1 Security_Impact-Stable Security_Severity-High Type-Bug-Security allpublic</t>
  </si>
  <si>
    <t>Security: Adobe Flash MediaPlayerItemLoader.addEventListener Use After Free</t>
  </si>
  <si>
    <t>M-X OS-All Pri-1 Security_Impact-Stable Security_Severity-High Type-Bug-Security allpublic reward-3000 reward-inprocess</t>
  </si>
  <si>
    <t>Security: Adobe Flash MemoryProtector Heap Buffer Overflow</t>
  </si>
  <si>
    <t>M-X OS-All Pri-1 Security_Impact-Stable Security_Severity-High Type-Bug-Security allpublic reward-3133.7 reward-inprocess</t>
  </si>
  <si>
    <t>Bad-cast to blink::RenderTable from blink::RenderBlockFlow;RenderTable.h:366:1</t>
  </si>
  <si>
    <t>Clusterfuzz M-40 Merge-merged-2214 OS-All Pri-1 Release-0-M40 Security_Impact-Stable Security_Severity-High Type-Bug-Security allpublic</t>
  </si>
  <si>
    <t>Tab crashes when changing &lt;audio&gt; element source when used with Web Audio API</t>
  </si>
  <si>
    <t>CVE-2013-2858 M-27 Merge-Merged OS-All Pri-2 Release-1 Security_Impact-Stable Security_Severity-High Type-Bug-Security Via-Wizard allpublic reward-500</t>
  </si>
  <si>
    <t>cdel...@gmail.com</t>
  </si>
  <si>
    <t>Heap-use-after-free in WebCore::SpeechSynthesisUtterance::startTime</t>
  </si>
  <si>
    <t>Clusterfuzz Hotlist-Webkit M-34 M-35 Merge-Merged-1847 OS-All Pri-1 Release-1-M34 Security_Impact-Stable Security_Severity-High Stability-Memory-AddressSanitizer Type-Bug-Security allpublic merge-merged-1916</t>
  </si>
  <si>
    <t>Merged into 359130</t>
  </si>
  <si>
    <t>Merged into 158897</t>
  </si>
  <si>
    <t>UNKNOWN in int v8::internal::FlexibleBodyVisitor&lt;v8::internal::NewSpaceScavenger v8::internal::JSObject::BodyD</t>
  </si>
  <si>
    <t>Clusterfuzz M-34 M-35 OS-All Pri-1 Release-0-M34 Security_Impact-Stable Security_Severity-High Stability-Memory-AddressSanitizer Type-Bug-Security allpublic</t>
  </si>
  <si>
    <t>Security: Race condition in Flash workers may cause an exploitable double free</t>
  </si>
  <si>
    <t>CVE-2014-0574 M-38 M-39 M-40 Merge-na Release-NA Security_Impact-Stable Security_Severity-High Type-Bug-Security allpublic reward-7500</t>
  </si>
  <si>
    <t>CVE-2012-3673 Clusterfuzz M-20 Merge-Merged OS-All Pri-1 Security_Impact-Stable Security_Severity-High Stability-Memory-AddressSanitizer Type-Bug-Security allpublic</t>
  </si>
  <si>
    <t>Heap-use-after-free in matroska_parse_block</t>
  </si>
  <si>
    <t>CVE-2012-5150 Clusterfuzz M-24 Merge-Merged OS-All Pri-1 Release-0 Security_Impact-Stable Security_Severity-High Stability-Memory-AddressSanitizer Type-Bug-Security allpublic merge-Merged-1364 merge-merged-1312 merge-merged-ffmpeg</t>
  </si>
  <si>
    <t>Security: Universal XSS using a ScopedPageLoadDeferrer bypass</t>
  </si>
  <si>
    <t>CVE-2016-1710 M-52 OS-Android OS-Chrome OS-Linux OS-Mac OS-Windows Pri-1 Release-0-M52 Security_Impact-Stable Security_Severity-High Type-Bug-Security allpublic merge-merged-2743 merge-merged-2785 reward-8000 reward-inprocess</t>
  </si>
  <si>
    <t>Heap-use-after-free in WebCore::RenderTable::layout</t>
  </si>
  <si>
    <t>Heap-buffer-overflow in media::MultiChannelResampler::Resample</t>
  </si>
  <si>
    <t>Clusterfuzz Hotlist-Merge-Approved Hotlist-Merge-Review M-42 M-43 Merge-Merged-2311 Merge-merged-2357 OS-All Pri-1 Release-1-M42 Security_Impact-Stable Security_Severity-High Stability-Memory-AddressSanitizer Type-Bug-Security allpublic iOS-Merge-Merged-2357</t>
  </si>
  <si>
    <t>Security: UXSS via dispatchEvent on iframes (subject to some conditions)</t>
  </si>
  <si>
    <t>CVE-2014-1701 M-33 Merge-merged-1750 Pri-1 Release-2-M33 Security_Impact-Stable Security_Severity-High Type-Bug-Security allpublic reward-3000</t>
  </si>
  <si>
    <t>aidan...@gmail.com</t>
  </si>
  <si>
    <t>Potential use after free in ApplyStyleCommand::splitAncestorsWithUnicodeBidi</t>
  </si>
  <si>
    <t>M-27 Merge-Merged OS-All Pri-2 Release-0 Security_Impact-Stable Security_Severity-High Type-Bug-Security allpublic merge-merged-chromium release-private</t>
  </si>
  <si>
    <t>Heap-use-after-free in FT_Stream_ReleaseFrame</t>
  </si>
  <si>
    <t>Clusterfuzz M-42 M-43 Nag OS-All Pri-1 Security_Impact-Stable Security_Severity-High Stability-Memory-AddressSanitizer Type-Bug-Security allpublic</t>
  </si>
  <si>
    <t>Heap-use-after-free in CPDFSDK_Widget::GetMixXFAWidget</t>
  </si>
  <si>
    <t>Stale layout root set as input element when child of a keygen with autofocus</t>
  </si>
  <si>
    <t>CVE-2011-3233 M-13 OS-All Pri-1 Restrict-AddIssueComment-EditIssue Security_Impact-Stable Security_Severity-High Type-Bug-Security allpublic</t>
  </si>
  <si>
    <t>Merged into 83672</t>
  </si>
  <si>
    <t>sadru...@gmail.com</t>
  </si>
  <si>
    <t>Blink Internals&gt;Plugins Internals&gt;Plugins&gt;Flash Internals&gt;Plugins&gt;Pepper</t>
  </si>
  <si>
    <t>Heap-use-after-free in WebKit::WebElement::document</t>
  </si>
  <si>
    <t>use of freed pointer in WebCore::RenderCounter::originalText()</t>
  </si>
  <si>
    <t>CVE-2011-1458 M-11 OS-All Pri-1 ReleaseBlock-Stable Restrict-AddIssueComment-EditIssue Security Security_Impact-Stable Security_Severity-High Type-Bug-Security allpublic</t>
  </si>
  <si>
    <t>Stale node set as layout root due to one caption not laid out in table with two captions</t>
  </si>
  <si>
    <t>CVE-2011-1797 M-12 OS-All Pri-1 ReleaseBlock-Stable Restrict-AddIssueComment-EditIssue Security_Impact-Stable Security_Severity-High Type-Bug-Security allpublic</t>
  </si>
  <si>
    <t>Use after free in formassociatedelement not removed from m_formElementsWithFormAttribute</t>
  </si>
  <si>
    <t>CVE-2011-2813 M-13 OS-All Pri-1 ReleaseBlock-Stable Restrict-AddIssueComment-EditIssue Security_Impact-Stable Security_Severity-High Stability-Memory-AddressSanitizer Type-Bug-Security allpublic</t>
  </si>
  <si>
    <t>[MD audit] Problems with video messages and sizes</t>
  </si>
  <si>
    <t>Pri-3 Restrict-AddIssueComment-Commit Security Security_Impact-Stable Security_Severity-High Type-Bug-Security allpublic</t>
  </si>
  <si>
    <t>Universal XSS via mutating style objects and read styles cross origins</t>
  </si>
  <si>
    <t>Heap-buffer-overflow in media::ChannelMixingMatrix::CreateTransformationMatrix</t>
  </si>
  <si>
    <t>Clusterfuzz Hotlist-Merge-Approved Hotlist-Merge-Review M-42 M-43 Merge-Merged-2311 Merge-merged-2357 OS-All Release-1-M42 Security_Impact-Stable Security_Severity-High Stability-Memory-AddressSanitizer Type-Bug-Security allpublic iOS-Merge-Merged-2357</t>
  </si>
  <si>
    <t>Security: Synchronous preflight XHR allows arbitrary XSRF</t>
  </si>
  <si>
    <t>Mstone-4.1 Pri-1 Restrict-AddIssueComment-Commit Security Security_Impact-Stable Security_Severity-High Type-Bug-Security allpublic</t>
  </si>
  <si>
    <t>meder@google.com</t>
  </si>
  <si>
    <t>UNKNOWN in blink::SQLStatementBackend::execute</t>
  </si>
  <si>
    <t>CVE-2015-1221 Clusterfuzz External-Fuzzer-Contribution M-41 OS-All Pri-1 Release-0-M41 Security_Impact-Stable Security_Severity-High Stability-Memory-AddressSanitizer Type-Bug-Security allpublic merge-merged-2272 reward-2500</t>
  </si>
  <si>
    <t>Blink Blink&gt;Editing</t>
  </si>
  <si>
    <t>ASSERTION FAILED: ownerElement-&gt;contentFrame() == frame || !ownerElement-&gt;contentFrame() Heap-use-after-free in WebCore::Node::isDescendantOf</t>
  </si>
  <si>
    <t>ZDI-CAN-1108: WebKit ContentEditable Inline Style Remote Code Execution</t>
  </si>
  <si>
    <t>M-11 OS-All Pri-1 ReleaseBlock-Stable Restrict-AddIssueComment-EditIssue Security_Impact-Stable Security_Severity-High Type-Bug-Security allpublic</t>
  </si>
  <si>
    <t>Security: possible memory corruption in v8 regex execution engine</t>
  </si>
  <si>
    <t>OS-All Pri-0 Restrict-AddIssueComment-Commit Security Security_Impact-Stable Security_Severity-High Type-Bug-Security allpublic javascript</t>
  </si>
  <si>
    <t>Security: Possible path traversal in file_util::AbsolutePath (Windows XP/2K3)</t>
  </si>
  <si>
    <t>CVE-2013-2900 M-29 OS-Windows Pri-1 Release-0 Reward-1337 Security-Code28 Security_Impact-Stable Security_Severity-High Type-Bug-Security allpublic</t>
  </si>
  <si>
    <t>krystian...@gmail.com</t>
  </si>
  <si>
    <t>Clusterfuzz Hotlist-Merge-Approved M-40 Merge-Merged-2171 Merge-merged-2214 Nag OS-All Pri-1 Release-1-M40 Security_Impact-Stable Security_Severity-High Stability-Memory-AddressSanitizer Type-Bug-Security allpublic</t>
  </si>
  <si>
    <t>Possible num_patches array indexing errors in AAC SBR</t>
  </si>
  <si>
    <t>Heap-use-after-free in blink::LayoutLayerModelObject::hasSelfPaintingLayer</t>
  </si>
  <si>
    <t>M-42 Nag Pri-1 Security_Impact-Stable Security_Severity-High Type-Bug-Security allpublic reward-2000</t>
  </si>
  <si>
    <t>faulty webm file causes segfault</t>
  </si>
  <si>
    <t>M-8 Pri-0 ReleaseBlock-Stable Restrict-AddIssueComment-EditIssue Reward-1000 Security Security_Impact-Stable Security_Severity-High Type-Bug-Security allpublic</t>
  </si>
  <si>
    <t>Security: Universal XSS using late widget updates</t>
  </si>
  <si>
    <t>CVE-2017-5006 M-56 OS-All Pri-1 Release-0-M56 Security_Impact-Stable Security_Severity-High Type-Bug-Security allpublic merge-merged-2924 reward-8000 reward-inprocess</t>
  </si>
  <si>
    <t>[LangFuzz] Crash with jump to invalid address</t>
  </si>
  <si>
    <t>CVE-2014-1721 M-33 M-34 Merge-Merged OS-Linux Pri-1 Release-0-M34 Security_Impact-Stable Security_Severity-High Type-Bug-Security Via-Wizard allpublic reward-2000</t>
  </si>
  <si>
    <t>Merged into 350434</t>
  </si>
  <si>
    <t>PDF: bad cast if root page is not a dictionary object</t>
  </si>
  <si>
    <t>CVE-2013-0828 M-24 Merge-Merged OS-All Pri-0 Release-0 Security_Impact-Stable Security_Severity-High Type-Bug-Security allpublic</t>
  </si>
  <si>
    <t>Heap-buffer-overflow in void WTF::Vector&lt;unsigned short 1024ul&gt;::append&lt;unsigned short&gt;</t>
  </si>
  <si>
    <t>CVE-2012-3616 Clusterfuzz M-21 Merge-Merged OS-All Pri-1 ReleaseBlock-Stable Security_Impact-Stable Security_Severity-High Stability-Memory-AddressSanitizer Type-Bug-Security allpublic</t>
  </si>
  <si>
    <t>Merged into 135071</t>
  </si>
  <si>
    <t>Heap-use-after-free in WebCore::RenderBlock::layoutBlockChildren</t>
  </si>
  <si>
    <t>CVE-2012-2843 M-20 Merge-Merged OS-All Pri-1 Restrict-AddIssueComment-EditIssue Reward-1000 Security_Impact-Stable Security_Severity-High Stability-Memory-AddressSanitizer Type-Bug-Security allpublic</t>
  </si>
  <si>
    <t>Security: sfntly font parsing heap-buffer-overflow</t>
  </si>
  <si>
    <t>CVE-2016-1709 Hotlist-Merge-Review M-52 OS-All Pri-1 Release-0-M52 Security_Impact-Stable Security_Severity-High Type-Bug-Security allpublic merge-merged-2743 reward-500 reward-inprocess</t>
  </si>
  <si>
    <t>chen...@topsec.com.cn</t>
  </si>
  <si>
    <t>Crash in Pickle::ReadInt in net::HttpResponseInfo::InitFromPickle</t>
  </si>
  <si>
    <t>M-8 OS-Linux Pri-1 ReleaseBlock-Stable Restrict-AddIssueComment-EditIssue Security Security_Impact-Stable Security_Severity-High Stability-Crash Type-Bug-Security allpublic bulkmove</t>
  </si>
  <si>
    <t>Pwnfest 2016: Chrome V8 Private Property Re-assign issue (bug in fast-path of Object.assign)</t>
  </si>
  <si>
    <t>CVE-2016-9651 M-55 NodeJS-Backport-Approved OS-All Pri-1 Release-0-M55 Security_Impact-Stable Security_Severity-High Type-Bug-Security allpublic merge-merged-5.4 merge-merged-5.5</t>
  </si>
  <si>
    <t>rickyz@chromium.org</t>
  </si>
  <si>
    <t>Blink Content&gt;WebApps Internals Internals&gt;Media</t>
  </si>
  <si>
    <t>Memory corruption playing back specially crafted .ogg vorbis file.</t>
  </si>
  <si>
    <t>CVE-2011-1196 M-10 OS-All Pri-2 Restrict-AddIssueComment-EditIssue Security Security_Impact-Stable Security_Severity-High Type-Bug-Security allpublic</t>
  </si>
  <si>
    <t>OOB read in fontfallbacklist due to issue in CSSPrimitiveValues clamping</t>
  </si>
  <si>
    <t>CVE-2011-2812 M-13 OS-All Pri-1 Restrict-AddIssueComment-EditIssue Security_Impact-Stable Security_Severity-High Stability-Memory-AddressSanitizer Type-Bug-Security allpublic</t>
  </si>
  <si>
    <t>Bad cast casting parent class obj InlineFlowBox to child class obj RootInlineBox</t>
  </si>
  <si>
    <t>Heap-use-after-free in blink::EventHandlerRegistry::documentDetached</t>
  </si>
  <si>
    <t>Use after free when removing elements with reflections</t>
  </si>
  <si>
    <t>CVE-2011-2334 M-12 OS-All Pri-1 ReleaseBlock-Stable Restrict-AddIssueComment-EditIssue Security_Impact-Stable Security_Severity-High Type-Bug-Security allpublic</t>
  </si>
  <si>
    <t>Heap-use-after-free in WebCore::RenderBlock::finishDelayUpdateScrollInfo [MathML]</t>
  </si>
  <si>
    <t>Clusterfuzz M-25 Merge-Merged OS-All Pri-1 Release-0 ReleaseBlock-Stable Security_Impact-Stable Security_Severity-High Stability-Memory-AddressSanitizer Type-Bug-Security WebKit-ID-107197 allpublic</t>
  </si>
  <si>
    <t>Heap-use-after-free in blink::Document::didChangeVisibilityState</t>
  </si>
  <si>
    <t>Clusterfuzz Hotlist-Merge-Approved M-41 M-42 Merge-Merged-2311 OS-All Pri-1 Release-1-M41 Security_Impact-Stable Security_Severity-High Stability-Memory-AddressSanitizer Type-Bug-Security allpublic merge-merged-2272</t>
  </si>
  <si>
    <t>Security: Universal XSS via the interception of |Binding| with Object.prototype.create</t>
  </si>
  <si>
    <t>CVE-2016-1674 M-50 Merge-na Pri-1 Release-0-M51 Security_Impact-Stable Security_Severity-High Type-Bug-Security allpublic reward-7500 reward-inprocess</t>
  </si>
  <si>
    <t>use after free due to floats not removed</t>
  </si>
  <si>
    <t>CVE-2011-2792 M-13 OS-All Pri-1 ReleaseBlock-Stable Restrict-AddIssueComment-EditIssue Reward-1000 Security_Impact-Stable Security_Severity-High Type-Bug-Security allpublic</t>
  </si>
  <si>
    <t>Heap-use-after-free in WebCore::RenderText::removeTextBox</t>
  </si>
  <si>
    <t>CVE-2011-3105 M-19 Merge-Merged OS-All Pri-1 Restrict-AddIssueComment-EditIssue Reward-1000 Security_Impact-Stable Security_Severity-High Type-Bug-Security allpublic</t>
  </si>
  <si>
    <t>Security: UAF in ppapi::ScopedPPResource::CallRelease</t>
  </si>
  <si>
    <t>CVE-2013-2841 M-27 Merge-Merged Merge-Merged-1453 OS-All Pri-1 Release-0 Reward-1000 Security_Impact-Stable Security_Severity-High Type-Bug-Security allpublic</t>
  </si>
  <si>
    <t>Security: V8 asserts (crashes) when entering simple JS snippit</t>
  </si>
  <si>
    <t>CVE-2011-2828 M-13 Merge-Merged Pri-0 Restrict-AddIssueComment-EditIssue Security_Impact-Stable Security_Severity-High Type-Bug-Security allpublic</t>
  </si>
  <si>
    <t>danno@chromium.org</t>
  </si>
  <si>
    <t>Merged into 91517</t>
  </si>
  <si>
    <t>Heap-use-after-free in WebCore::RenderObject::enclosingLayer</t>
  </si>
  <si>
    <t>CVE-2012-3634 Clusterfuzz M-17 Merge-Merged OS-All Pri-1 Restrict-AddIssueComment-EditIssue Security_Impact-Stable Security_Severity-High Stability-Memory-AddressSanitizer Type-Bug-Security WebKit-ID-70848 allpublic</t>
  </si>
  <si>
    <t>more bad casts in event handling.</t>
  </si>
  <si>
    <t>M-7 Pri-1 ReleaseBlock-Stable Restrict-AddIssueComment-EditIssue Security Security_Impact-Stable Security_Severity-High Type-Bug-Security allpublic</t>
  </si>
  <si>
    <t>Use after free in ruby text :after :before content due to stale styles.</t>
  </si>
  <si>
    <t>M-14 Merge-Merged Merge-Merged-835 OS-All Pri-1 Restrict-AddIssueComment-EditIssue Security_Impact-Stable Security_Severity-High Type-Bug-Security allpublic merge-merged-874</t>
  </si>
  <si>
    <t>UNKNOWN in CJBig2_GSIDProc::decode_Arith</t>
  </si>
  <si>
    <t>Use-after-free when font is missing</t>
  </si>
  <si>
    <t>Heap-use-after-free in WebCore::RenderScrollbar::getScrollbarPseudoStyle</t>
  </si>
  <si>
    <t>CVE-2012-3651 Clusterfuzz M-20 Merge-Merged OS-All Pri-1 Security_Impact-Stable Security_Severity-High Stability-Memory-AddressSanitizer Type-Bug-Security allpublic</t>
  </si>
  <si>
    <t>Merge Webkit Bug 45896 :CSS: Fix crash in getTimingFunctionValue()</t>
  </si>
  <si>
    <t>Security: Sandbox escape due to vector length mismatch in ImageHostMsg_DidDownloadImage IPC message</t>
  </si>
  <si>
    <t>M-32 Merge-Merged Merge-Merged-1700 Merge-merged-1750 OS-All Pri-0 Release-1-M32 ReleaseBlock-Stable Security_Impact-Stable Security_Severity-High Type-Bug-Security allpublic</t>
  </si>
  <si>
    <t>WebCore::Document::recalcStyleSelector+0x7c</t>
  </si>
  <si>
    <t>Mstone-4.1 Pri-0 ReleaseBlock-Stable Restrict-AddIssueComment-Commit Security Security_Impact-Stable Security_Severity-High Type-Bug-Security allpublic reward-500</t>
  </si>
  <si>
    <t>UXSS with window.execScript</t>
  </si>
  <si>
    <t>CVE-2011-2332 M-12 OS-All Pri-1 Restrict-AddIssueComment-EditIssue Security_Impact-Stable Security_Severity-High Type-Bug-Security allpublic reward-3133</t>
  </si>
  <si>
    <t>oob read in WebCore::ImageBufferData::getData</t>
  </si>
  <si>
    <t>CVE-2011-2354 M-12 OS-All Pri-1 ReleaseBlock-Stable Restrict-AddIssueComment-EditIssue Security_Impact-Stable Security_Severity-High Type-Bug-Security allpublic</t>
  </si>
  <si>
    <t>CVE-2012-3645 Clusterfuzz M-19 Merge-Merged OS-All Pri-1 Restrict-AddIssueComment-EditIssue Security_Impact-Stable Security_Severity-High Stability-Memory-AddressSanitizer Type-Bug-Security allpublic</t>
  </si>
  <si>
    <t>Merged into 108958</t>
  </si>
  <si>
    <t>Security UI&gt;Browser&gt;Passwords</t>
  </si>
  <si>
    <t>PSL matching should only apply to HTML forms</t>
  </si>
  <si>
    <t>M-36 Merge-merged-1985 OS-All Pri-2 Release-0-M36 Security_Impact-Stable Security_Severity-High Type-Bug-Security allpublic</t>
  </si>
  <si>
    <t>gcasto@chromium.org</t>
  </si>
  <si>
    <t>Merged into 366947</t>
  </si>
  <si>
    <t>christia...@gmail.com</t>
  </si>
  <si>
    <t>simon.d...@gmail.com</t>
  </si>
  <si>
    <t>lee.ry...@gmail.com</t>
  </si>
  <si>
    <t>t...@fud.no</t>
  </si>
  <si>
    <t>robert.c...@gmail.com</t>
  </si>
  <si>
    <t>ste...@multiplay.co.uk</t>
  </si>
  <si>
    <t>dino.ang...@gmail.com</t>
  </si>
  <si>
    <t>//components/filesystem/public/interfaces/*.mojom files need security review</t>
  </si>
  <si>
    <t>Deadline-Exceeded M-52 OS-All Pri-1 Security_Impact-Stable Security_Severity-High TE-NeedsFurtherTriage Type-Bug-Security allpublic</t>
  </si>
  <si>
    <t>Heap-buffer-overflow in WebCore::RenderBlock::createLineBoxes</t>
  </si>
  <si>
    <t>Merged into 124617</t>
  </si>
  <si>
    <t>UI&gt;Browser&gt;Omnibox UI&gt;Internationalization</t>
  </si>
  <si>
    <t>Security: Completely spoofable origin including lock sign</t>
  </si>
  <si>
    <t>CVE-2015-1296 Deadline-Exceeded M-44 M-45 Nag OS-Android OS-Linux OS-Mac Pri-1 Release-0-M45 Reward-1000 Security_Impact-Stable Security_Severity-High Team-Security-UX Type-Bug-Security allpublic</t>
  </si>
  <si>
    <t>Android Linux Mac</t>
  </si>
  <si>
    <t>zcor...@gmail.com</t>
  </si>
  <si>
    <t>Extension install crashes browser at onDownloadProgress and onInstallStageChanged</t>
  </si>
  <si>
    <t>CVE-2016-1708 M-52 OS-All Pri-1 Release-0-M52 Security_Impact-Stable Security_Severity-High Stability-Crash Type-Bug-Security Via-Wizard allpublic merge-merged-2743 reward-500 reward-inprocess</t>
  </si>
  <si>
    <t>adamvar...@gmail.com</t>
  </si>
  <si>
    <t>Use after free in RenderRubyBase</t>
  </si>
  <si>
    <t>Container-overflow in void blink::TraceTrait&lt;blink::HeapVectorBacking&lt;blink::MediaKeySystemConfigurati</t>
  </si>
  <si>
    <t>Clusterfuzz M-55 M-57 OS-Linux Pri-1 Release-0-M57 Reproducible Security_Impact-Stable Security_Severity-High Stability-Memory-AddressSanitizer Type-Bug-Security allpublic</t>
  </si>
  <si>
    <t>Security: Flash Heap-use-after-free in SurfaceFilterList::C���reateFromScriptAtom. Alwayzzzzzzz</t>
  </si>
  <si>
    <t>M-44 OS-All Pri-1 Security_Impact-Stable Security_Severity-High Type-Bug-Security allpublic reward-7500</t>
  </si>
  <si>
    <t>Memory corruption in WebSocketChannel::skipBuffer() - underflow in buffer size</t>
  </si>
  <si>
    <t>Feature-WebSocket M-6 OS-All Pri-1 Restrict-AddIssueComment-EditIssue Reward-1337 Security Security_Impact-Stable Security_Severity-High Type-Bug-Security allpublic</t>
  </si>
  <si>
    <t>camp...@iit.edu</t>
  </si>
  <si>
    <t>Security: bypassing CORS by returning 308 for revalidating request for Resource previously without redirects from MemoryCache</t>
  </si>
  <si>
    <t>Hotlist-Merge-Approved M-51 M-52 OS-All Pri-1 Release-0-M52 Security_Impact-Stable Security_Severity-High Type-Bug-Security allpublic merge-merged-2743</t>
  </si>
  <si>
    <t>Security: type confusion vulnerability in flash player latest version</t>
  </si>
  <si>
    <t>Deadline-Exceeded M-54 Merge-Rejected-55 OS-All Pri-1 Security_Impact-Stable Security_Severity-High Type-Bug-Security allpublic reward-3000 reward-inprocess</t>
  </si>
  <si>
    <t>Clusterfuzz M-28 Merge-Merged OS-All Pri-1 Release-0 Security_Impact-Stable Security_Severity-High Stability-Memory-AddressSanitizer Type-Bug-Security allpublic</t>
  </si>
  <si>
    <t>Use after free in third_party/WebKit/LayoutTests/fast/dom/HTMLLinkElement/link-and-subresource-test.html</t>
  </si>
  <si>
    <t>CVE-2011-2797 M-13 OS-All Pri-1 Restrict-AddIssueComment-EditIssue Reward-1000 Security_Impact-Stable Security_Severity-High Stability-Memory-AddressSanitizer Type-Bug-Security allpublic</t>
  </si>
  <si>
    <t>Merged into 87729</t>
  </si>
  <si>
    <t>dave.dav...@gmail.com</t>
  </si>
  <si>
    <t>bauerb@chromium.org</t>
  </si>
  <si>
    <t>Mobile&gt;Intents</t>
  </si>
  <si>
    <t>Security: handleAuthenticatorUrl  to launch any activity from web page</t>
  </si>
  <si>
    <t>CVE-2014-7905 M-39 Merge-Merged OS-Android Pri-1 Release-0-M39 Security_Impact-Stable Security_Severity-High Type-Bug-Security allpublic reward-2000 reward-inprocess</t>
  </si>
  <si>
    <t>Heap-use-after-free in WebCore::FrameLoader::checkCompleted</t>
  </si>
  <si>
    <t>CVE-2013-0902 HasTestcase M-25 Merge-Merged OS-All Pri-1 Release-1 Reward-1000 Security_Impact-Stable Security_Severity-High Type-Bug-Security allpublic</t>
  </si>
  <si>
    <t>Internals Internals&gt;Network&gt;HTTP2 Internals&gt;Network&gt;Proxy Internals&gt;Network&gt;SSL</t>
  </si>
  <si>
    <t>Security: SSL proxy seems to not care about the cert</t>
  </si>
  <si>
    <t>CVE-2011-3061 M-18 Merge-Merged OS-All Pri-1 Restrict-AddIssueComment-EditIssue Security_Impact-Stable Security_Severity-High Type-Bug-Security allpublic merge-merged-1025</t>
  </si>
  <si>
    <t>kthanasi@google.com</t>
  </si>
  <si>
    <t>Clusterfuzz M-44 OS-All Pri-1 Release-0-M44 Security_Impact-Stable Security_Severity-High Stability-Memory-AddressSanitizer Type-Bug-Security allpublic</t>
  </si>
  <si>
    <t>Heap-use-after-free in content::UserMediaClientImpl::OnCreateNativeTracksCompleted</t>
  </si>
  <si>
    <t>Clusterfuzz Hotlist-Merge-Review M-41 M-42 M-43 Merge-Merged-2311 Merge-merged-2357 OS-All Pri-1 Release-0-M42 Security_Impact-Stable Security_Severity-High Stability-Memory-AddressSanitizer Type-Bug-Security allpublic iOS-Merge-Merged-2357</t>
  </si>
  <si>
    <t>Heap-use-after-free in content::IndexedDBBackingStore::Transaction::ChainedBlobWriterImpl::ReportW</t>
  </si>
  <si>
    <t>CVE-2015-1276 Clusterfuzz External-Fuzzer-Contribution M-44 Merge-na OS-All Pri-1 Release-0-M44 Security_Impact-Stable Security_Severity-High Stability-Memory-AddressSanitizer Type-Bug-Security allpublic reward-3500</t>
  </si>
  <si>
    <t>Heap-use-after-free in content::EmbeddedWorkerInstance::ReleaseProcess</t>
  </si>
  <si>
    <t>CVE-2015-6757 Clusterfuzz External-Fuzzer-Contribution Hotlist-Merge-Approved M-46 Merge-Merged-2490 OS-Windows Pri-1 Release-0-M46 Security_Impact-Stable Security_Severity-High Stability-Memory-AddressSanitizer Type-Bug-Security Unreproducible allpublic reward-3500</t>
  </si>
  <si>
    <t>WebAudio render that coincides with GC graph mutation can cause snap</t>
  </si>
  <si>
    <t>CVE-2014-7925 Merge-Merged Merge-merged-2214 Nag OS-All Pri-1 Release-0-M40 Security_Impact-Stable Security_Severity-High Stability-Crash Type-Bug-Security Via-Wizard allpublic reward-4000</t>
  </si>
  <si>
    <t>mark.b...@gmail.com</t>
  </si>
  <si>
    <t>Merged into 434136</t>
  </si>
  <si>
    <t>yotamm...@gmail.com</t>
  </si>
  <si>
    <t>Heap-use-after-free in content::RenderFrameHostImpl::JavaScriptDialogClosed</t>
  </si>
  <si>
    <t>Clusterfuzz M-35 OS-All Pri-1 Release-0-M35 Security_Impact-Stable Security_Severity-High Stability-Memory-AddressSanitizer Type-Bug-Security allpublic merge-merged-1916 merge-merged-git-svn</t>
  </si>
  <si>
    <t>Bad cast in SVGImageBufferTools::renderSubtreeToImageBuffer</t>
  </si>
  <si>
    <t>Heap-use-after-free in WebCore::FrameSelection::notifyRendererOfSelectionChange</t>
  </si>
  <si>
    <t>UNKNOWN in libc.so.6</t>
  </si>
  <si>
    <t>Clusterfuzz External-Fuzzer-Contribution M-43 M-44 Merge-na OS-All Pri-1 Release-0-M44 Security_Impact-Stable Security_Severity-High Stability-Memory-AddressSanitizer Type-Bug-Security allpublic reward-0</t>
  </si>
  <si>
    <t>Heap-use-after-free in blink::ShapeOutsideInfo::isEnabledFor</t>
  </si>
  <si>
    <t>Clusterfuzz Hotlist-Merge-Approved M-47 M-48 Merge-merged-2564 OS-Linux Release-0-M48 ReleaseBlock-Stable Reproducible Security_Impact-Stable Security_Severity-High Stability-Memory-LeakSanitizer Type-Bug-Security allpublic</t>
  </si>
  <si>
    <t>Security: Universal XSS via same document navigations</t>
  </si>
  <si>
    <t>CVE-2016-1711 Hotlist-Merge-Review M-52 Merge-Review-51 OS-All Pri-1 Release-0-M52 Security_Impact-Stable Security_Severity-High Type-Bug-Security allpublic merge-merged-2743 reward-7500 reward-inprocess</t>
  </si>
  <si>
    <t>Heap-buffer-overflow in WebCore::SubframeLoader::createJavaAppletWidget</t>
  </si>
  <si>
    <t>CVE-2012-3657 Clusterfuzz M-19 Merge-Merged OS-All Pri-1 Security_Impact-Stable Security_Severity-High Stability-Memory-AddressSanitizer Type-Bug-Security allpublic</t>
  </si>
  <si>
    <t>Heap-use-after-free in WebCore::SVGMatrixV8Internal::aAttributeSetterCallback</t>
  </si>
  <si>
    <t>Clusterfuzz Hotlist-Webkit M-31 Merge-Merged OS-All Pri-1 Release-0-M31 Security_Impact-Stable Security_Severity-High Stability-Memory-AddressSanitizer Type-Bug-Security allpublic merge-merged-1599 merge-merged-1650</t>
  </si>
  <si>
    <t>Merged into 296276</t>
  </si>
  <si>
    <t>Stale m_owner in RenderScrollbar (m_owner is deleted body element)</t>
  </si>
  <si>
    <t>CVE-2011-2866 M-14 Merge-Merged OS-All Pri-1 Restrict-AddIssueComment-EditIssue Security_Impact-Stable Security_Severity-High Stability-Memory-AddressSanitizer Type-Bug-Security allpublic</t>
  </si>
  <si>
    <t>Bad cast to RenderBlock with floating select element with required attribute</t>
  </si>
  <si>
    <t>CVE-2011-1441 Feature-Forms M-11 OS-All Pri-2 Restrict-AddIssueComment-EditIssue Security Security_Impact-Stable Security_Severity-High Type-Bug-Security allpublic reward-500</t>
  </si>
  <si>
    <t>mdhgriff...@gmail.com</t>
  </si>
  <si>
    <t>Security: Off-by-one in OTS resulting in arbitrary code execution</t>
  </si>
  <si>
    <t>CVE-2011-3062 M-18 Merge-Merged OS-All Pri-1 Restrict-AddIssueComment-EditIssue Security_Impact-Stable Security_Severity-High Type-Bug-Security allpublic merge-merged-1025</t>
  </si>
  <si>
    <t>DocumentLoader use after free in KURL::strippedForUseAsReferrer</t>
  </si>
  <si>
    <t>CVE-2011-2847 M-14 Merge-Merged OS-All Pri-1 Restrict-AddIssueComment-EditIssue Reward-1000 Security_Impact-Stable Security_Severity-High Stability-Memory-AddressSanitizer Type-Bug-Security allpublic</t>
  </si>
  <si>
    <t>Use after free in RenderTableSection::splitColumn</t>
  </si>
  <si>
    <t>Bad cast from renderinline to renderbox in animations</t>
  </si>
  <si>
    <t>Use after free in CounterNode::lastDescendant</t>
  </si>
  <si>
    <t>Merged into 92226</t>
  </si>
  <si>
    <t>Heap-use-after-free in WebCore::MediaStreamAudioSourceNode::process</t>
  </si>
  <si>
    <t>M-31 M-32 Merge-Merged-1700 OS-All Owner-Triage Pri-1 Release-1-M31 Security_Impact-Stable Security_Severity-High Type-Bug-Security allpublic merge-merged-1650</t>
  </si>
  <si>
    <t>Security: v8 Array.concat OOB access writeup</t>
  </si>
  <si>
    <t>CVE-2016-1646 Hotlist-Merge-Approved M-49 Pri-1 Release-2-M49 Security_Impact-Stable Security_Severity-High Type-Bug-Security allpublic merge-merged-4.9 merge-merged-5.0 merge-merged-50 reward-7500 reward-inprocess</t>
  </si>
  <si>
    <t>liangche...@gmail.com</t>
  </si>
  <si>
    <t>Merged into 594574</t>
  </si>
  <si>
    <t>Heap-buffer-overflow in CPDF_SampledFunc::v_Call</t>
  </si>
  <si>
    <t>Merged into 452455</t>
  </si>
  <si>
    <t>ResourceHostMsg_DataReceived_ACK: heap corruption</t>
  </si>
  <si>
    <t>IPCFuzz M-28 Merge-Merged OS-All Pri-1 Release-0 Security_Impact-Stable Security_Severity-High Type-Bug-Security allpublic</t>
  </si>
  <si>
    <t>Platform&gt;Apps Platform&gt;Extensions</t>
  </si>
  <si>
    <t>Heap-use-after-free in LoadWatcher::CallbackAndDie (chrome.app.window.create)</t>
  </si>
  <si>
    <t>CVE-2016-1635 Hotlist-Merge-Approved M-49 Merge-Merged-2623 OS-All Pri-1 Release-0-M49 Security_Impact-Stable Security_Severity-High Type-Bug-Security allpublic reward-2000 reward-inprocess</t>
  </si>
  <si>
    <t>UI</t>
  </si>
  <si>
    <t>Security: Browser crash document.createEvent("MouseEvents").initMouseEvent in background tab</t>
  </si>
  <si>
    <t>CVE-2011-3109 M-19 Merge-Merged OS-Linux Pri-1 Restrict-AddIssueComment-EditIssue Reward-1000 Security_Impact-Stable Security_Severity-High Type-Bug-Security allpublic merge-merged-1084 merge-merged-1132</t>
  </si>
  <si>
    <t>michabar...@gmail.com</t>
  </si>
  <si>
    <t>Segmentation fault at WebCore::ImageLoader::updateFromElement due to malformed HTML</t>
  </si>
  <si>
    <t>CVE-2014-1704 Clusterfuzz M-33 M-34 Merge-Merged OS-All Pri-1 Release-2-M33 Security_Impact-Stable Security_Severity-High Stability-Memory-AddressSanitizer Type-Bug-Security allpublic</t>
  </si>
  <si>
    <t>Internals&gt;Preload</t>
  </si>
  <si>
    <t>Security: Prerendered pages can add incorrect alias URLs and intercept future navigations to them</t>
  </si>
  <si>
    <t>M-30 M-31 M-32 Merge-Merged OS-All Pri-1 Release-1-M31 Security_Impact-Stable Security_Severity-High Type-Bug-Security allpublic merge-merged-1650</t>
  </si>
  <si>
    <t>davidben@chromium.org</t>
  </si>
  <si>
    <t>Security: Insecure behavior in /tmp by Keystone on Mac OS X</t>
  </si>
  <si>
    <t>M-5 Pri-2 Restrict-AddIssueComment-EditIssue Security Security_Impact-Stable Security_Severity-High Type-Bug-Security allpublic reward-500</t>
  </si>
  <si>
    <t>googlec...@vtty.com</t>
  </si>
  <si>
    <t>Memory corruption with bad Vorbis streams (from CERT)</t>
  </si>
  <si>
    <t>M-8 Pri-0 Restrict-AddIssueComment-EditIssue Reward-1000 Security Security_Impact-Stable Security_Severity-High Type-Bug-Security allpublic reward-decline</t>
  </si>
  <si>
    <t>Bad-cast to blink::PODRedBlackTree&lt;blink::PODInterval&lt;int blink::FloatingObject *&gt; &gt;::Node from invalid vptr;PODIntervalTree.h:175:33</t>
  </si>
  <si>
    <t>Clusterfuzz M-39 Merge-Merged-2171 OS-All Pri-1 Release-0-M39 ReleaseBlock-Beta Security_Impact-Stable Security_Severity-High Type-Bug-Security allpublic</t>
  </si>
  <si>
    <t>M-42 Pri-1 Release-0-M42 Security_Impact-Stable Security_Severity-High Stability-Memory-AddressSanitizer Type-Bug-Security allpublic reward-2000</t>
  </si>
  <si>
    <t>Merged into 445285</t>
  </si>
  <si>
    <t>Security: Heap buffer overflow in V8 ValueDeserializer::ReadJSArrayBuffer()</t>
  </si>
  <si>
    <t>CVE-2017-5012 Hotlist-Merge-Review M-55 NodeJS-Backport-Approved OS-Android OS-Chrome OS-Linux OS-Mac OS-Windows Pri-1 Release-0-M56 Security_Impact-Stable Security_Severity-High Type-Bug-Security allpublic merge-merged-5.6 merge-merged-5.7 merge-merged-56 merge-merged-57 reward-5500 reward-inprocess</t>
  </si>
  <si>
    <t>n...@tresorit.com</t>
  </si>
  <si>
    <t>Heap-use-after-free in WebCore::HTMLElement::adjustDirectionalityIfNeededAfterChildrenChanged</t>
  </si>
  <si>
    <t>CVE-2012-3648 Clusterfuzz M-20 Merge-Merged OS-All Pri-1 Security_Impact-Stable Security_Severity-High Stability-Memory-AddressSanitizer Type-Bug-Security allpublic</t>
  </si>
  <si>
    <t>Heap-buffer-overflow in WebCore::SVGDocumentExtensions::removeAnimationElementFromTarget</t>
  </si>
  <si>
    <t>Clusterfuzz M-20 Merge-Merged OS-All Pri-1 Restrict-AddIssueComment-EditIssue Security_Impact-Stable Security_Severity-High Stability-Memory-AddressSanitizer Type-Bug-Security WebKit-ID-90042 allpublic</t>
  </si>
  <si>
    <t>Harden WTF::Vector::operator[]</t>
  </si>
  <si>
    <t>M-27 Merge-Merged OS-All Pri-2 Release-0 Security_Impact-Stable Security_Severity-High Type-Bug-Security allpublic reward-ineligible</t>
  </si>
  <si>
    <t>Security: [FG-VD-16-076] Adobe Flash Player Handling ATF Heap Overflow Vulnerability</t>
  </si>
  <si>
    <t>M-X Pri-1 Security_Impact-Stable Security_Severity-High Type-Bug-Security allpublic reward-500 reward-inprocess</t>
  </si>
  <si>
    <t>CVE-2015-1218 M-40 M-41 Pri-1 Release-0-M41 Security_Impact-Stable Security_Severity-High Stability-Memory-AddressSanitizer Type-Bug-Security allpublic merge-merged-2272 reward-3000</t>
  </si>
  <si>
    <t>Internals Services&gt;CloudPrint</t>
  </si>
  <si>
    <t>Security: chrome_to_device makes use of HTTP for cloudprint</t>
  </si>
  <si>
    <t>M-23 OS-iOS Pri-1 Security_Impact-Stable Security_Severity-High Type-Bug-Security allpublic</t>
  </si>
  <si>
    <t>Heap-use-after-free in WebCore::ApplyStyleCommand::cleanupUnstyledAppleStyleSpans</t>
  </si>
  <si>
    <t>Flash: use-after-free in display list handling from KeenTeam (repros 2-5 6)</t>
  </si>
  <si>
    <t>CVE-2015-0342 CVE-2015-0351 M-41 OS-All Pri-1 Security_Impact-Stable Security_Severity-High Type-Bug-Security allpublic reward-4000 reward-inprocess</t>
  </si>
  <si>
    <t>Flash: use-after-free in display list handling from KeenTeam (repro 1)</t>
  </si>
  <si>
    <t>M-41 OS-All Pri-1 Security_Impact-Stable Security_Severity-High Type-Bug-Security allpublic reward-3000 reward-inprocess</t>
  </si>
  <si>
    <t>ASSERTION FAILED: !node || node-&gt;isElementNode() UNKNOWN in WebCore::Element::offsetParent</t>
  </si>
  <si>
    <t>Blink&gt;DOM Blink&gt;Forms</t>
  </si>
  <si>
    <t>ASSERTION FAILED: !entry-&gt;element || entry-&gt;element == element</t>
  </si>
  <si>
    <t>Clusterfuzz Hotlist-Merge-Approved M-45 Merge-Merged-2454 OS-All Pri-2 Release-0-M45 Security_Impact-Stable Security_Severity-High Stability-Memory-AddressSanitizer Te-Logged Type-Bug-Security allpublic findit-wrong</t>
  </si>
  <si>
    <t>Heap-use-after-free in WebCore::IDBDatabase::onComplete</t>
  </si>
  <si>
    <t>Blink&gt;Loader Blink&gt;ServiceWorker</t>
  </si>
  <si>
    <t>Security: bypassing CORS by XHR + MemoryCache + ServiceWorker</t>
  </si>
  <si>
    <t>CVE-2016-5167 Hotlist-Merge-Approved Hotlist-Merge-Review M-52 OS-All Pri-1 Release-0-M53 Security_Impact-Stable Security_Severity-High Type-Bug-Security allpublic merge-merged-2785 merge-merged-3112</t>
  </si>
  <si>
    <t>Heap-use-after-free in WebCore::ElementRuleCollector::collectMatchingRulesForList</t>
  </si>
  <si>
    <t>CHECK failure in CHECK(object-&gt;map()-&gt;IsMap()) failed: ../src/heap-inl.h(818)</t>
  </si>
  <si>
    <t>Use after free in SVGUseElement::buildShadowTree</t>
  </si>
  <si>
    <t>M-14 Merge-Merged-835 OS-All Pri-1 Restrict-AddIssueComment-EditIssue Security_Impact-Stable Security_Severity-High Stability-CodeYellow Stability-Memory-AddressSanitizer Type-Bug-Security allpublic merge-merged-874</t>
  </si>
  <si>
    <t>Merged into 91092</t>
  </si>
  <si>
    <t>Heap-use-after-free WebCore::RenderBlock::layoutPositionedObjects</t>
  </si>
  <si>
    <t>Blink&gt;Bindings Blink&gt;Storage&gt;IndexedDB</t>
  </si>
  <si>
    <t>Use-after-free in v8::HandleScope::HandleScope</t>
  </si>
  <si>
    <t>Clusterfuzz Hotlist-SyzyASAN M-31 Merge-Merged-1700 OS-All Pri-1 Release-1-M31 Security_Impact-Stable Security_Severity-High Type-Bug-Security allpublic merge-merged-1650</t>
  </si>
  <si>
    <t>Security: Use after free in svg text</t>
  </si>
  <si>
    <t>CVE-2011-2815 M-13 OS-All Pri-1 Restrict-AddIssueComment-EditIssue Security_Impact-Stable Security_Severity-High Type-Bug-Security allpublic</t>
  </si>
  <si>
    <t>ASSERTION FAILED: !object || object-&gt;isRenderImage() UNKNOWN in WebCore::HTMLAnchorElement::handleClick</t>
  </si>
  <si>
    <t>Clusterfuzz M-25 Merge-Merged OS-All Pri-1 Release-1 Security_Impact-Stable Security_Severity-High Stability-Memory-AddressSanitizer Type-Bug-Security allpublic release-private webkit-id-108702</t>
  </si>
  <si>
    <t>Security: Buffer Overflow in glBindBuffer</t>
  </si>
  <si>
    <t>M-54 OS-All Pri-1 Reward-1000 Security_Impact-Stable Security_Severity-High Type-Bug-Security allpublic reward-inprocess</t>
  </si>
  <si>
    <t>nedwilli...@gmail.com</t>
  </si>
  <si>
    <t>GPU Plugin and NaCl processes have PROCESS_DUP_HANDLE permission on renderer processes</t>
  </si>
  <si>
    <t>CVE-2012-2816 M-20 OS-Windows Pri-1 Restrict-AddIssueComment-EditIssue Security_Impact-Stable Security_Severity-High Type-Bug-Security allpublic</t>
  </si>
  <si>
    <t>use-after-free on WebCore::MajorGCWrapperVisitor::VisitPersistentHandle</t>
  </si>
  <si>
    <t>Hotlist-SyzyASAN M-30 Merge-Merged OS-Linux OS-Windows Pri-2 Release-0 Security_Impact-Stable Security_Severity-High Stability-Memory-AddressSanitizer Type-Bug-Security allpublic merge-merged-1599</t>
  </si>
  <si>
    <t>Merged into 237800</t>
  </si>
  <si>
    <t>CVE-2011-3069 M-18 Merge-Merged OS-All Pri-1 Restrict-AddIssueComment-EditIssue Reward-1000 Security_Impact-Stable Security_Severity-High Stability-Memory-AddressSanitizer Type-Bug-Security allpublic</t>
  </si>
  <si>
    <t>Event handlers firing during Text::splitText trigger use-after-free.</t>
  </si>
  <si>
    <t>CVE-2012-3680 Clusterfuzz M-18 Merge-Merged OS-All Pri-1 Restrict-AddIssueComment-EditIssue Security_Impact-Stable Security_Severity-High Stability-Memory-AddressSanitizer Type-Bug-Security allpublic</t>
  </si>
  <si>
    <t>Merge Webkit Bug 41523 to 472</t>
  </si>
  <si>
    <t>ZDI-CAN-874: Apple Webkit WholeText Integer Overflow Remote Code Execution Vulnerability</t>
  </si>
  <si>
    <t>Integer overflow in WebCore::GraphicsContext::fillRect (Mac)</t>
  </si>
  <si>
    <t>ApprovedForMerge CVE-2011-1298 M-10 OS-Mac Pri-1 Restrict-AddIssueComment-EditIssue Security Security_Impact-Stable Security_Severity-High Type-Bug-Security allpublic</t>
  </si>
  <si>
    <t>Stale m_fontList in svgFontAndFontFaceElementForFontData</t>
  </si>
  <si>
    <t>M-12 OS-All Pri-1 ReleaseBlock-Stable Restrict-AddIssueComment-EditIssue Security_Impact-Stable Security_Severity-High Type-Bug-Security allpublic</t>
  </si>
  <si>
    <t>Merged into 78053</t>
  </si>
  <si>
    <t>rolandst...@gmail.com</t>
  </si>
  <si>
    <t>Security: Heap-use-after-free in AsyncAudioDecoder::decodeAsync</t>
  </si>
  <si>
    <t>M-57 OS-All Pri-1 Security_Impact-Stable Security_Severity-High Type-Bug-Security allpublic reward-4000 reward-inprocess</t>
  </si>
  <si>
    <t>serg.gla...@gmail.com</t>
  </si>
  <si>
    <t>Heap-use-after-free in WTF::KeyValuePair&lt;WebCore::Resource* WTF::RefPtr&lt;WebCore::ResourceTimingInfo&gt; &gt;::~KeyValuePair</t>
  </si>
  <si>
    <t>CVE-2013-2921 M-30 Merge-Merged OS-All Pri-1 Release-0 Reward-1000 Security_Impact-Stable Security_Severity-High Stability-Memory-AddressSanitizer Type-Bug-Security allpublic merge-merged-1599</t>
  </si>
  <si>
    <t>Merged into 286414</t>
  </si>
  <si>
    <t>Heap-buffer-overflow in cmsDupNamedColorList</t>
  </si>
  <si>
    <t>Clusterfuzz Hotlist-Merge-Approved M-48 M-49 Merge-Merged-2623 Merge-merged-2564 OS-Linux Pri-1 Release-0-M49 Reproducible Security_Impact-Stable Security_Severity-High Stability-Memory-AddressSanitizer Type-Bug-Security allpublic reward-ineligible</t>
  </si>
  <si>
    <t>Undefined behavior (bad virtual call) in net/socket/ssl_client_socket_pool.cc</t>
  </si>
  <si>
    <t>Hotlist-Google M-41 OS-Linux Pri-1 Release-0-M41 Security_Impact-Stable Security_Severity-High Type-Bug-Security Via-Wizard allpublic merge-merged-2272</t>
  </si>
  <si>
    <t>p...@google.com</t>
  </si>
  <si>
    <t>Blink&gt;Canvas Content</t>
  </si>
  <si>
    <t>Heap-use-after-free in WebCore::CSSFontSelector::dispatchInvalidationCallbacks</t>
  </si>
  <si>
    <t>Clusterfuzz M-30 Merge-Merged OS-All Pri-1 Release-0 Security_Impact-Stable Security_Severity-High Stability-Memory-AddressSanitizer Type-Bug-Security allpublic merge-Merged-1547 merge-merged-1599</t>
  </si>
  <si>
    <t>Invalid pointer write in GrGpu::clear</t>
  </si>
  <si>
    <t>M-22 Merge-Merged Pri-1 Reward-1000 Security_Impact-Stable Security_Severity-High Type-Bug-Security allpublic</t>
  </si>
  <si>
    <t>Merged into 152707</t>
  </si>
  <si>
    <t>Security: Out-of-bounds write in ChunkDemuxer (SDTP box)</t>
  </si>
  <si>
    <t>CVE-2017-5047 Hotlist-Merge-Review M-56 Merge-Rejected-55 OS-All Pri-1 Reward-1000 Security_Impact-Stable Security_Severity-High Type-Bug-Security allpublic merge-merged-2924 reward-inprocess</t>
  </si>
  <si>
    <t>[LangFuzz] Crash at Runtime_QuoteJSONString with invalid write</t>
  </si>
  <si>
    <t>CVE-2011-2852 M-14 Merge-Merged Pri-0 ReleaseBlock-Beta Restrict-AddIssueComment-EditIssue Security_Impact-Stable Security_Severity-High Type-Bug-Security allpublic reward-500</t>
  </si>
  <si>
    <t>Heap-use-after-free in CPDFSDK_Document::KillFocusAnnot</t>
  </si>
  <si>
    <t>CVE-2016-5184 Hotlist-Merge-Review M-54 Merge-Merged OS-All Pri-1 Release-0-M54 Security_Impact-Stable Security_Severity-High Type-Bug-Security allpublic reward-3000 reward-inprocess</t>
  </si>
  <si>
    <t>Heap-double-free in xmlFreeNodeList</t>
  </si>
  <si>
    <t>Clusterfuzz M-22 Merge-Merged OS-All Pri-1 Restrict-AddIssueComment-EditIssue Security_Impact-Stable Security_Severity-High Stability-Memory-AddressSanitizer Type-Bug-Security allpublic merge-merged-1229</t>
  </si>
  <si>
    <t>Chrome: Crash Report -         Stack Signature: WebCore::CachedImage::likelyToBeUsedSoon()-...</t>
  </si>
  <si>
    <t>M-23 Merge-Merged Merge-Merged-1271 Pri-1 Security_Impact-Stable Security_Severity-High Stability-Crash Type-Bug-Security allpublic</t>
  </si>
  <si>
    <t>Blink&gt;Network&gt;WebSockets Blink&gt;Workers</t>
  </si>
  <si>
    <t>Security: UAF/Crash in (websockets) onsentdata/reset with web and shared workers combined</t>
  </si>
  <si>
    <t>CVE-2014-1740 M-34 M-35 Merge-Merged-1847 Pri-1 Release-2-M34 Security_Impact-Stable Security_Severity-High Type-Bug-Security allpublic merge-merged-1916 reward-2000</t>
  </si>
  <si>
    <t>Use after free in RenderText lineboxes.</t>
  </si>
  <si>
    <t>CVE-2011-2876 M-14 Merge-Merged Merge-Merged-835 OS-All Pri-1 Restrict-AddIssueComment-EditIssue Reward-1000 Security_Impact-Stable Security_Severity-High Type-Bug-Security allpublic merge-merged-874</t>
  </si>
  <si>
    <t>Heap-use-after-free in content::MediaStreamVideoSource::RemoveTrack</t>
  </si>
  <si>
    <t>Clusterfuzz Fracas Hotlist-Merge-Review M-51 M-52 OS-Android OS-Linux OS-Mac OS-Windows Pri-2 Release-1-M51 ReleaseBlock-Beta Reproducible Security_Impact-Stable Security_Severity-High Stability-Memory-AddressSanitizer Type-Bug-Security allpublic merge-merged-2704</t>
  </si>
  <si>
    <t>Android Linux Mac Windows</t>
  </si>
  <si>
    <t>Blink&gt;CSS Content</t>
  </si>
  <si>
    <t>Heap-buffer-overflow in WebCore::CSSPrimitiveValue::cleanup</t>
  </si>
  <si>
    <t>Security: libxml2 1-byte heap-buffer-overflow in xmlXPtrEvalXPtrPart</t>
  </si>
  <si>
    <t>CVE-2011-3102 M-19 Merge-Merged OS-All Pri-1 Restrict-AddIssueComment-EditIssue Security_Impact-Stable Security_Severity-High Type-Bug-Security allpublic merge-merged-1084 reward-1500</t>
  </si>
  <si>
    <t>Merge HTMLParser security fix from WebKit</t>
  </si>
  <si>
    <t>M-4 OS-All Pri-0 ReleaseBlock-Stable Restrict-AddIssueComment-EditIssue Security Security_Impact-Stable Security_Severity-High Type-Bug-Security allpublic</t>
  </si>
  <si>
    <t>Crash on complicated @font-face rule</t>
  </si>
  <si>
    <t>M-4 OS-All Pri-2 ReleaseBlock-Stable Restrict-AddIssueComment-EditIssue Security Security_Impact-Stable Security_Severity-High Stability-Crash Type-Bug-Security allpublic bulkmove</t>
  </si>
  <si>
    <t>yusukes@chromium.org</t>
  </si>
  <si>
    <t>Heap-use-after-free in WebCore::BaseMultipleFieldsDateAndTimeInputType::~BaseMultipleFieldsDateAndTimeInputType</t>
  </si>
  <si>
    <t>CVE-2013-2856 M-27 Merge-Merged OS-All Pri-1 Release-1 Reward-1000 Security-Code28 Security_Impact-Stable Security_Severity-High Stability-Memory-AddressSanitizer Type-Bug-Security allpublic</t>
  </si>
  <si>
    <t>Blink Blink&gt;JavaScript Blink&gt;WebGL Internals</t>
  </si>
  <si>
    <t>UNKNOWN in v8::Function::Call</t>
  </si>
  <si>
    <t>CVE-2012-2830 M-20 Merge-Merged OS-All Pri-1 Restrict-AddIssueComment-EditIssue Reward-1000 Security_Impact-Stable Security_Severity-High Type-Bug-Security WebKit-ID-87862 allpublic</t>
  </si>
  <si>
    <t>ASSERTION FAILED: !element || element-&gt;hasTagName(summaryTag) UNKNOWN in WebCore::DetailsMarkerControl::summaryElement</t>
  </si>
  <si>
    <t>REGRESSION (83075): Use after free in line box culling optimization</t>
  </si>
  <si>
    <t>CVE-2011-2823 M-13 Merge-Merged OS-All Pri-1 Restrict-AddIssueComment-EditIssue Security_Impact-Stable Security_Severity-High Type-Bug-Security allpublic</t>
  </si>
  <si>
    <t>Merged into 82552</t>
  </si>
  <si>
    <t>UNKNOWN in v8::internal::ObjectHashTable::Put</t>
  </si>
  <si>
    <t>Integer overflows in StringBuilder</t>
  </si>
  <si>
    <t>M-33 Merge-Merged-1847 Merge-merged-1750 OS-All Pri-1 Release-1-M33 Security_Impact-Stable Security_Severity-High Type-Bug-Security allpublic reward-ineligible</t>
  </si>
  <si>
    <t>Heap-use-after-free in blink::TreeScopeAdopter::moveTreeToNewScope</t>
  </si>
  <si>
    <t>Clusterfuzz Hotlist-Merge-Approved M-42 Merge-Merged-2311 Nag OS-All Pri-1 Release-0-M42 Security_Impact-Stable Security_Severity-High Stability-Memory-AddressSanitizer Type-Bug-Security allpublic</t>
  </si>
  <si>
    <t>CVE-2011-3078 Clusterfuzz M-18 Merge-Merged OS-All Pri-1 Restrict-AddIssueComment-EditIssue Security_Impact-Stable Security_Severity-High Stability-Memory-AddressSanitizer Type-Bug-Security allpublic</t>
  </si>
  <si>
    <t>Merged into 106413</t>
  </si>
  <si>
    <t>berendja...@gmail.com</t>
  </si>
  <si>
    <t>Clusterfuzz Hotlist-Merge-Review M-47 M-48 Merge-merged-2564 OS-All Pri-1 Release-0-M48 Reproducible Security_Impact-Stable Security_Severity-High Stability-Memory-AddressSanitizer Type-Bug-Security allpublic</t>
  </si>
  <si>
    <t>Security: Universal XSS via persistence of subframes</t>
  </si>
  <si>
    <t>CVE-2015-6768 M-47 OS-All Pri-1 Release-0-M47 ReleaseBlock-Stable Security_Impact-Stable Security_Severity-High Type-Bug-Security allpublic merge-merged-2526 reward-8000 reward-inprocess</t>
  </si>
  <si>
    <t>Security: Heap buffer overflow from unchecked length in mojo::edk::ports::Message::Parse</t>
  </si>
  <si>
    <t>Hotlist-Merge-Review M-50 M-51 M-52 OS-All Release-0-M51 Security_Impact-Stable Security_Severity-High Type-Bug-Security allpublic merge-merged-2704</t>
  </si>
  <si>
    <t>Platform&gt;Extensions&gt;API</t>
  </si>
  <si>
    <t>Use-after-free in speech - saying "Hello" during the incognito window has closed</t>
  </si>
  <si>
    <t>CVE-2014-7935 Deadline-Exceeded M-40 Nag OS-Windows Pri-1 Release-0-M40 Security_Impact-Stable Security_Severity-High Type-Bug-Security allpublic reward-2000</t>
  </si>
  <si>
    <t>Cross Origin Bypass using iframe &amp; "	" on JAVASCRIPT URI</t>
  </si>
  <si>
    <t>M-5 Pri-0 Restrict-AddIssueComment-EditIssue Reward-1000 Security Security_Impact-Stable Security_Severity-High Type-Bug-Security allpublic</t>
  </si>
  <si>
    <t>Use-after-free in FrameLoader with no form post method</t>
  </si>
  <si>
    <t>CVE-2011-2801 M-13 OS-All Pri-1 Restrict-AddIssueComment-EditIssue Reward-1000 Security_Impact-Stable Security_Severity-High Type-Bug-Security allpublic</t>
  </si>
  <si>
    <t>Heap-use-after-free in printing::PrintViewManagerBase::ReleasePrinterQuery</t>
  </si>
  <si>
    <t>Clusterfuzz M-34 Merge-Merged-1847 OS-All Pri-1 Release-0-M34 Security_Impact-Stable Security_Severity-High Stability-Memory-AddressSanitizer Type-Bug-Security allpublic</t>
  </si>
  <si>
    <t>ASSERT_WITH_SECURITY_IMPLICATION(i &lt;= length) in WebCore::Document::processArguments</t>
  </si>
  <si>
    <t>M-37 Merge-merged-2062 OS-All Pri-1 Release-0-M37 Security_Impact-Stable Security_Severity-High Type-Bug-Security allpublic</t>
  </si>
  <si>
    <t>Merged into 383703</t>
  </si>
  <si>
    <t>UI&gt;Browser&gt;Core</t>
  </si>
  <si>
    <t>clipboard.cc issues</t>
  </si>
  <si>
    <t>M-32 Merge-Merged-1700 Nag OS-All Pri-1 Release-0-M32 Security_Impact-Stable Security_Severity-High Type-Bug-Security allpublic</t>
  </si>
  <si>
    <t>[LangFuzz] Crash on Heap involving GC (invalid write)</t>
  </si>
  <si>
    <t>CVE-2011-3886 M-15 OS-All Pri-1 Restrict-AddIssueComment-EditIssue Reward-1000 Security_Impact-Stable Security_Severity-High Stability-Valgrind Type-Bug-Security allpublic</t>
  </si>
  <si>
    <t>Merged into 180920</t>
  </si>
  <si>
    <t>schenney@chromium.org</t>
  </si>
  <si>
    <t>Bad cast when selection changes for combo boxes.</t>
  </si>
  <si>
    <t>Security: Cisco Talos Security Advisory for Google chrome product - TALOS-CAN-0174</t>
  </si>
  <si>
    <t>CVE-2016-1681 Hotlist-Merge-Review M-51 M-52 OS-Windows Pri-1 Release-0-M51 Security_Impact-Stable Security_Severity-High Type-Bug-Security allpublic merge-merged-2704 merge-merged-2743 reward-3000 reward-inprocess</t>
  </si>
  <si>
    <t>regiw...@sourcefire.com</t>
  </si>
  <si>
    <t>Looks like a stale frame in UserScriptSlave::InjectScripts</t>
  </si>
  <si>
    <t>CVE-2011-1813 M-12 OS-All Pri-1 Restrict-AddIssueComment-EditIssue Security_Impact-Stable Security_Severity-High Type-Bug-Security allpublic</t>
  </si>
  <si>
    <t>ZDI-CAN-1009: Apple Webkit setOuterText Memory Corruption Remote Code Execution Vulnerability</t>
  </si>
  <si>
    <t>bypass SOP with blob:</t>
  </si>
  <si>
    <t>CVE-2011-1438 M-11 OS-All Pri-1 Restrict-AddIssueComment-EditIssue Reward-1000 Security Security_Impact-Stable Security_Severity-High Type-Bug-Security allpublic</t>
  </si>
  <si>
    <t>[LangFuzz] Crash at v8::Object::SlowGetPointerFromInternalField with invalid read</t>
  </si>
  <si>
    <t>CVE-2011-3886 M-15 Merge-Merged OS-All Pri-1 Restrict-AddIssueComment-EditIssue Reward-1000 Security_Impact-Stable Security_Severity-High Stability-Valgrind Type-Bug-Security allpublic merge-merged-874</t>
  </si>
  <si>
    <t>Floats left out of the incremental line break code due to failed image load.</t>
  </si>
  <si>
    <t>CVE-2011-1303 M-11 OS-All Pri-1 Restrict-AddIssueComment-EditIssue Security Security_Impact-Stable Security_Severity-High Type-Bug-Security allpublic</t>
  </si>
  <si>
    <t>Merged into 61502</t>
  </si>
  <si>
    <t>Security: u-a-f in shared worker process in Allow{IndexedDBFileSystem}MainThreadBridge</t>
  </si>
  <si>
    <t>CVE-2013-2860 M-27 Merge-Merged OS-All Pri-1 Release-1 Reward-1337 Security-Code28 Security_Impact-Stable Security_Severity-High Type-Bug-Security allpublic</t>
  </si>
  <si>
    <t>OOB read in OGV at unpack_vlcs</t>
  </si>
  <si>
    <t>CVE-2011-3892 M-15 Merge-Merged Pri-1 Restrict-AddIssueComment-EditIssue Security_Impact-Stable Security_Severity-High Stability-Memory-AddressSanitizer Type-Bug-Security allpublic reward-500</t>
  </si>
  <si>
    <t>[MD audit] [V8]: integer errors lead to dangerous crashes in memory allocators</t>
  </si>
  <si>
    <t>URL Spoof due to subframes and NavigationEntry corruption</t>
  </si>
  <si>
    <t>CVE-2016-5130 M-51 M-52 M-53 Needs-Review OS-All Pri-1 Release-0-M52 Security_Impact-Stable Security_Severity-High Team-Security-UX Type-Bug-Security Via-Wizard allpublic merge-merged-2743 merge-merged-2785 reward-2000 reward-inprocess</t>
  </si>
  <si>
    <t>Heap-use-after-free in WebCore::ApplyStyleCommand::pushDownInlineStyleAroundNode</t>
  </si>
  <si>
    <t>Heap-use-after-free in blink::WebPluginContainerImpl::scriptableObject</t>
  </si>
  <si>
    <t>Clusterfuzz M-42 Merge-Merged-2311 OS-All Pri-1 Release-0-M42 Security_Impact-Stable Security_Severity-High Stability-Memory-AddressSanitizer Type-Bug-Security allpublic</t>
  </si>
  <si>
    <t>Heap-buffer-overflow in WebCore::Element::setAttribute</t>
  </si>
  <si>
    <t>CVE-2012-3611 M-17 Merge-Merged OS-All Pri-1 Restrict-AddIssueComment-EditIssue Security_Impact-Stable Security_Severity-High Stability-Memory-AddressSanitizer Type-Bug-Security allpublic</t>
  </si>
  <si>
    <t>cevans@google.com</t>
  </si>
  <si>
    <t>V8 slow/fast properties confusion</t>
  </si>
  <si>
    <t>M-38 Merge-Merged OS-All Pri-1 Release-0-M38 Security_Impact-Stable Security_Severity-High Type-Bug-Security allpublic</t>
  </si>
  <si>
    <t>jww@chromium.org</t>
  </si>
  <si>
    <t>Internals&gt;RealTimeComm</t>
  </si>
  <si>
    <t>Out-of-bounds write in the browser via P2PHostMsg_Send IPC</t>
  </si>
  <si>
    <t>M-38 Merge-merged-2125 OS-All Pri-1 Release-0-M38 Security_Impact-Stable Security_Severity-High Type-Bug-Security allpublic</t>
  </si>
  <si>
    <t>UNKNOWN in CFXMEM_FixedMgr::AllocLarge</t>
  </si>
  <si>
    <t>Clusterfuzz M-37 Merge-Merged OS-All Pri-1 Release-0-M37 ReleaseBlock-Stable Security_Impact-Stable Security_Severity-High Stability-Memory-AddressSanitizer Type-Bug-Security allpublic</t>
  </si>
  <si>
    <t>Heap-use-after-free in content::IndexedDBBackingStore::Transaction::Begin</t>
  </si>
  <si>
    <t>Clusterfuzz M-31 Merge-Merged Missing_Impact-2 OS-All Pri-1 Release-0-M31 Security_Impact-Stable Security_Severity-High Stability-Memory-AddressSanitizer Type-Bug-Security allpublic merge-merged-1650</t>
  </si>
  <si>
    <t>libANGLE buffer-overflow (part of pwn2own exploit)</t>
  </si>
  <si>
    <t>CVE-2016-1649 M-49 Merge-Merged-2623 Pri-1 Release-2-M49 Security_Impact-Stable Security_Severity-High Type-Bug-Security allpublic merge-merged-2661 reward-ineligible</t>
  </si>
  <si>
    <t>Blink&gt;TextAutosize</t>
  </si>
  <si>
    <t>Use-after-free in WebCore::FrameView::autoSizeIfEnabled</t>
  </si>
  <si>
    <t>Clusterfuzz Hotlist-SyzyASAN M-33 Merge-Requsted OS-All Pri-1 ReleaseBlock-Beta Security_Impact-Stable Security_Severity-High Type-Bug-Security allpublic</t>
  </si>
  <si>
    <t>Security: type confusion in blink::BaseButtonInputType::valueAttributeChanged</t>
  </si>
  <si>
    <t>CVE-2016-1643 Hotlist-Merge-Review M-49 Merge-Merged-2623 OS-Windows Pri-1 Release-1-M49 Security_Impact-Stable Security_Severity-High Type-Bug-Security allpublic reward-5000 reward-inprocess</t>
  </si>
  <si>
    <t>[LangFuzz] CHECK(!value-&gt;IsTheHole()) failed // Crash with invalid read in shell</t>
  </si>
  <si>
    <t>CVE-2011-2802 M-13 OS-All Pri-1 Restrict-AddIssueComment-EditIssue Reward-1000 Security_Impact-Stable Security_Severity-High Type-Bug-Security allpublic</t>
  </si>
  <si>
    <t>Security: chrome-devtools protocol allows to read the content of C:\ drive</t>
  </si>
  <si>
    <t>CVE-2016-5212 M-54 M-55 OS-All Pri-1 Release-0-M55 Security_Impact-Stable Security_Severity-High Type-Bug-Security allpublic merge-merged-2883 reward-3000 reward-inprocess</t>
  </si>
  <si>
    <t>Use after free due to overhanging floats in LEGEND block</t>
  </si>
  <si>
    <t>Heap-use-after-free in WebCore::NavigationScheduler::schedule</t>
  </si>
  <si>
    <t>CVE-2012-3597 Clusterfuzz M-17 Merge-Merged OS-All Pri-1 Restrict-AddIssueComment-EditIssue Security_Impact-Stable Security_Severity-High Stability-Memory-AddressSanitizer Type-Bug-Security allpublic</t>
  </si>
  <si>
    <t>Heap-use-after-free in WebCore::InlineFlowBox::computeOverAnnotationAdjustment</t>
  </si>
  <si>
    <t>M-16 Merge-Merged-912 OS-All Pri-1 Restrict-AddIssueComment-EditIssue Reward-1000 Security_Impact-Stable Security_Severity-High Type-Bug-Security allpublic</t>
  </si>
  <si>
    <t>12 bad cast in editing code relating to htmlelement conversions isprimitivevalue problems.</t>
  </si>
  <si>
    <t>CVE-2011-1791 M-11 OS-All Pri-1 ReleaseBlock-Stable Restrict-AddIssueComment-EditIssue Security_Impact-Stable Security_Severity-High Type-Bug-Security allpublic</t>
  </si>
  <si>
    <t>Security: Bypass CORS check by reopening XHRs</t>
  </si>
  <si>
    <t>Hotlist-Merge-Review M-50 Merge-Review-50 OS-Linux OS-Windows Pri-1 Release-0-M51 Security_Impact-Stable Security_Severity-High Type-Bug-Security allpublic merge-merged-2704</t>
  </si>
  <si>
    <t>ZDI-CAN-2245: Google Chrome ImageData Signedness Error Remote Code Execution VulnerabilityImageData Signedness Error Remote Code Execution Vulnerability</t>
  </si>
  <si>
    <t>CVE-2014-1736 M-34 Merge-Merged OS-All Pri-1 Release-1-M34 Security_Impact-Stable Security_Severity-High Type-Bug-Security Via-Wizard ZDI-CAN-2245 allpublic</t>
  </si>
  <si>
    <t>timwillis@google.com</t>
  </si>
  <si>
    <t>Heap-buffer-overflow in CFX_ByteTextBuf::AppendChar</t>
  </si>
  <si>
    <t>Clusterfuzz Hotlist-SyzyASAN M-44 OS-All Pri-1 Release-0-M44 Security_Impact-Stable Security_Severity-High Type-Bug-Security allpublic</t>
  </si>
  <si>
    <t>postTaskForModeToWorkerContext/dispatchTaskToWorkerThread invalid pointer crash with Workers/FileSystem API</t>
  </si>
  <si>
    <t>CVE-2013-2847 M-27 Merge-Merged OS-All Pri-1 Release-0 Reward-1000 Security_Impact-Stable Security_Severity-High Type-Bug-Security allpublic</t>
  </si>
  <si>
    <t>Penguins Puzzle WebGL game frequent Aw Snap</t>
  </si>
  <si>
    <t>M-42 M-43 Merge-Merged-4.3 OS-All Pri-1 Release-1-M42 Security_Impact-Stable Security_Severity-High Stability-Crash Type-Bug-Security Via-Wizard allpublic merge-merged-4.2 reward-3000</t>
  </si>
  <si>
    <t>cosinuso...@gmail.com</t>
  </si>
  <si>
    <t>Memory corruption with DOM mutation on onchange event firing for select object</t>
  </si>
  <si>
    <t>M-5 Pri-1 Restrict-AddIssueComment-EditIssue Security Security_Impact-Stable Security_Severity-High Type-Bug-Security allpublic reward-topanel</t>
  </si>
  <si>
    <t>Javascript execution bug introduced with Chrome 29.0.1547.57</t>
  </si>
  <si>
    <t>CVE-2013-2919 M-30 Merge-Merged OS-All Pri-1 Release-0 Reward-1000 Security_Impact-Stable Security_Severity-High Type-Bug-Security allpublic</t>
  </si>
  <si>
    <t>adam.ha...@gmail.com</t>
  </si>
  <si>
    <t>Blink Internals Internals&gt;Core Internals&gt;Plugins Internals&gt;Plugins&gt;Flash</t>
  </si>
  <si>
    <t>Use after free or bad cast with empty .swf file</t>
  </si>
  <si>
    <t>CVE-2011-2853 M-14 Merge-Merged Pri-1 ReleaseBlock-Stable Restrict-AddIssueComment-EditIssue Security_Impact-Stable Security_Severity-High Stability-CodeYellow Stability-Memory-AddressSanitizer Type-Bug-Security allpublic</t>
  </si>
  <si>
    <t>Stale form associated element pointer in Document object</t>
  </si>
  <si>
    <t>Security: Cross-origin scripting possible via native functions</t>
  </si>
  <si>
    <t>CVE-2015-1267 Hotlist-Merge-Approved Hotlist-Merge-Review M-43 Merge-Merged-2403 Merge-merged-2357 OS-All Pri-1 Release-4-M43 Security_Impact-Stable Security_Severity-High Type-Bug-Security allpublic reward-7500 reward-inprocess</t>
  </si>
  <si>
    <t>Global-buffer-overflow in SkGradientShaderBase::SkGradientShaderBase</t>
  </si>
  <si>
    <t>M-40 OS-All Pri-1 Security_Impact-Stable Security_Severity-High Stability-Memory-AddressSanitizer Type-Bug-Security allpublic merge-rejected reward-5000</t>
  </si>
  <si>
    <t>Heap-buffer-overflow in SkBitmap::ReadRawPixels</t>
  </si>
  <si>
    <t>OS-All Pri-1 Release-0-M41 Security_Impact-Stable Security_Severity-High Stability-Memory-AddressSanitizer Type-Bug-Security allpublic reward-5000</t>
  </si>
  <si>
    <t>CVE-2015-1238 Deadline-Exceeded M-41 M-43 Nag OS-All Pri-1 Release-0-M43 Security_Impact-Stable Security_Severity-High Stability-Memory-AddressSanitizer Type-Bug-Security allpublic reward-2000</t>
  </si>
  <si>
    <t>Clusterfuzz Hotlist-SyzyASAN M-32 M-33 Merge-Merged-1700 Merge-merged-1750 OS-All Pri-1 Release-1-M32 Security_Impact-Stable Security_Severity-High Type-Bug-Security allpublic</t>
  </si>
  <si>
    <t>Bad cast to XPath::Filter in XPathGrammar.y</t>
  </si>
  <si>
    <t>M-33 Merge-Merged-1700 Merge-merged-1750 OS-All Pri-1 Release-1-M32 Security_Impact-Stable Security_Severity-High Type-Bug-Security allpublic</t>
  </si>
  <si>
    <t>Bad cast in casting CSSInitialValue to SVGColor in css</t>
  </si>
  <si>
    <t>Bad-cast to WebCore::ShadowRoot from WebCore::Text;ShadowRoot.h:164:1</t>
  </si>
  <si>
    <t>Bad cast in HTMLTreeBuilder::processStartTag</t>
  </si>
  <si>
    <t>ApprovedForMerge CVE-2011-1299 M-10 OS-All Pri-1 Restrict-AddIssueComment-EditIssue Security Security_Impact-Stable Security_Severity-High Type-Bug-Security allpublic</t>
  </si>
  <si>
    <t>ZDI-CAN-785: Apple Webkit SVG Floating Text Element  Remote Code Execution Vulnerability</t>
  </si>
  <si>
    <t>M-5 Pri-1 Restrict-AddIssueComment-EditIssue Security Security_Impact-Stable Security_Severity-High Type-Bug-Security allpublic cve-2010-1787</t>
  </si>
  <si>
    <t>Heap-use-after-free in blink::HTMLImportTreeRoot::recalcTimerFired</t>
  </si>
  <si>
    <t>Clusterfuzz Hotlist-Merge-Review M-42 Merge-Merged-2311 OS-All Pri-1 Release-1-M42 Security_Impact-Stable Security_Severity-High Stability-Memory-AddressSanitizer Stability-ThreadSanitizer Type-Bug-Security allpublic</t>
  </si>
  <si>
    <t>Heap-buffer-overflow in xmlStringLenDecodeEntities</t>
  </si>
  <si>
    <t>CVE-2011-3919 M-16 Merge-Merged Merge-Merged-912 OS-All Pri-1 Restrict-AddIssueComment-EditIssue Security_Impact-Stable Security_Severity-High Type-Bug-Security allpublic merge-merged-963 reward-4000</t>
  </si>
  <si>
    <t>Internals&gt;Media&gt;FFmpeg</t>
  </si>
  <si>
    <t>Heap-double-free in av_destruct_packet</t>
  </si>
  <si>
    <t>UNKNOWN in CFXMEM_FixedMgr::Realloc</t>
  </si>
  <si>
    <t>Blink Blink&gt;DOM</t>
  </si>
  <si>
    <t>Use-after-free in DOM Range</t>
  </si>
  <si>
    <t>M-16 Merge-Merged OS-All Pri-1 Restrict-AddIssueComment-EditIssue Reward-1000 Security_Impact-Stable Security_Severity-High Stability-Memory-AddressSanitizer Type-Bug-Security WebKit-ID-72757 allpublic</t>
  </si>
  <si>
    <t>Heap-use-after-free in opj_stream_read_data</t>
  </si>
  <si>
    <t>Heap-use-after-free in WebCore::SVGTRefElement::updateReferencedText</t>
  </si>
  <si>
    <t>M-22 Merge-Merged OS-All Pri-1 Reward-1000 Security-CodeYellow Security_Impact-Stable Security_Severity-High Stability-Memory-AddressSanitizer Type-Bug-Security WEBKIT-ID-94487 allpublic</t>
  </si>
  <si>
    <t>Security: Possible arbitrary heap access through RegExp.prototype[@@match]</t>
  </si>
  <si>
    <t>M-58 OS-All Pri-1 Release-0-M58 Security_Impact-Stable Security_Severity-High Type-Bug-Security allpublic merge-merged-5.8</t>
  </si>
  <si>
    <t>jgruber@chromium.org</t>
  </si>
  <si>
    <t>VU#821271 Exception generated by code running in the Stack</t>
  </si>
  <si>
    <t>M-8 OS-All Pri-1 Restrict-AddIssueComment-EditIssue Reward-1000 Security Security_Impact-Stable Security_Severity-High Type-Bug-Security allpublic reward-decline</t>
  </si>
  <si>
    <t>jared.al...@gmail.com</t>
  </si>
  <si>
    <t>Blink Content&gt;Core UI&gt;Notifications</t>
  </si>
  <si>
    <t>Security: WebKit 43295 - cross_fuzz notification requestPermission memory corruption</t>
  </si>
  <si>
    <t>Heap-buffer-overflow in chrome_pdf::AlphaBlend</t>
  </si>
  <si>
    <t>Use-after-free in WebCore::RenderBlockFlow::checkFloatsInCleanLine</t>
  </si>
  <si>
    <t>Clusterfuzz M-38 Merge-na OS-All Pri-1 Release-0-M38 Security_Impact-Stable Security_Severity-High Stability-Memory-AddressSanitizer Type-Bug-Security allpublic</t>
  </si>
  <si>
    <t>Security: set_state global_handles renderer crash (UAF) with Web Workers and Web SQL</t>
  </si>
  <si>
    <t>CVE-2014-1702 M-33 M-34 Merge-Merged-1847 Merge-merged-1750 Nag OS-All Pri-1 Release-2-M33 Reward-1000 Security_Impact-Stable Security_Severity-High Type-Bug-Security allpublic</t>
  </si>
  <si>
    <t>Merged into 333058</t>
  </si>
  <si>
    <t>ASSERTION FAILED: curr-&gt;isRenderBlock() UNKNOWN in WebCore::RenderBlock::splitBlocks</t>
  </si>
  <si>
    <t>Bad cast in 3d rendering in RenderObject::getTransformFromContainer</t>
  </si>
  <si>
    <t>Heap-use-after-free in CJS_WideStringArray::~CJS_WideStringArray</t>
  </si>
  <si>
    <t>CVE-2015-1282 M-43 M-44 Merge-Merged-2403 OS-All Pri-1 Release-0-M44 Security_Impact-Stable Security_Severity-High Type-Bug-Security allpublic reward-4337</t>
  </si>
  <si>
    <t>Heap-buffer-overflow in WebCore::RenderBlock::layoutRunsAndFloatsInRange</t>
  </si>
  <si>
    <t>Use after free in range extract contents</t>
  </si>
  <si>
    <t>CVE-2011-2799 M-13 OS-All Pri-1 Restrict-AddIssueComment-EditIssue Reward-1000 Security_Impact-Stable Security_Severity-High Type-Bug-Security allpublic</t>
  </si>
  <si>
    <t>Security: Chrome extensions can manipulate Chrome sign-in screen</t>
  </si>
  <si>
    <t>M-29 OS-All Pri-1 Release-0 Security-Code28 Security_Impact-Stable Security_Severity-High Type-Bug-Security allpublic</t>
  </si>
  <si>
    <t>courage@chromium.org</t>
  </si>
  <si>
    <t>Heap-buffer-overflow in WebCore::SVGLength::valueAsString</t>
  </si>
  <si>
    <t>CVE-2011-3032 M-17 Merge-Merged OS-All Pri-1 Restrict-AddIssueComment-EditIssue Reward-1000 Security_Impact-Stable Security_Severity-High Stability-Memory-AddressSanitizer Type-Bug-Security WEBKIT-ID-75096 allpublic</t>
  </si>
  <si>
    <t>extensions can bypass native messaging origin whitelisting</t>
  </si>
  <si>
    <t>Hotlist-Merge-Approved M-52 OS-Linux Pri-1 Release-0-M52 Security_Impact-Stable Security_Severity-High Type-Bug-Security Via-Wizard allpublic merge-merged-2743</t>
  </si>
  <si>
    <t>Memory corruption on Linux when render Khmer script page</t>
  </si>
  <si>
    <t>M-6 OS-Linux Pri-0 Restrict-AddIssueComment-EditIssue Security Security_Impact-Stable Security_Severity-High Type-Bug-Security allpublic</t>
  </si>
  <si>
    <t>Memory corruption with moving ruby text nodes to runs without ruby bases.</t>
  </si>
  <si>
    <t>Memory corruption in Counter Nodes.</t>
  </si>
  <si>
    <t>Security: [arm] OOB r/w due to size computation bug in MacroAssembler::Allocate</t>
  </si>
  <si>
    <t>M-54 OS-Android OS-Chrome Pri-1 Security_Impact-Stable Security_Severity-High Type-Bug-Security allpublic merge-merged-5.5</t>
  </si>
  <si>
    <t>Merged into 663402</t>
  </si>
  <si>
    <t>hadeswi...@gmail.com</t>
  </si>
  <si>
    <t>Heap-use-after-free in WebCore::V8SVGTransformList::visitDOMWrapper</t>
  </si>
  <si>
    <t>Clusterfuzz M-36 Merge-merged-1985 OS-All Pri-1 Release-0-M36 ReleaseBlock-Stable Security_Impact-Stable Security_Severity-High Stability-Memory-AddressSanitizer Type-Bug-Security allpublic</t>
  </si>
  <si>
    <t>Heap-use-after-free in blink::MutationObserverRegistration::unregister</t>
  </si>
  <si>
    <t>CVE-2015-1243 Hotlist-Merge-Review M-42 Merge-Merged-2311 Pri-1 Release-1-M42 Security_Impact-Stable Security_Severity-High Stability-Memory-AddressSanitizer Type-Bug-Security allpublic reward-3000</t>
  </si>
  <si>
    <t>CVE-2013-2909 M-30 Merge-Merged OS-All Pri-1 Release-0 Security_Impact-Stable Security_Severity-High Stability-Memory-AddressSanitizer Type-Bug-Security allpublic merge-merged-1599 reward-2000</t>
  </si>
  <si>
    <t>Blink Blink&gt;Fonts Content&gt;Core</t>
  </si>
  <si>
    <t>WebCore::FontFallbackList::determinePitch memory corruption (0b4c05aab686a31bc4954a5bd6bae27b)</t>
  </si>
  <si>
    <t>M-5 Pri-0 Restrict-AddIssueComment-EditIssue Security Security_Impact-Stable Security_Severity-High Type-Bug-Security allpublic reward-500</t>
  </si>
  <si>
    <t>Security: Universal XSS using navigator.serviceWorker.ready</t>
  </si>
  <si>
    <t>CVE-2015-1292 Hotlist-Merge-Approved M-45 Merge-Merged-2454 Merge-Merged-2490 OS-All Pri-1 Release-0-M45 Security_Impact-Stable Security_Severity-High Type-Bug-Security allpublic reward-7500 reward-inprocess</t>
  </si>
  <si>
    <t>Heap-buffer-overflow in void SkMatrixConvolutionImageFilter::filterPixels&lt;ClampPixelFetcher false&gt;</t>
  </si>
  <si>
    <t>CVE-2014-7904 M-39 Merge-Merged OS-Linux Pri-1 Release-0-M39 ReleaseBlock-Stable Security_Impact-Stable Security_Severity-High Stability-Memory-AddressSanitizer Type-Bug-Security allpublic reward-2000 reward-inprocess</t>
  </si>
  <si>
    <t>Bad cast on SVG use element due to mismatched shadow and instance pointers</t>
  </si>
  <si>
    <t>M-7 OS-All Pri-1 ReleaseBlock-Stable Restrict-AddIssueComment-EditIssue Reward-1000 Security Security_Impact-Stable Security_Severity-High Type-Bug-Security allpublic</t>
  </si>
  <si>
    <t>Potential execution of script inside forbidden scope in Animation</t>
  </si>
  <si>
    <t>M-57 Pri-1 Release-0-M57 Security_Impact-Stable Security_Severity-High Type-Bug-Security Update-Daily allpublic</t>
  </si>
  <si>
    <t>adithyas@chromium.org</t>
  </si>
  <si>
    <t>RIP goes to zero with select tag and form validation message with position:relative</t>
  </si>
  <si>
    <t>CVE-2011-1447 M-11 OS-All Pri-1 Restrict-AddIssueComment-EditIssue Reward-1000 Security_Impact-Stable Security_Severity-High Type-Bug-Security allpublic</t>
  </si>
  <si>
    <t>Use after free due to style not updated for ANONYMOUS boxes (e.g RenderRow) inline-blocks (e.g. RenderRubyRun)</t>
  </si>
  <si>
    <t>CVE-2011-2854 Clusterfuzz M-14 OS-All Pri-1 Restrict-AddIssueComment-EditIssue Reward-1000 Security_Impact-Stable Security_Severity-High Stability-Memory-AddressSanitizer Type-Bug-Security allpublic</t>
  </si>
  <si>
    <t>Merged into 92651</t>
  </si>
  <si>
    <t>Heap-use-after-free in WebCore::Document::nodeChildrenWillBeRemoved</t>
  </si>
  <si>
    <t>Heap-use-after-free in blink::XMLHttpRequest::handleRequestError</t>
  </si>
  <si>
    <t>Clusterfuzz Merge-Merged-2171 OS-All Pri-1 Release-0-M39 Security_Impact-Stable Security_Severity-High Stability-Memory-AddressSanitizer Type-Bug-Security allpublic</t>
  </si>
  <si>
    <t>SEGV in LocalWriteClosure::writeBlobToFileOnIOThread</t>
  </si>
  <si>
    <t>M-38 Merge-Questions-Applied OS-Linux Pri-1 Release-0-M38 Security_Impact-Stable Security_Severity-High Type-Bug-Security allpublic</t>
  </si>
  <si>
    <t>cmumford@chromium.org</t>
  </si>
  <si>
    <t>Crash [@ 0xffffffff]</t>
  </si>
  <si>
    <t>Area-MISC OS-All Pri-0 Restrict-AddIssueComment-Commit Security Security-High Security_Impact-Stable Security_Severity-High Type-Bug-Security allpublic reward-topanel</t>
  </si>
  <si>
    <t>nth1...@gmail.com</t>
  </si>
  <si>
    <t>ZDI-CAN-968: Apple Webkit Font Glyph Layout Remote Code Execution Vulnerability</t>
  </si>
  <si>
    <t>Heap buffer overflow in Webaudio FFTFrame::doFFT</t>
  </si>
  <si>
    <t>CVE-2011-3889 M-15 Merge-Merged OS-All Pri-1 ReleaseBlock-Stable Restrict-AddIssueComment-EditIssue Security_Impact-Stable Security_Severity-High Stability-Memory-AddressSanitizer Type-Bug-Security allpublic merge-merged-874 reward-2000</t>
  </si>
  <si>
    <t>M-23 Merge-Merged OS-All Pri-1 Reward-1000 Security-CodeYellow Security_Impact-Stable Security_Severity-High Type-Bug-Security allpublic</t>
  </si>
  <si>
    <t>Heap-use-after-free in blink::Document::didRemoveAllPendingStylesheet</t>
  </si>
  <si>
    <t>CVE-2014-3192 Hotlist-Webkit M-38 Merge-Merged Merge-merged-2125 OS-Linux Pri-1 Release-0-M38 ReleaseBlock-Stable Security_Impact-Stable Security_Severity-High Stability-Memory-AddressSanitizer Type-Bug-Security allpublic reward-2000</t>
  </si>
  <si>
    <t>use after free in skia blitter</t>
  </si>
  <si>
    <t>CVE-2011-2796 M-13 OS-All Pri-1 Restrict-AddIssueComment-EditIssue Security_Impact-Stable Security_Severity-High Stability-Memory-AddressSanitizer Type-Bug-Security allpublic</t>
  </si>
  <si>
    <t>Heap-use-after-free in v8::internal::GlobalHandles::Create</t>
  </si>
  <si>
    <t>M-36 M-37 Merge-merged-2062 Nag OS-All Pri-1 Release-0-M37 ReleaseBlock-Stable Security_Impact-Stable Security_Severity-High Stability-Memory-AddressSanitizer Type-Bug-Security allpublic reward-4000</t>
  </si>
  <si>
    <t>Minijail tty hijacking via TIOCSTI</t>
  </si>
  <si>
    <t>Arch-x86_64 OS-Android OS-Chrome OS-Linux Pri-2 Security_Impact-Stable Security_Severity-High Type-Bug-Security Via-Wizard-Security allpublic reward-500 reward-inprocess</t>
  </si>
  <si>
    <t>Android Chrome Linux</t>
  </si>
  <si>
    <t>starfall...@gmail.com</t>
  </si>
  <si>
    <t>(WebCore::RenderObjectChildList::destroyLeftoverChildren) Use-after-free with nesting ruby tag and css propierties</t>
  </si>
  <si>
    <t>CVE-2011-1440 M-11 OS-All Pri-1 ReleaseBlock-Stable Restrict-AddIssueComment-EditIssue Reward-1000 Security Security_Impact-Stable Security_Severity-High Type-Bug-Security allpublic</t>
  </si>
  <si>
    <t>CVE-2011-2871 Clusterfuzz M-16 Merge-Merged OS-All Pri-1 Restrict-AddIssueComment-EditIssue Security_Impact-Stable Security_Severity-High Stability-Memory-AddressSanitizer Stability-Memory-DrMemory Type-Bug-Security allpublic</t>
  </si>
  <si>
    <t>Merged into 91911</t>
  </si>
  <si>
    <t>stale entries in gPercentHeightDescendantsMap</t>
  </si>
  <si>
    <t>CVE-2011-1448 M-11 OS-All Pri-1 Restrict-AddIssueComment-EditIssue Reward-1000 Security_Impact-Stable Security_Severity-High Type-Bug-Security allpublic</t>
  </si>
  <si>
    <t>Vulnerability reported in net-misc/strongswan</t>
  </si>
  <si>
    <t>Deadline-Exceeded Hotlist-Merge-Review M-52 Merge-Approved-52 Merge-Review Merge-Review-52 OS-Chrome Pri-1 Security_Impact-Stable Security_Severity-High Type-Bug-Security VerifyIn-55 VerifyIn-56 VerifyIn-57 VerifyIn-58 VerifyIn-59 VerifyIn-60 Vomit allpublic merge-merged-release-R52-8350.B</t>
  </si>
  <si>
    <t>Security: pdfium - write past end of heap buffer when parsing invalid JPEG2000 image</t>
  </si>
  <si>
    <t>CVE-2015-1273 Deadline-Exceeded M-44 Merge-Merged-2403 OS-All Pri-1 Release-0-M44 Security_Impact-Stable Security_Severity-High Type-Bug-Security allpublic reward-3000</t>
  </si>
  <si>
    <t>makos...@gmail.com</t>
  </si>
  <si>
    <t>Heap-use-after-free in WebCore::DeleteButtonController::enable</t>
  </si>
  <si>
    <t>ASSERTION FAILED: actualInfo-&gt;derefObjectFunction == V8HTMLSpanElement::info.derefObjectFunction UNKNOWN in WebCore::wrap</t>
  </si>
  <si>
    <t>CVE-2011-3018 M-17 Merge-Merged OS-All Pri-1 Restrict-AddIssueComment-EditIssue Reward-1000 Security_Impact-Stable Security_Severity-High Stability-Memory-AddressSanitizer Type-Bug-Security allpublic</t>
  </si>
  <si>
    <t>Heap-use-after-free in blink::WebPagePopupImpl::closePopup</t>
  </si>
  <si>
    <t>Clusterfuzz Hotlist-Webkit M-38 Merge-merged-2125 Nag OS-All Pri-1 Release-0-M38 Security_Impact-Stable Security_Severity-High Stability-Memory-AddressSanitizer Type-Bug-Security allpublic</t>
  </si>
  <si>
    <t>Merged into 401363</t>
  </si>
  <si>
    <t>Merged into 403917</t>
  </si>
  <si>
    <t>Heap-use-after-free in RemoteMediaPlayerManager::DidDownloadPoster</t>
  </si>
  <si>
    <t>Clusterfuzz M-37 M-38 Merge-Merged OS-Android Pri-1 Release-0-M38 Security_Impact-Stable Security_Severity-High Stability-Memory-AddressSanitizer Type-Bug-Security allpublic</t>
  </si>
  <si>
    <t>Issue with incorrect attribute events handling in SVG and polyline</t>
  </si>
  <si>
    <t>Heap-use-after-free in WebCore::ShapeOutsideInfo::isEnabledFor</t>
  </si>
  <si>
    <t>Clusterfuzz Hotlist-SyzyASAN Hotlist-Webkit M-33 Missing_Owner-142 OS-All Pri-1 Security-Code28 Security_Impact-Stable Security_Severity-High Stability-Memory-AddressSanitizer Type-Bug-Security allpublic wip</t>
  </si>
  <si>
    <t>kenrb@google.com</t>
  </si>
  <si>
    <t>Merged into 245727</t>
  </si>
  <si>
    <t>P2PSocketDispatcherHost UaF</t>
  </si>
  <si>
    <t>Hotlist-Merge-Approved M-41 M-42 Merge-Merged-2311 OS-All Pri-1 Release-2-M41 Security_Impact-Stable Security_Severity-High Type-Bug-Security allpublic merge-merged-2272 reward-NA</t>
  </si>
  <si>
    <t>UNKNOWN in v8::internal::Deoptimizer::DoComputeOutputFrames</t>
  </si>
  <si>
    <t>Clusterfuzz M-22 Merge-Merged OS-All Pri-1 Restrict-AddIssueComment-EditIssue Security_Impact-Stable Security_Severity-High Stability-Memory-AddressSanitizer Type-Bug-Security allpublic</t>
  </si>
  <si>
    <t>Memory corruption in RenderObjectChildList::removeChildNode</t>
  </si>
  <si>
    <t>Heap-use-after-free in blink::Node::parentOrShadowHostOrTemplateHostNode</t>
  </si>
  <si>
    <t>Clusterfuzz Hotlist-Merge-Approved Hotlist-Merge-Review M-44 Merge-Merged-2403 Nag OS-All Pri-1 Release-0-M44 Security_Impact-Stable Security_Severity-High Stability-Memory-AddressSanitizer Type-Bug-Security allpublic</t>
  </si>
  <si>
    <t>Heap-use-after-free in cc::ScrollbarLayerImplBase::PushScrollClipPropertiesTo</t>
  </si>
  <si>
    <t>Clusterfuzz M-44 OS-All Pri-1 Security_Impact-Stable Security_Severity-High Stability-Memory-AddressSanitizer Type-Bug-Security allpublic</t>
  </si>
  <si>
    <t>Stack-buffer-overflow in _canonicalize</t>
  </si>
  <si>
    <t>CVE-2011-3959 M-17 Merge-Merged OS-All Pri-1 Restrict-AddIssueComment-EditIssue Reward-1000 Security_Impact-Stable Security_Severity-High Stability-Memory-AddressSanitizer Type-Bug-Security allpublic merge-merged-963</t>
  </si>
  <si>
    <t>RIP == 0 in WebCore::StyleResolver::matchAllRules</t>
  </si>
  <si>
    <t>CVE-2013-2844 M-27 Merge-Merged OS-All Pri-1 Release-0 Reward-1000 Security_Impact-Stable Security_Severity-High Type-Bug-Security Via-Wizard allpublic</t>
  </si>
  <si>
    <t>Use after free with nested use elements</t>
  </si>
  <si>
    <t>Security: Heap Buffer Overflow in opj_j2k_read_SQcd_SQcc</t>
  </si>
  <si>
    <t>CVE-2016-5140 Hotlist-Merge-Review M-51 Pri-1 Release-1-M52 Security_Impact-Stable Security_Severity-High Type-Bug-Security allpublic merge-merged-2743 reward-3500 reward-inprocess</t>
  </si>
  <si>
    <t>Heap-use-after-free in WTF::equalNonNull</t>
  </si>
  <si>
    <t>CVE-2013-6624 M-31 Merge-Merged OS-All Pri-1 Release-0-M31 Reward-1000 Security_Impact-Stable Security_Severity-High Stability-Memory-AddressSanitizer Type-Bug-Security allpublic merge-merged-1650</t>
  </si>
  <si>
    <t>Merged into 290566</t>
  </si>
  <si>
    <t>UNKNOWN in _CMapLookupCallback</t>
  </si>
  <si>
    <t>CVE-2015-6758 Clusterfuzz Hotlist-Merge-Review M-46 Merge-Merged-2454 Merge-Merged-2490 Nag OS-Linux Pri-1 Release-0-M46 Reproducible Security_Impact-Stable Security_Severity-High Stability-Memory-AddressSanitizer Type-Bug-Security allpublic reward-3000</t>
  </si>
  <si>
    <t>Heap-use-after-free in WebCore::CanvasRenderingContext2D::setFont</t>
  </si>
  <si>
    <t>CVE-2013-0839 M-24 Merge-Merged OS-All Pri-1 Release-1 Reward-1000 Security_Impact-Stable Security_Severity-High Stability-Memory-AddressSanitizer Type-Bug-Security WebKit-ID-106244 allpublic</t>
  </si>
  <si>
    <t>Heap-use-after-free in WebCore::RenderInline::continuationBefore</t>
  </si>
  <si>
    <t>CVE-2012-3655 Clusterfuzz M-18 Merge-Merged OS-All Pri-1 Restrict-AddIssueComment-EditIssue Security_Impact-Stable Security_Severity-High Stability-Memory-AddressSanitizer Type-Bug-Security allpublic</t>
  </si>
  <si>
    <t>Merged into 116806</t>
  </si>
  <si>
    <t>Stale RenderObject in RenderBlock::addChildIgnoringAnonymousColumnBlocks()</t>
  </si>
  <si>
    <t>CVE-2012-3636 Clusterfuzz M-17 Merge-Merged OS-All Pri-1 Restrict-AddIssueComment-EditIssue Security_Impact-Stable Security_Severity-High Stability-Memory-AddressSanitizer Type-Bug-Security allpublic</t>
  </si>
  <si>
    <t>Merged into 104317</t>
  </si>
  <si>
    <t>Internals&gt;GPU&gt;Internals Internals&gt;Skia Internals&gt;Skia&gt;Compositing</t>
  </si>
  <si>
    <t>Security: Integer overflow allocating shared memory in SoftwareFrameManager::SwapToNewFrame()</t>
  </si>
  <si>
    <t>CVE-2014-1718 M-34 Merge-Merged-1847 OS-All Pri-1 Release-0-M34 Security_Impact-Stable Security_Severity-High Type-Bug-Security allpublic reward-3000</t>
  </si>
  <si>
    <t>Need to merge fix for https://bugs.webkit.org/show_bug.cgi?id=35621 / ZDI-CAN-688</t>
  </si>
  <si>
    <t>Mstone-4.1 Pri-0 ReleaseBlock-Stable Restrict-AddIssueComment-Commit Security Security_Impact-Stable Security_Severity-High Type-Bug-Security allpublic</t>
  </si>
  <si>
    <t>Use after free in V8HTMLElementWrapperFactory.cpp</t>
  </si>
  <si>
    <t>CVE-2011-3031 M-17 Merge-Merged OS-All Pri-1 Restrict-AddIssueComment-EditIssue Reward-1000 Security_Impact-Stable Security_Severity-High Stability-Memory-AddressSanitizer Type-Bug-Security allpublic</t>
  </si>
  <si>
    <t>Security: Bypass of same-origin policy via range requests in PDF plugin</t>
  </si>
  <si>
    <t>CVE-2016-5206 Hotlist-Merge-Review M-54 M-55 Merge-Review-54 OS-All Pri-1 Release-0-M55 Security_Impact-Stable Security_Severity-High Type-Bug-Security allpublic merge-merged-2883 reward-7500 reward-inprocess</t>
  </si>
  <si>
    <t>CVE-2013-2909 Hotlist-SyzyASAN M-30 Merge-Merged OS-All Pri-2 Release-0 Security_Impact-Stable Security_Severity-High Stability-ThreadSanitizer Type-Bug-Security allpublic merge-merged-1599 reward-2000</t>
  </si>
  <si>
    <t>Merged into 265838</t>
  </si>
  <si>
    <t>itrindad...@gmail.com</t>
  </si>
  <si>
    <t>Security: ZDI-CAN-4587 - chrome OOB read (pwn2own 2017)</t>
  </si>
  <si>
    <t>CVE-2017-5053 FoundIn-M-57 FoundIn-M-58 FoundIn-M-59 Fracas Hotlist-Merge-Approved M-57 M-58 Needs-Feedback NodeJS-Backport-Approved OS-Android OS-Chrome OS-Linux OS-Mac OS-Windows Pri-1 Release-1-M57 Security_Impact-Stable Security_Severity-High Stability-Memory-AddressSanitizer Type-Bug-Security allpublic merge-merged-5.7 merge-merged-5.8</t>
  </si>
  <si>
    <t>Merged into 702058</t>
  </si>
  <si>
    <t>UNKNOWN in v8::internal::Simulator::DecodeType2</t>
  </si>
  <si>
    <t>Clusterfuzz M-45 Nag OS-All Pri-1 Security_Impact-Stable Security_Severity-High Stability-Memory-AddressSanitizer Type-Bug-Security allpublic</t>
  </si>
  <si>
    <t>Clusterfuzz External-Fuzzer-Contribution M-42 Merge-na OS-All Pri-1 Release-0-M42 Security_Impact-Stable Security_Severity-High Stability-Memory-AddressSanitizer Type-Bug-Security allpublic reward-0</t>
  </si>
  <si>
    <t>Flash intercepts key events when not in focus</t>
  </si>
  <si>
    <t>M-7 OS-Linux Pri-1 Restrict-AddIssueComment-EditIssue Security Security_Impact-Stable Security_Severity-High Type-Bug-Security allpublic</t>
  </si>
  <si>
    <t>Blink&gt;Bindings Blink&gt;DOM</t>
  </si>
  <si>
    <t>UNKNOWN in blink::EventTarget::getEventListeners</t>
  </si>
  <si>
    <t>CVE-2015-1290 M-44 Merge-Merged-4.3 Pri-0 ReleaseBlock-Stable Reward-1000 Security_Impact-Stable Security_Severity-High Stability-Memory-AddressSanitizer Type-Bug-Security allpublic merge-merged-4.4 reward-inprocess</t>
  </si>
  <si>
    <t>liuyong...@hotmail.com</t>
  </si>
  <si>
    <t>Need to merge fix for https://bugs.webkit.org/show_bug.cgi?id=35598 / ZDI-CAN-704</t>
  </si>
  <si>
    <t>Security: heap-use-after-free in blink::NodeIteratorBase::root</t>
  </si>
  <si>
    <t>CVE-2016-1633 M-48 M-49 OS-All Pri-1 Release-0-M49 Security_Impact-Stable Security_Severity-High Stability-Memory-AddressSanitizer Type-Bug-Security allpublic reward-3000 reward-inprocess</t>
  </si>
  <si>
    <t>nils.som...@gmail.com</t>
  </si>
  <si>
    <t>CHECK failure in CHECK(value-&gt;IsHeapObject()) failed: ../src/objects-debug.cc(295)</t>
  </si>
  <si>
    <t>CVE-2013-6668 Clusterfuzz M-33 M-34 Merge-Merged OS-All Pri-2 Release-1-M33 Security_Impact-Stable Security_Severity-High Type-Bug-Security allpublic</t>
  </si>
  <si>
    <t>Heap-use-after-free in WebCore::EditCommandComposition::~EditCommandComposition</t>
  </si>
  <si>
    <t>Merged into 275223</t>
  </si>
  <si>
    <t>yosin@chromium.org</t>
  </si>
  <si>
    <t>Heap-use-after-free in blink::LayoutTextFragment::setTextFragment</t>
  </si>
  <si>
    <t>Clusterfuzz Merge-na OS-Linux Pri-1 Release-NA Reproducible Security_Impact-Stable Security_Severity-High Stability-Memory-AddressSanitizer Type-Bug-Security allpublic</t>
  </si>
  <si>
    <t>Heap-use-after-free in WebCore::RenderLayer::repaintBlockSelectionGaps</t>
  </si>
  <si>
    <t>Merged into 135697</t>
  </si>
  <si>
    <t>Heap-use-after-free in WebCore::HTMLInputElement::isPresentationAttribute</t>
  </si>
  <si>
    <t>CVE-2012-3607 Clusterfuzz M-21 Merge-Merged OS-All Pri-1 Security_Impact-Stable Security_Severity-High Stability-Memory-AddressSanitizer Type-Bug-Security WebKit-ID-90774 allpublic</t>
  </si>
  <si>
    <t>IPC: destroy routes for video decoders on GpuCommandBufferStub destruction</t>
  </si>
  <si>
    <t>M-27 OS-All Pri-1 Release-0 Security_Impact-Stable Security_Severity-High Type-Bug-Security allpublic</t>
  </si>
  <si>
    <t>sheu@chromium.org</t>
  </si>
  <si>
    <t>Heap-use-after-free in WebCore::TextIterator::rangeFromLocationAndLength</t>
  </si>
  <si>
    <t>Merge http://trac.webkit.org/changeset/133840</t>
  </si>
  <si>
    <t>M-25 OS-All Pri-1 Release-0 Security_Impact-Stable Security_Severity-High Type-Bug-Security allpublic release-private</t>
  </si>
  <si>
    <t>UNKNOWN in webkit::ppapi::PluginInstance::PrintPDFOutput</t>
  </si>
  <si>
    <t>Clusterfuzz M-27 OS-All Pri-1 Security_Impact-Stable Security_Severity-High Stability-Memory-AddressSanitizer Type-Bug-Security allpublic</t>
  </si>
  <si>
    <t>Merged into 175741</t>
  </si>
  <si>
    <t>Potential buffer overrun in SVGTextRunWalker::walk()</t>
  </si>
  <si>
    <t>CVE-2011-1288 M-9 OS-All Pri-1 Restrict-AddIssueComment-EditIssue Security Security_Impact-Stable Security_Severity-High Type-Bug-Security allpublic</t>
  </si>
  <si>
    <t>cross_fuzz: Deleted elements lingering in Document::m_elementsById</t>
  </si>
  <si>
    <t>Bad cast with run-ins and &lt;input&gt;</t>
  </si>
  <si>
    <t>CVE-2012-2866 M-21 Merge-Merged OS-All Pri-1 Restrict-AddIssueComment-EditIssue Reward-1000 Security-CodeYellow Security_Impact-Stable Security_Severity-High Stability-Memory-AddressSanitizer Type-Bug-Security allpublic</t>
  </si>
  <si>
    <t>Merged into 134897</t>
  </si>
  <si>
    <t>Security: Integer overflow leads to buffer overflow in PDF_EncodeText</t>
  </si>
  <si>
    <t>halyavin@chromium.org</t>
  </si>
  <si>
    <t>Heap-use-after-free in WebCore::HTMLFormControlsCollectionV8Internal::indexedPropertyGetterCallback</t>
  </si>
  <si>
    <t>M-30 Merge-Merged OS-All Pri-1 Release-0 Security_Impact-Stable Security_Severity-High Stability-ThreadSanitizer Type-Bug-Security allpublic merge-merged-1599</t>
  </si>
  <si>
    <t>Heap-use-after-free in WebCore::RenderTableSection::nodeAtPoint</t>
  </si>
  <si>
    <t>CVE-2011-3042 M-17 Merge-Merged OS-All Pri-1 Restrict-AddIssueComment-EditIssue Reward-1000 Security_Impact-Stable Security_Severity-High Stability-Memory-AddressSanitizer Type-Bug-Security allpublic</t>
  </si>
  <si>
    <t>Security: UNKNOWN in RenderFrameImpl::OnMessageReceived</t>
  </si>
  <si>
    <t>CVE-2015-1237 Hotlist-Merge-Approved M-41 M-42 Merge-Merged-2311 OS-All Pri-1 Release-2-M41 Security_Impact-Stable Security_Severity-High Type-Bug-Security allpublic merge-merged-2272 reward-3000</t>
  </si>
  <si>
    <t>Heap-buffer-overflow in CJBig2_Context::parseSymbolDict</t>
  </si>
  <si>
    <t>Hotlist-Merge-Review M-43 Merge-merged-2357 OS-All Pri-1 Release-0-M43 Security_Impact-Stable Security_Severity-High Type-Bug-Security allpublic</t>
  </si>
  <si>
    <t>Security: Flash AS2 Use After Free in TextField.filters (again)</t>
  </si>
  <si>
    <t>CVE-2015-3106 M-42 Pri-1 Security_Impact-Stable Security_Severity-High Type-Bug-Security allpublic reward-5000</t>
  </si>
  <si>
    <t>Stack-buffer-overflow in CPDF_Function::Call</t>
  </si>
  <si>
    <t>Clusterfuzz Hotlist-Merge-Approved M-46 M-47 Merge-Merged-2490 OS-Linux Pri-1 Release-0-M47 Reproducible Security_Impact-Stable Security_Severity-High Stability-Memory-AddressSanitizer Type-Bug-Security allpublic merge-merged-2526</t>
  </si>
  <si>
    <t>Heap-use-after-free in blink::ComposedTreeTraversal::traverseParent</t>
  </si>
  <si>
    <t>Clusterfuzz Hotlist-Merge-Review Hotlist-SyzyASAN M-45 Merge-Merged-2454 Merge-Merged-2490 OS-All Pri-1 ReleaseBlock-Beta Security_Impact-Stable Security_Severity-High Type-Bug-Security allpublic</t>
  </si>
  <si>
    <t>Integer overflow in SVG Parsing</t>
  </si>
  <si>
    <t>IPC: Unvalidated content type used as index for write into raw array</t>
  </si>
  <si>
    <t>Audit-IPC CVE-2013-0841 M-24 Merge-Merged OS-All Pri-1 Release-1 Security_Impact-Stable Security_Severity-High Type-Bug-Security allpublic merge-Merged-1364 merge-merged-1312</t>
  </si>
  <si>
    <t>use after free in ContainerNode::willRemove</t>
  </si>
  <si>
    <t>Out of bounds read in WTF::String::String / WebCore::WebVTTParser::constructTreeFromToken</t>
  </si>
  <si>
    <t>M-27 OS-All Pri-1 Release-0 Security_Impact-Stable Security_Severity-High Type-Bug-Security allpublic release-private</t>
  </si>
  <si>
    <t>Heap-use-after-free in WebCore::ReplaceSelectionCommand::removeRedundantStylesAndKeepStyleSpanInline</t>
  </si>
  <si>
    <t>Clusterfuzz M-33 M-34 M-35 Merge-Merged-1847 OS-All Pri-1 Release-0-M34 ReleaseBlock-Beta Security_Impact-Stable Security_Severity-High Stability-Memory-AddressSanitizer Type-Bug-Security allpublic</t>
  </si>
  <si>
    <t>Internals UI&gt;Browser&gt;SafeBrowsing</t>
  </si>
  <si>
    <t>Crashes in PhishingDOMFeatureExtractor::ExtractFeaturesWithTimeout</t>
  </si>
  <si>
    <t>CVE-2011-3884 M-15 Merge-Merged OS-All Pri-1 Restrict-AddIssueComment-EditIssue Security_Impact-Stable Security_Severity-High Stability-Crash Type-Bug-Security allpublic merge-merged-874</t>
  </si>
  <si>
    <t>bryner@chromium.org</t>
  </si>
  <si>
    <t>Use after free due to stale fonts</t>
  </si>
  <si>
    <t>Arch-x86_64 Clusterfuzz M-34 Merge-Merged OS-All Pri-1 Release-0-M34 ReleaseBlock-Stable Security_Impact-Stable Security_Severity-High Stability-Memory-AddressSanitizer Type-Bug-Security allpublic</t>
  </si>
  <si>
    <t>PDF: integer overflows in JS array handling</t>
  </si>
  <si>
    <t>CVE-2012-5151 M-24 Merge-Merged OS-All Pri-1 Release-0 Security_Impact-Stable Security_Severity-High Type-Bug-Security allpublic</t>
  </si>
  <si>
    <t>Use after free with Floats and Ruby</t>
  </si>
  <si>
    <t>Security: Type confusion vulnerability in V8Clipboard::setDragImageMethodCustom</t>
  </si>
  <si>
    <t>CVE-2013-2839 M-27 Merge-Merged OS-All Pri-1 Release-0 Security_Impact-Stable Security_Severity-High Type-Bug-Security allpublic reward-1500</t>
  </si>
  <si>
    <t>Merged into 230176</t>
  </si>
  <si>
    <t>Use-after-free under CachedRawResource::responseReceived</t>
  </si>
  <si>
    <t>M-26 Merge-Merged OS-All Pri-1 Release-0 Security_Impact-Stable Security_Severity-High Type-Bug-Security allpublic release-private</t>
  </si>
  <si>
    <t>Security: Memory Corruption in MaskSuperBlitter</t>
  </si>
  <si>
    <t>CVE-2011-3065 M-18 Merge-Merged OS-All Pri-1 ReleaseBlock-Stable Restrict-AddIssueComment-EditIssue Reward-1000 Security_Impact-Stable Security_Severity-High Type-Bug-Security allpublic</t>
  </si>
  <si>
    <t>w3bd3...@gmail.com</t>
  </si>
  <si>
    <t>Merged into 117588</t>
  </si>
  <si>
    <t>Heap-buffer-overflow in ff_er_frame_end</t>
  </si>
  <si>
    <t>CVE-2014-3157 Clusterfuzz M-35 OS-All Release-1-M35 Security_Impact-Stable Security_Severity-High Stability-Memory-AddressSanitizer Type-Bug-Security allpublic merge-merged-1916</t>
  </si>
  <si>
    <t>ASSERTION FAILED: actualInfo-&gt;derefObjectFunction == info.derefObjectFunction UNKNOWN in WebCore::V8IDBCursor::createWrapper</t>
  </si>
  <si>
    <t>Clusterfuzz M-29 OS-All Pri-1 Security_Impact-Stable Security_Severity-High Stability-Memory-AddressSanitizer Type-Bug-Security allpublic merge-merged-1599</t>
  </si>
  <si>
    <t>ASSERTION FAILED: curr-&gt;isRenderInline() UNKNOWN in blink::RenderInline::splitInlines</t>
  </si>
  <si>
    <t>Clusterfuzz M-39 Merge-Merged-2171 Nag OS-All Pri-1 Release-0-M39 ReleaseBlock-Stable Security_Impact-Stable Security_Severity-High Stability-Memory-AddressSanitizer Type-Bug-Security allpublic</t>
  </si>
  <si>
    <t>Security: Flash UAF with MovieClip.scrollRect in AS2</t>
  </si>
  <si>
    <t>M-42 Pri-1 Security_Impact-Stable Security_Severity-High Type-Bug-Security allpublic reward-7500</t>
  </si>
  <si>
    <t>Security: libxslt generation of text nodes integer overflow</t>
  </si>
  <si>
    <t>CVE-2017-5029 M-56 Merge-Merged OS-All Pri-1 Release-0-M57 Security_Impact-Stable Security_Severity-High Stability-Memory-AddressSanitizer Type-Bug-Security allpublic merge-merged-2987 reward-3000 reward-inprocess</t>
  </si>
  <si>
    <t>hofu...@gmail.com</t>
  </si>
  <si>
    <t>Heap-use-after-free in WebCore::RenderListItem::updateMarkerLocation</t>
  </si>
  <si>
    <t>Clusterfuzz M-22 OS-All Pri-1 ReleaseBlock-Stable Restrict-AddIssueComment-EditIssue Security-CodeYellow Security_Impact-Stable Security_Severity-High Stability-Memory-AddressSanitizer Type-Bug-Security allpublic</t>
  </si>
  <si>
    <t>Heap-use-after-free in WebCore::TreeScopeAdopter::moveTreeToNewScope</t>
  </si>
  <si>
    <t>use-after-free in SpeechRecognitionBubbleView::GetAnchorRect</t>
  </si>
  <si>
    <t>M-33 M-34 Merge-Merged-1847 Merge-merged-1750 OS-Windows Pri-1 Release-1-M33 Security_Impact-Stable Security_Severity-High Type-Bug-Security allpublic reward-500</t>
  </si>
  <si>
    <t>Use after free after setting -webkit-line-clamp to none</t>
  </si>
  <si>
    <t>CVE-2012-3677 M-20 Merge-Merged OS-All Pri-1 Security_Impact-Stable Security_Severity-High Type-Bug-Security allpublic</t>
  </si>
  <si>
    <t>CVE-2012-3621 Clusterfuzz M-20 Merge-Merged OS-All Pri-1 Security_Impact-Stable Security_Severity-High Stability-Memory-AddressSanitizer Type-Bug-Security allpublic</t>
  </si>
  <si>
    <t>Heap-buffer-overflow in WebCore::HTMLSelectElement::setRecalcListItems</t>
  </si>
  <si>
    <t>CVE-2012-3604 Clusterfuzz M-18 Merge-Merged OS-All Pri-1 Restrict-AddIssueComment-EditIssue Security_Impact-Stable Security_Severity-High Stability-Memory-AddressSanitizer Type-Bug-Security allpublic</t>
  </si>
  <si>
    <t>Heap-use-after-free in WebCore::PopStateEvent::~PopStateEvent</t>
  </si>
  <si>
    <t>M-24 Merge-Merged OS-All Pri-1 Release-0 ReleaseBlock-Stable Reward-1000 Security_Impact-Stable Security_Severity-High Stability-Memory-AddressSanitizer Type-Bug-Security WebKit-ID-104007 allpublic</t>
  </si>
  <si>
    <t>Heap Corruption - FFMPEG libavformat\mov.c - Use-After-Free/Double Free</t>
  </si>
  <si>
    <t>CVE-2015-1207 M-39 M-40 Merge-merged-2214 OS-All Pri-1 Release-1-M40 Security_Impact-Stable Security_Severity-High Type-Bug-Security Via-Wizard allpublic reward-4000</t>
  </si>
  <si>
    <t>Security: window.history.replaceState fails to enforce domain security</t>
  </si>
  <si>
    <t>miketa...@gmail.com</t>
  </si>
  <si>
    <t>Use after free of frame in Document::finishedParsing</t>
  </si>
  <si>
    <t>CVE-2011-2356 M-12 OS-All Pri-1 ReleaseBlock-Stable Restrict-AddIssueComment-EditIssue Security_Impact-Stable Security_Severity-High Stability-Memory-AddressSanitizer Type-Bug-Security allpublic</t>
  </si>
  <si>
    <t>ASSERTION FAILED: !node || (node-&gt;isShadowRoot())</t>
  </si>
  <si>
    <t>Security: V8 bug may give out-of-bounds access to the stack</t>
  </si>
  <si>
    <t>CVE-2012-5153 M-24 Merge-Merged OS-All Pri-1 Release-0 Security_Impact-Stable Security_Severity-High Type-Bug-Security allpublic</t>
  </si>
  <si>
    <t>rossberg@chromium.org</t>
  </si>
  <si>
    <t>Security: Use-after-free in blink::PageAnimator::serviceScriptedAnimations</t>
  </si>
  <si>
    <t>M-38 Merge-Merged-2171 OS-All Pri-1 Release-0-M39 Security_Impact-Stable Security_Severity-High Type-Bug-Security allpublic</t>
  </si>
  <si>
    <t>Heap-use-after-free in WebCore::ApplyStyleCommand::applyInlineStyleToNodeRange</t>
  </si>
  <si>
    <t>CVE-2011-3075 M-18 Merge-Merged OS-All Pri-1 Restrict-AddIssueComment-EditIssue Reward-1000 Security_Impact-Stable Security_Severity-High Stability-Memory-AddressSanitizer Type-Bug-Security allpublic</t>
  </si>
  <si>
    <t>use-after-free on WebCore::FormController::createSavedFormStateMap</t>
  </si>
  <si>
    <t>Hotlist-SyzyASAN M-28 Merge-Merged OS-All Pri-2 Release-0 Security_Impact-Stable Security_Severity-High Stability-Memory-AddressSanitizer Type-Bug-Security allpublic</t>
  </si>
  <si>
    <t>Security: use-after-free removing a frame from its parent in a beforeload event of an OBJECT element</t>
  </si>
  <si>
    <t>CVE-2013-2842 M-27 Merge-Merged OS-All Pri-1 Release-0 Security_Impact-Stable Security_Severity-High Type-Bug-Security allpublic merge-merged-chromium reward-2000</t>
  </si>
  <si>
    <t>cyril.ca...@gmail.com</t>
  </si>
  <si>
    <t>Heap-use-after-free in WebCore::DocumentMarkerController::removeMarkersFromList</t>
  </si>
  <si>
    <t>Clusterfuzz M-35 OS-All Pri-1 Release-0-M35 Security_Impact-Stable Security_Severity-High Stability-ThreadSanitizer Type-Bug-Security allpublic merge-merged-1916</t>
  </si>
  <si>
    <t>Security: UAF related to XPointer range-to function</t>
  </si>
  <si>
    <t>CVE-2016-5131 M-52 OS-Android OS-Chrome OS-Linux OS-Mac OS-Windows Pri-1 Release-0-M52 Security_Impact-Stable Security_Severity-High Type-Bug-Security allpublic merge-merged-2743 merge-merged-2785 reward-3500 reward-inprocess</t>
  </si>
  <si>
    <t>wellnho...@aevum.de</t>
  </si>
  <si>
    <t>Blink&gt;WebGL Internals Internals&gt;GPU</t>
  </si>
  <si>
    <t>Crash in texSubImage2D on Mozilla's WebGL performance regression tests</t>
  </si>
  <si>
    <t>CVE-2012-2819 M-20 Pri-1 Restrict-AddIssueComment-EditIssue Security_Impact-Stable Security_Severity-High Type-Bug-Security WebKit-ID-85942-RESOLVED WebKit-Rev-117191 allpublic merge-merged-1132</t>
  </si>
  <si>
    <t>Bad cast in RenderFrameSet::computeEdgeInfo</t>
  </si>
  <si>
    <t>Clusterfuzz M-43 M-44 Merge-Merged-2403 Nag OS-All Pri-1 Release-0-M44 Security_Impact-Stable Security_Severity-High Stability-Memory-AddressSanitizer Type-Bug-Security allpublic</t>
  </si>
  <si>
    <t>Use after free in WebCore::SVGTRefElement::updateReferencedText</t>
  </si>
  <si>
    <t>Merged into 95359</t>
  </si>
  <si>
    <t>jarmo.lu...@gmail.com</t>
  </si>
  <si>
    <t>UNKNOWN in WebKit::WebSpeechRecognitionHandle::operator WTF::PassRefPtr&lt;WebCore::SpeechRecognition&gt;</t>
  </si>
  <si>
    <t>Hotlist-Webkit M-30 OS-All Pri-1 Reward-1000 Security_Impact-Stable Security_Severity-High Stability-Memory-AddressSanitizer Type-Bug-Security allpublic</t>
  </si>
  <si>
    <t>t...@talater.com</t>
  </si>
  <si>
    <t>Heap-use-after-free in webrtc::VCMGenericDecoder::Release</t>
  </si>
  <si>
    <t>Clusterfuzz Hotlist-Merge-Approved M-47 M-48 Merge-merged-47 Merge-na OS-Linux Release-0-M48 Security_Impact-Stable Security_Severity-High Stability-Memory-AddressSanitizer Type-Bug-Security Unreproducible allpublic merge-merged-48</t>
  </si>
  <si>
    <t>Heap-use-after-free in WebCore::RenderTextFragment::styleDidChange</t>
  </si>
  <si>
    <t>M-16 Merge-Merged Merge-Merged-912 OS-All Pri-1 Restrict-AddIssueComment-EditIssue Security_Impact-Stable Security_Severity-High Stability-Memory-AddressSanitizer Stability-Valgrind Type-Bug-Security WebKit-ID-72759 allpublic</t>
  </si>
  <si>
    <t>UI&gt;Browser&gt;Navigation UI&gt;Browser&gt;Omnibox</t>
  </si>
  <si>
    <t>Security: You can spoof any domain in the URL bar</t>
  </si>
  <si>
    <t>CVE-2014-7899 M-38 Nag OS-All Pri-1 Release-0-M38 Security_Impact-Stable Security_Severity-High Team-Security-UX Type-Bug-Security allpublic reward-500</t>
  </si>
  <si>
    <t>ise...@gmail.com</t>
  </si>
  <si>
    <t>Heap-use-after-free in blink::DateTimeChooserImpl::didClosePopup</t>
  </si>
  <si>
    <t>Clusterfuzz Hotlist-Merge-Approved Hotlist-Merge-Review M-45 M-46 Merge-Merged-2454 Merge-Merged-2490 OS-Linux Pri-1 Release-0-M46 Reproducible Security_Impact-Stable Security_Severity-High Stability-ThreadSanitizer Type-Bug-Security allpublic</t>
  </si>
  <si>
    <t>Security: security vulnerabilities in libpng (CVE-2015-7981 CVE-2015-8126)</t>
  </si>
  <si>
    <t>M-49 Merge-na Pri-1 Release-0-M49 Security_Impact-Stable Security_Severity-High Type-Bug-Security allpublic reward-500 reward-inprocess</t>
  </si>
  <si>
    <t>joerg.bo...@gmail.com</t>
  </si>
  <si>
    <t>Merged into 560291</t>
  </si>
  <si>
    <t>Heap-use-after-free in content::ServiceWorkerScriptCacheMap::NotifyFinishedCaching</t>
  </si>
  <si>
    <t>CVE-2015-1222 Clusterfuzz External-Fuzzer-Contribution M-41 OS-All Pri-1 Release-0-M41 Security_Impact-Stable Security_Severity-High Stability-Memory-AddressSanitizer Type-Bug-Security allpublic merge-merged-2272 reward-2500</t>
  </si>
  <si>
    <t>Heap-use-after-free in WebCore::GenericEventQueue::timerFired</t>
  </si>
  <si>
    <t>OOB write due to invalid bounds check in v8</t>
  </si>
  <si>
    <t>Internals&gt;Core UI&gt;Browser&gt;Navigation</t>
  </si>
  <si>
    <t>Heap-use-after-free in content::RenderFrameImpl::NavigateInternal</t>
  </si>
  <si>
    <t>Clusterfuzz Hotlist-Merge-Approved Hotlist-Merge-Review M-54 OS-All OS-Linux Pri-1 Release-2-M53 ReleaseBlock-Beta Reproducible Security_Impact-Stable Security_Severity-High Stability-Memory-AddressSanitizer Type-Bug-Security allpublic merge-merged-2785 merge-merged-2840</t>
  </si>
  <si>
    <t>Use after free due to issues in element detachment when entering fullscreen</t>
  </si>
  <si>
    <t>M-15 Merge-Merged OS-All Pri-1 ReleaseBlock-Stable Restrict-AddIssueComment-EditIssue Security_Impact-Stable Security_Severity-High Stability-Memory-AddressSanitizer Type-Bug-Security allpublic merge-merged-874</t>
  </si>
  <si>
    <t>Stack-buffer-overflow in NPObjectProxy::NPInvokePrivate</t>
  </si>
  <si>
    <t>Heap-use-after-free in WebCore::InlineBox::extractLine</t>
  </si>
  <si>
    <t>Clusterfuzz M-24 Merge-Merged OS-All Pri-1 Release-0 Security-CodeYellow Security_Impact-Stable Security_Severity-High Stability-Memory-AddressSanitizer Type-Bug-Security allpublic release-private</t>
  </si>
  <si>
    <t>Merged into 139321</t>
  </si>
  <si>
    <t>Security: Junction Point directory traversal vulnerability - pwn2own 2014</t>
  </si>
  <si>
    <t>CVE-2014-1715 M-34 Merge-Merged Nag OS-Windows Pri-1 Release-3-M33 Security_Impact-Stable Security_Severity-High Type-Bug-Security ZDI-CAN-2234 allpublic</t>
  </si>
  <si>
    <t>Missing validation of webkit_base::DataElement across IPC</t>
  </si>
  <si>
    <t>Audit-IPC CVE-2013-0891 M-25 OS-All Pri-1 Release-0 Security_Impact-Stable Security_Severity-High Type-Bug-Security allpublic merge-Merged-1364</t>
  </si>
  <si>
    <t>ASSERT: Bad cast from Event to TouchEvent. UNKNOWN in  Bad cast from Event to TouchEvent</t>
  </si>
  <si>
    <t>Stale node in StyleSheetCandidateListHashSet</t>
  </si>
  <si>
    <t>CVE-2011-2855 M-14 Merge-Merged OS-All Pri-1 Restrict-AddIssueComment-EditIssue Reward-1000 Security_Impact-Stable Security_Severity-High Type-Bug-Security allpublic</t>
  </si>
  <si>
    <t>Heap-use-after-free in v8::internal::JSObject::GetElementWithInterceptor</t>
  </si>
  <si>
    <t>CVE-2011-3086 M-19 Merge-Merged OS-All Pri-1 Restrict-AddIssueComment-EditIssue Reward-1000 Security_Impact-Stable Security_Severity-High Stability-Memory-AddressSanitizer Type-Bug-Security WebKit-ID-83696 allpublic</t>
  </si>
  <si>
    <t>Security: use-after-free in AttachFilteredEvent on event_bindings.cc</t>
  </si>
  <si>
    <t>CVE-2016-5156 Hotlist-Merge-Approved M-53 OS-Chrome OS-Linux OS-Mac OS-Windows Pri-1 Release-0-M53 Security_Impact-Stable Security_Severity-High Type-Bug-Security allpublic merge-merged-2785 reward-3000 reward-inprocess</t>
  </si>
  <si>
    <t>Security: Race condition in workers may cause an exploitable double free by abusing bytearray.compress()</t>
  </si>
  <si>
    <t>CVE-2015-0312 M-40 Merge-na OS-All Pri-1 Security_Impact-Stable Security_Severity-High Type-Bug-Security allpublic reward-7500</t>
  </si>
  <si>
    <t>Blink&gt;JavaScript&gt;Language Blink&gt;JavaScript&gt;Runtime</t>
  </si>
  <si>
    <t>Security: Universal XSS using exceptions thrown from Object.observe</t>
  </si>
  <si>
    <t>CVE-2015-1304 M-45 OS-All Pri-1 Release-2-M45 Security_Impact-Stable Security_Severity-High Type-Bug-Security allpublic merge-merged-4.5 merge-merged-4.6 reward-7500 reward-inprocess</t>
  </si>
  <si>
    <t>Blink Internals&gt;Core</t>
  </si>
  <si>
    <t>Chrome_ChromeOS: Crash Report -         Stack Signature: WebKit::WebWorkerClientImpl::openFileSystem...</t>
  </si>
  <si>
    <t>M-22 Merge-Merged OS-All Pri-1 ReleaseBlock-Stable Security_Impact-Stable Security_Severity-High Stability-CodeYellow Stability-Crash Type-Bug-Security allpublic</t>
  </si>
  <si>
    <t>Heap-use-after-free in WebCore::ImageLoader::updateRenderer</t>
  </si>
  <si>
    <t>Clusterfuzz M-22 Merge-Merged OS-All Pri-1 Restrict-AddIssueComment-EditIssue Security-CodeYellow Security_Impact-Stable Security_Severity-High Stability-Memory-AddressSanitizer Type-Bug-Security allpublic webkit-id-90801</t>
  </si>
  <si>
    <t>Blink Internals&gt;Skia</t>
  </si>
  <si>
    <t>Heap-use-after-free in D_Clear_BitmapXferProc</t>
  </si>
  <si>
    <t>Clusterfuzz M-21 OS-All Pri-0 Restrict-AddIssueComment-EditIssue Security_Impact-Stable Security_Severity-High Stability-Memory-AddressSanitizer Type-Bug-Security allpublic</t>
  </si>
  <si>
    <t>Heap-use-after-free in base::internal::Invoker&lt;1 base::internal::BindState&lt;base::internal::RunnableAdapter&lt;void</t>
  </si>
  <si>
    <t>Clusterfuzz M-31 Merge-Merged-1700 OS-All Pri-1 Release-1-M31 Security_Impact-Stable Security_Severity-High Stability-Memory-AddressSanitizer Stability-ThreadSanitizer Type-Bug-Security allpublic merge-merged-1650</t>
  </si>
  <si>
    <t>Stale pointer in WebCore::RenderTable::firstLineBoxBaseline</t>
  </si>
  <si>
    <t>use-after-free when document.close and document.write are called after requesting a non-existing script</t>
  </si>
  <si>
    <t>CVE-2011-1195 M-10 OS-All Pri-1 Restrict-AddIssueComment-EditIssue Reward-1000 Security Security_Impact-Stable Security_Severity-High Type-Bug-Security allpublic</t>
  </si>
  <si>
    <t>Heap-use-after-free in blink::HTMLFormElement::item</t>
  </si>
  <si>
    <t>Clusterfuzz Hotlist-Merge-Approved M-44 Merge-Merged-2403 OS-All Pri-1 Release-0-M44 Security_Impact-Stable Security_Severity-High Stability-Memory-AddressSanitizer Type-Bug-Security allpublic</t>
  </si>
  <si>
    <t>Use-of-uninitialized-value in Browser::GetSecurityStyle</t>
  </si>
  <si>
    <t>Clusterfuzz M-45 OS-All Pri-1 Release-0-M45 Security_Impact-Stable Security_Severity-High Stability-Memory-MemorySanitizer Type-Bug-Security allpublic</t>
  </si>
  <si>
    <t>Unicode-decoder: fix out-of-band write in utf16</t>
  </si>
  <si>
    <t>CVE-2015-5380 M-43 Merge-Merged-4.3 OS-All Pri-1 Security_Impact-Stable Security_Severity-High Type-Bug-Security allpublic merge-merged-4.4</t>
  </si>
  <si>
    <t>Null out DOMWindow::m_frame as soon as the frame/window is detached</t>
  </si>
  <si>
    <t>M-46 M-47 Merge-na Nag OS-All Pri-1 Release-0-M47 Security_Impact-Stable Security_Severity-High Type-Bug-Security allpublic</t>
  </si>
  <si>
    <t>Heap-use-after-free in WebCore::Node::traverseNextNode</t>
  </si>
  <si>
    <t>CVE-2012-3609 Clusterfuzz M-17 Merge-Merged OS-All Pri-1 Restrict-AddIssueComment-EditIssue Security_Impact-Stable Security_Severity-High Stability-Memory-AddressSanitizer Type-Bug-Security allpublic</t>
  </si>
  <si>
    <t>stale pointer in WebCore::RenderBlock::insertFloatingObject</t>
  </si>
  <si>
    <t>Security: Flash: Uninitialized stack variable while parsing an MPD file can corrupt memory</t>
  </si>
  <si>
    <t>CVE-2015-3089 M-41 Pri-1 Security_Impact-Stable Security_Severity-High Type-Bug-Security allpublic reward-3000</t>
  </si>
  <si>
    <t>CHECK failure in CHECK(!v8::internal::FLAG_enable_slow_asserts || (object-&gt;IsJSObject())) fa</t>
  </si>
  <si>
    <t>Clusterfuzz Hotlist-Merge-Review M-40 Merge-Merged OS-All Pri-2 Release-0-M40 Security_Impact-Stable Security_Severity-High Type-Bug-Security allpublic merge-merged-3.30</t>
  </si>
  <si>
    <t>use after free in WebCore::ContainerNode::firstChild / WebCore::XMLDocumentParser::insertErrorMessageBlock</t>
  </si>
  <si>
    <t>CVE-2011-2341 M-12 OS-All Pri-1 Restrict-AddIssueComment-EditIssue Security_Impact-Stable Security_Severity-High Type-Bug-Security allpublic</t>
  </si>
  <si>
    <t>Blink&gt;WebCrypto Internals&gt;Network&gt;SSL</t>
  </si>
  <si>
    <t>Memory error when importing bogus EC private key from PKCS8 into BoringSSL</t>
  </si>
  <si>
    <t>M-40 Merge-merged-2214 OS-All Pri-1 Release-1-M40 Security_Impact-Stable Security_Severity-High Stability-Memory-AddressSanitizer Type-Bug-Security allpublic</t>
  </si>
  <si>
    <t>eroman@chromium.org</t>
  </si>
  <si>
    <t>CVE-2011-3044 M-17 Merge-Merged OS-All Pri-1 Restrict-AddIssueComment-EditIssue Reward-1000 Security_Impact-Stable Security_Severity-High Stability-Memory-AddressSanitizer Type-Bug-Security allpublic</t>
  </si>
  <si>
    <t>Heap-use-after-free in WebCore::SVGStyledElement::clearHasPendingResourcesIfPossible</t>
  </si>
  <si>
    <t>Clusterfuzz M-22 OS-All Pri-1 Restrict-AddIssueComment-EditIssue Security-CodeYellow Security_Impact-Stable Security_Severity-High Stability-Memory-AddressSanitizer Type-Bug-Security WebKit-ID-93023 allpublic</t>
  </si>
  <si>
    <t>CVE-2013-6625 M-31 OS-All Release-0-M31 Security_Impact-Stable Security_Severity-High Stability-Memory-AddressSanitizer Type-Bug-Security allpublic merge-merged-1650 reward-2000</t>
  </si>
  <si>
    <t>Heap-use-after-free in WebCore::GCPrologueVisitor&lt;void WebCore::SpecialCasePrologueObjectHandler&gt;::visitDOMWrapper</t>
  </si>
  <si>
    <t>M-22 Merge-Merged OS-All Pri-1 Restrict-AddIssueComment-EditIssue Security_Impact-Stable Security_Severity-High Type-Bug-Security allpublic</t>
  </si>
  <si>
    <t>Buffer overflow in browser process while de-serializing SkBitmap  (heap overwrite)</t>
  </si>
  <si>
    <t>OS-All Pri-0 Restrict-AddIssueComment-Commit Security Security_Impact-Stable Security_Severity-High Type-Bug-Security allpublic</t>
  </si>
  <si>
    <t>Heap-use-after-free in WebCore::HTMLElement::isPresentationAttribute</t>
  </si>
  <si>
    <t>CVE-2011-3041 M-17 Merge-Merged OS-All Pri-1 Restrict-AddIssueComment-EditIssue Reward-1000 Security_Impact-Stable Security_Severity-High Stability-Memory-AddressSanitizer Type-Bug-Security allpublic</t>
  </si>
  <si>
    <t>Uptake fixes on weak node iteration patterns</t>
  </si>
  <si>
    <t>M-18 Merge-Merged OS-All Pri-1 Restrict-AddIssueComment-EditIssue Security_Impact-Stable Security_Severity-High Type-Bug-Security allpublic pwnium</t>
  </si>
  <si>
    <t>ZDI-CAN-1021: Apple Safari Webkit SVG Marker Remote Code Execution Vulnerability</t>
  </si>
  <si>
    <t>CVE-2011-1453 M-11 OS-All Pri-1 ReleaseBlock-Stable Restrict-AddIssueComment-EditIssue Security_Impact-Stable Security_Severity-High Type-Bug-Security ZDI-CAN-1021 allpublic</t>
  </si>
  <si>
    <t>Stale pointer in WebKit with captions</t>
  </si>
  <si>
    <t>Use-of-uninitialized-value in void v8::internal::ScavengingVisitor&lt;</t>
  </si>
  <si>
    <t>Clusterfuzz M-42 Merge-na OS-All Pri-1 Release-0-M43 ReleaseBlock-Stable Security_Impact-Stable Security_Severity-High Stability-Memory-MemorySanitizer Type-Bug-Security allpublic</t>
  </si>
  <si>
    <t>Security: sqlite bad ptr access</t>
  </si>
  <si>
    <t>Hotlist-Merge-Approved M-42 Merge-Merged-2311 OS-All Pri-1 Release-0-M42 Security_Impact-Stable Security_Severity-High Type-Bug-Security allpublic</t>
  </si>
  <si>
    <t>Merged into 469082</t>
  </si>
  <si>
    <t>tha...@chromium.org</t>
  </si>
  <si>
    <t>Use after free in OfflineAudioDestinationNode::notifyCompleteDispatch</t>
  </si>
  <si>
    <t>CVE-2011-2879 Clusterfuzz M-14 Merge-Merged Merge-Merged-835 OS-All Pri-1 Restrict-AddIssueComment-EditIssue Security_Impact-Stable Security_Severity-High Stability-Memory-AddressSanitizer Type-Bug-Security allpublic merge-merged-874</t>
  </si>
  <si>
    <t>ASSERTION FAILED: node-&gt;isMediaControlElement()</t>
  </si>
  <si>
    <t>Clusterfuzz Hotlist-Merge-Review M-40 Merge-merged-2214 OS-All Pri-1 Release-1-M40 Security_Impact-Stable Security_Severity-High Stability-Memory-AddressSanitizer Type-Bug-Security allpublic merge-merged-2272</t>
  </si>
  <si>
    <t>Blink&gt;MemoryAllocator&gt;GarbageCollection Blink&gt;Storage</t>
  </si>
  <si>
    <t>Use-after-poison in blink::callTransactionErrorCallback</t>
  </si>
  <si>
    <t>Heap-use-after-free in WebCore::InlineBox::adjustPosition</t>
  </si>
  <si>
    <t>Security: Potential use after destruction in ui/gfx/image</t>
  </si>
  <si>
    <t>M-21 OS-All Pri-1 Restrict-AddIssueComment-EditIssue Security_Impact-Stable Security_Severity-High Type-Bug-Security allpublic</t>
  </si>
  <si>
    <t>jyasskin@chromium.org</t>
  </si>
  <si>
    <t>Use after free when encountering history.back() call during Page::goToItem execution</t>
  </si>
  <si>
    <t>M-7 OS-All Pri-1 Restrict-AddIssueComment-EditIssue Security Security_Impact-Stable Security_Severity-High Stability-Crash Type-Bug-Security allpublic bulkmove crash-Reproducible reward-500</t>
  </si>
  <si>
    <t>PWN2OWN: Bad cast in SVGViewSpec::viewTarget</t>
  </si>
  <si>
    <t>CVE-2013-0912 Merge-Merged OS-All Pri-0 Release-2 Security_Impact-Stable Security_Severity-High Type-Bug-Security allpublic</t>
  </si>
  <si>
    <t>Merged into 299993</t>
  </si>
  <si>
    <t>apjfpjio...@gmail.com</t>
  </si>
  <si>
    <t>Address bar spoofing with window.open() + 204 No Content</t>
  </si>
  <si>
    <t>CVE-2013-2916 M-30 Merge-Merged OS-All Pri-1 Release-0 Security_Impact-Stable Security_Severity-High Type-Bug-Security Via-Wizard allpublic merge-merged-1599 reward-2000</t>
  </si>
  <si>
    <t>Clusterfuzz M-18 Merge-Merged OS-All Pri-1 Restrict-AddIssueComment-EditIssue Security_Impact-Stable Security_Severity-High Stability-Memory-AddressSanitizer Type-Bug-Security allpublic</t>
  </si>
  <si>
    <t>Blink&gt;WebCrypto</t>
  </si>
  <si>
    <t>Use-of-uninitialized-value in content::webcrypto::platform::CreatePublicKeyAlgorithm</t>
  </si>
  <si>
    <t>Clusterfuzz M-36 M-37 Merge-na Nag OS-All Pri-1 Release-0-M38 Security_Impact-Stable Security_Severity-High Stability-Memory-MemorySanitizer Type-Bug-Security allpublic</t>
  </si>
  <si>
    <t>Potential heap overflow in WebRTC's VCMEncodedFrame</t>
  </si>
  <si>
    <t>M-43 M-44 Merge-Merged OS-All Pri-1 Release-0-M44 Security_Impact-Stable Security_Severity-High Type-Bug-Security allpublic</t>
  </si>
  <si>
    <t>ASSERTION FAILED: !object || object-&gt;isBox() UNKNOWN in WebCore::RenderSliderContainer::layout</t>
  </si>
  <si>
    <t>Clusterfuzz M-26 Merge-Merged OS-All Pri-1 Release-0 Security_Impact-Stable Security_Severity-High Stability-Memory-AddressSanitizer Type-Bug-Security WebKit-ID-111458-RESOLVED WebKit-Rev-144790 allpublic release-private</t>
  </si>
  <si>
    <t>Heap-use-after-free in WebCore::RenderLayer::enclosingFilterLayer</t>
  </si>
  <si>
    <t>CVE-2013-0948 Clusterfuzz M-21 Merge-Merged OS-All Pri-1 Restrict-AddIssueComment-EditIssue Security-CodeYellow Security_Impact-Stable Security_Severity-High Stability-Memory-AddressSanitizer Type-Bug-Security allpublic</t>
  </si>
  <si>
    <t>Out of bounds array access in GPU process</t>
  </si>
  <si>
    <t>Merge-Merged Merge-Merged-1271 OS-All Pri-1 Security_Impact-Stable Security_Severity-High Type-Bug-Security allpublic merge-merged-1229</t>
  </si>
  <si>
    <t>apatrick@chromium.org</t>
  </si>
  <si>
    <t>Heap-use-after-free in WebCore::Document::fullScreenChangeDelayTimerFired</t>
  </si>
  <si>
    <t>ASSERTION FAILED: npObject UNKNOWN in content::NPObjectProxy::NPNEvaluate</t>
  </si>
  <si>
    <t>Clusterfuzz M-31 Nag OS-All Pri-1 Security_Impact-Stable Security_Severity-High Stability-Memory-AddressSanitizer Type-Bug-Security allpublic</t>
  </si>
  <si>
    <t>Heap-use-after-free in WebCore::CompositeEditCommand::breakOutOfEmptyListItem</t>
  </si>
  <si>
    <t>CVE-2012-3623 Clusterfuzz M-20 Merge-Merged OS-All Pri-1 Security_Impact-Stable Security_Severity-High Stability-Memory-AddressSanitizer Type-Bug-Security allpublic</t>
  </si>
  <si>
    <t>Security: Blink inadequately whitelists child frames by name in access checks</t>
  </si>
  <si>
    <t>M-41 Nag OS-All Pri-1 Release-0-M41 Security_Impact-Stable Security_Severity-High Type-Bug-Security allpublic merge-merged-2272</t>
  </si>
  <si>
    <t>verwa...@chromium.org</t>
  </si>
  <si>
    <t>Heap-double-free in j2k_read_ppm_v3</t>
  </si>
  <si>
    <t>Hotlist-Merge-Review M-42 Merge-Merged-2311 Nag OS-All Pri-1 Release-0-M42 Security_Impact-Stable Security_Severity-High Stability-Memory-AddressSanitizer Type-Bug-Security Via-Wizard allpublic reward-2000 reward-inprocess</t>
  </si>
  <si>
    <t>Heap-buffer-overflow in WebCore::OscillatorNode::process</t>
  </si>
  <si>
    <t>CVE-2013-0879 M-25 Merge-Merged Pri-0 Release-0 Reward-1000 Security_Impact-Stable Security_Severity-High Type-Bug-Security allpublic</t>
  </si>
  <si>
    <t>UI&gt;Browser&gt;PrintPreview</t>
  </si>
  <si>
    <t>Security: Heap-use-after-free in PrintPreviewHandler::HandleGetPreview</t>
  </si>
  <si>
    <t>CVE-2017-5058 M-57 M-58 OS-Windows Pri-2 Release-0-M58 Security_Impact-Stable Security_Severity-High TE-NeedsTriageFromMTV Type-Bug-Security allpublic merge-merged-2987 merge-merged-3029 reward-2000 reward-inprocess</t>
  </si>
  <si>
    <t>Freed scrollbar used in RenderScrollbarPart::imageChanged [not related to previous stale m_owner issues]</t>
  </si>
  <si>
    <t>UI&gt;Browser&gt;FullScreen UI&gt;Browser&gt;Omnibox</t>
  </si>
  <si>
    <t>Chrome for Android - Quickly entering and exiting fullscreen allows for URL Spoofing</t>
  </si>
  <si>
    <t>CVE-2016-5187 M-53 OS-Android Pri-1 Release-0-M54 Reward-1000 Security_Impact-Stable Security_Severity-High Type-Bug-Security allpublic merge-merged-2840 reward-inprocess</t>
  </si>
  <si>
    <t>luan.her...@hotmail.com</t>
  </si>
  <si>
    <t>Security: Flash Camera.copyToByteArray() memory corruption</t>
  </si>
  <si>
    <t>CVE-2014-0582 M-38 M-39 M-40 Merge-na Nag Pri-1 Release-NA Security_Impact-Stable Security_Severity-High Type-Bug-Security allpublic reward-ineligible</t>
  </si>
  <si>
    <t>torop...@gmail.com</t>
  </si>
  <si>
    <t>Security: GPU process BufferManager double-reads</t>
  </si>
  <si>
    <t>M-51 Merge-na OS-All Pri-1 Release-0-M51 Security_Impact-Stable Security_Severity-High Type-Bug-Security allpublic</t>
  </si>
  <si>
    <t>Blink&gt;Image Internals&gt;Skia</t>
  </si>
  <si>
    <t>Crash in Init</t>
  </si>
  <si>
    <t>Clusterfuzz M-48 M-49 Merge-na Nag OS-Linux Pri-1 Release-NA Reproducible Security_Impact-Stable Security_Severity-High Stability-Memory-AddressSanitizer Type-Bug-Security allpublic</t>
  </si>
  <si>
    <t>Security: Universal XSS using IDBKeyRange static methods</t>
  </si>
  <si>
    <t>CVE-2015-1268 Hotlist-Merge-Approved Hotlist-Merge-Review M-43 M-44 Merge-Merged-2403 Merge-merged-2357 OS-All Pri-1 Release-4-M43 Security_Impact-Stable Security_Severity-High Type-Bug-Security allpublic reward-7500 reward-inprocess</t>
  </si>
  <si>
    <t>Heap-use-after-free in opj_read_from_memory</t>
  </si>
  <si>
    <t>Clusterfuzz M-36 Merge-na OS-All Release-0-M36 Security_Impact-Stable Security_Severity-High Stability-Memory-AddressSanitizer Type-Bug-Security allpublic</t>
  </si>
  <si>
    <t>Heap-use-after-free in content::WebMediaPlayerImpl::paint</t>
  </si>
  <si>
    <t>CVE-2013-2903 M-29 Merge-Merged OS-All Pri-1 Release-0 Reward-1000 Security_Impact-Stable Security_Severity-High Stability-Memory-AddressSanitizer Type-Bug-Security allpublic merge-Merged-1547</t>
  </si>
  <si>
    <t>chrome!std::_Tree&lt;std::_Tmap_traits&lt;tracked_objects::Locationtracked_objects::Births *std::less&lt;tracked_objects::Location&gt;std::allocator&lt;std::pair&lt;tracked_objects::Location const tracked_objects::Births *&gt; &gt;0&gt; &gt;::find+15 - crash</t>
  </si>
  <si>
    <t>M-22 Merge-Merged Merge-Merged-1271 OS-All Pri-1 Security_Impact-Stable Security_Severity-High Type-Bug-Security allpublic merge-merged-1229 reward-2000</t>
  </si>
  <si>
    <t>Heap-use-after-free in blink::TextFieldInputType::handleKeydownEventForSpinButton</t>
  </si>
  <si>
    <t>Clusterfuzz External-Fuzzer-Contribution M-41 Merge-Merged-2311 OS-All Pri-1 Release-2-M41 Security_Impact-Stable Security_Severity-High Stability-Memory-AddressSanitizer Type-Bug-Security allpublic merge-merged-2272 reward-1500</t>
  </si>
  <si>
    <t>Clusterfuzz Hotlist-SyzyASAN M-24 Merge-Merged OS-All Pri-1 Release-0 Security_Impact-Stable Security_Severity-High Stability-Memory-AddressSanitizer Type-Bug-Security allpublic release-private</t>
  </si>
  <si>
    <t>Stale continuation flow pointer for ContinuationOutlineTableMap</t>
  </si>
  <si>
    <t>ApprovedForMerge CVE-2011-1197 M-10 OS-All Pri-1 Restrict-AddIssueComment-EditIssue Reward-1000 Security Security_Impact-Stable Security_Severity-High Type-Bug-Security allpublic</t>
  </si>
  <si>
    <t>Heap-buffer-overflow in color_sycc_to_rgb</t>
  </si>
  <si>
    <t>Deadline-Exceeded Hotlist-Merge-Review M-46 M-47 Merge-Merged-2490 OS-All Pri-1 Release-2-M46 Reward-1000 Security_Impact-Stable Security_Severity-High Type-Bug-Security allpublic merge-merged-2526 reward-inprocess</t>
  </si>
  <si>
    <t>Merged into 497357</t>
  </si>
  <si>
    <t>Deadline-Exceeded Hotlist-Merge-Review M-46 M-47 Merge-Merged-2490 OS-All Pri-1 Release-2-M46 Security_Impact-Stable Security_Severity-High Type-Bug-Security allpublic merge-merged-2526 reward-3000 reward-inprocess</t>
  </si>
  <si>
    <t>Merged into 497355</t>
  </si>
  <si>
    <t>Blink&gt;DataTransfer</t>
  </si>
  <si>
    <t>Security: Inherited designMode and cross-window drag-n-drop allow to modify a cross-origin iframe's DOM</t>
  </si>
  <si>
    <t>M-43 Merge-na OS-All Pri-1 Release-0-M43 Security_Impact-Stable Security_Severity-High Type-Bug-Security allpublic reward-3000</t>
  </si>
  <si>
    <t>ar...@rawsec.net</t>
  </si>
  <si>
    <t>Security: terminate busy loops on page transitions</t>
  </si>
  <si>
    <t>Area-MISC M-5 OS-All Pri-3 Restrict-AddIssueComment-EditIssue Security Security_Impact-Stable Security_Severity-High Type-Bug-Security allpublic reward-topanel</t>
  </si>
  <si>
    <t>Security bug: something very wrong with same-origin checks</t>
  </si>
  <si>
    <t>Heap-use-after-free in xsltParseGlobalVariable</t>
  </si>
  <si>
    <t>CVE-2011-3966 M-17 Merge-Merged OS-All Pri-1 Restrict-AddIssueComment-EditIssue Reward-1000 Security_Impact-Stable Security_Severity-High Stability-Memory-AddressSanitizer Type-Bug-Security allpublic merge-merged-963</t>
  </si>
  <si>
    <t>CrOS: Vulnerability reported in sys-kernel/chromeos-kernel-3_18</t>
  </si>
  <si>
    <t>M-56 Merge-Rejected-57 OS-Chrome Pri-1 Security_Impact-Stable Security_Severity-High Type-Bug-Security VerifyIn-60 Vomit allpublic</t>
  </si>
  <si>
    <t>Heap-use-after-free in matroska_read_seek</t>
  </si>
  <si>
    <t>CVE-2014-7933 Merge-Merged Nag OS-Linux Pri-1 Release-0-M40 Security_Impact-Stable Security_Severity-High Stability-Memory-AddressSanitizer Type-Bug-Security Via-Wizard allpublic reward-2000</t>
  </si>
  <si>
    <t>Clusterfuzz Hotlist-Merge-Review M-44 M-45 Merge-Merged-2454 Nag OS-All Pri-1 Release-0-M45 ReleaseBlock-Stable Security_Impact-Stable Security_Severity-High Stability-Memory-AddressSanitizer Type-Bug-Security allpublic</t>
  </si>
  <si>
    <t>Merged into 502794</t>
  </si>
  <si>
    <t>Heap-use-after-free in content::BufferedResourceLoader::Stop</t>
  </si>
  <si>
    <t>Clusterfuzz M-39 Nag OS-All Pri-1 Security_Impact-Stable Security_Severity-High Stability-Memory-AddressSanitizer Type-Bug-Security allpublic</t>
  </si>
  <si>
    <t>Make IOBuffer IOBufferWithSize and ShrinkableIOBufferWithSize resilient against truncation.</t>
  </si>
  <si>
    <t>Hotlist-Merge-Review M-43 M-44 Merge-Merged-2403 OS-All Pri-1 Release-0-M44 Security_Impact-Stable Security_Severity-High Type-Bug-Security allpublic</t>
  </si>
  <si>
    <t>Heap-use-after-free in WebCore::FrameView::forceLayoutParentViewIfNeeded</t>
  </si>
  <si>
    <t>CVE-2011-3969 M-17 Merge-Merged OS-All Pri-1 Restrict-AddIssueComment-EditIssue Reward-1000 Security_Impact-Stable Security_Severity-High Stability-Memory-AddressSanitizer Type-Bug-Security allpublic merge-merged-963</t>
  </si>
  <si>
    <t>ANGLE shader compiler: struct size overflow</t>
  </si>
  <si>
    <t>Audit-IPC M-28 Merge-Merged OS-All Pri-1 Release-0 Security-Code28 Security_Impact-Stable Security_Severity-High Type-Bug-Security allpublic</t>
  </si>
  <si>
    <t>Heap-buffer-overflow in CPDF_TrueTypeFont::LoadGlyphMap</t>
  </si>
  <si>
    <t>Heap-use-after-free in WebCore::RenderLayer::addChild</t>
  </si>
  <si>
    <t>CVE-2011-3068 M-18 Merge-Merged OS-All Pri-1 Restrict-AddIssueComment-EditIssue Reward-1000 Security_Impact-Stable Security_Severity-High Stability-Memory-AddressSanitizer Type-Bug-Security allpublic</t>
  </si>
  <si>
    <t>CVE-2013-6655 Deadline-Exceeded M-32 M-33 Nag OS-All Pri-1 Release-0-M33 ReleaseBlock-Stable Security_Impact-Stable Security_Severity-High Stability-Memory-AddressSanitizer Type-Bug-Security allpublic reward-3000</t>
  </si>
  <si>
    <t>Security: UAF with namespace nodes in XPointer ranges</t>
  </si>
  <si>
    <t>CVE-2016-4658 Deadline-Exceeded M-53 OS-Android OS-Chrome OS-Linux OS-Mac OS-Windows Pri-1 Security_Impact-Stable Security_Severity-High Type-Bug-Security allpublic reward-3500 reward-inprocess</t>
  </si>
  <si>
    <t>Origin confusion bug in QUIC</t>
  </si>
  <si>
    <t>M-34 Merge-Merged-1847 Merge-merged-1750 OS-All Pri-0 Release-0-M34 ReleaseBlock-Stable Security_Impact-Stable Security_Severity-High Type-Bug-Security allpublic merge-merged-1750_149</t>
  </si>
  <si>
    <t>Security: Out-of-bounds write in ChunkDemuxer (SBGP box)</t>
  </si>
  <si>
    <t>CVE-2017-5049 Hotlist-Merge-Review M-56 OS-All Pri-1 Reward-1000 Security_Impact-Stable Security_Severity-High Type-Bug-Security allpublic merge-merged-2924 reward-inprocess</t>
  </si>
  <si>
    <t>Security: Out-of-bounds write in ChunkDemuxer (SGPD box)</t>
  </si>
  <si>
    <t>CVE-2017-5048 Hotlist-Merge-Review M-56 OS-All Pri-1 Reward-1000 Security_Impact-Stable Security_Severity-High Type-Bug-Security allpublic merge-merged-2924 reward-inprocess</t>
  </si>
  <si>
    <t>Out-of-bounds write in ChunkDemuxer (ELST box)</t>
  </si>
  <si>
    <t>CVE-2017-5050 Hotlist-Merge-Review M-56 OS-All Pri-1 Security_Impact-Stable Security_Severity-High Type-Bug-Security allpublic merge-merged-2924 reward-3000 reward-inprocess</t>
  </si>
  <si>
    <t>Security: Out-of-bounds write in ChunkDemuxer (TRUN box)</t>
  </si>
  <si>
    <t>CVE-2017-5037 Hotlist-Merge-Review M-56 M-57 OS-All Pri-1 Release-0-M57 Security_Impact-Stable Security_Severity-High Type-Bug-Security allpublic merge-merged-2924 reward-3000 reward-inprocess</t>
  </si>
  <si>
    <t>Heap-use-after-free in ExtensionLocalizationPeer::OnCompletedRequest</t>
  </si>
  <si>
    <t>Clusterfuzz M-44 M-45 Merge-Merged-2403 OS-All Pri-1 Release-0-M45 Security_Impact-Stable Security_Severity-High Stability-Memory-AddressSanitizer Type-Bug-Security allpublic</t>
  </si>
  <si>
    <t>Security: Use After Free in Flash AVSS.setSubscribedTags can cause memory corruption</t>
  </si>
  <si>
    <t>CVE-2015-3088 M-41 OS-All Pri-1 Security_Impact-Stable Security_Severity-High Type-Bug-Security allpublic reward-5000</t>
  </si>
  <si>
    <t>Use after free due to refcounting issue in MediaQueryMatcher::prepareEvaluator</t>
  </si>
  <si>
    <t>CVE-2011-2793 M-13 OS-All Pri-1 ReleaseBlock-Stable Restrict-AddIssueComment-EditIssue Reward-1000 Security_Impact-Stable Security_Severity-High Stability-Memory-AddressSanitizer Type-Bug-Security allpublic</t>
  </si>
  <si>
    <t>ASSERTION FAILED: !object || object-&gt;isRenderInline() UNKNOWN in WebCore::RenderTextTrackCue::initializeLayoutParameters</t>
  </si>
  <si>
    <t>Blink&gt;WebFonts</t>
  </si>
  <si>
    <t>Security: Buffer overflow in Brotli decompression</t>
  </si>
  <si>
    <t>CVE-2016-1624 M-48 Merge-Merged Merge-Merged-2623 Merge-merged-2564 OS-All Pri-0 Release-2-M48 Reward-1000 Security_Impact-Stable Security_Severity-High Stability-Crash Type-Bug-Security allpublic reward-inprocess</t>
  </si>
  <si>
    <t>luke...@yahoo.com</t>
  </si>
  <si>
    <t>Freed scrollbar in ScrollView::updateScrollbars</t>
  </si>
  <si>
    <t>Internals UI&gt;Browser&gt;TabContents</t>
  </si>
  <si>
    <t>Browser crash @ JavaScriptAppModalDialog::Cleanup()</t>
  </si>
  <si>
    <t>M-9 Pri-0 Restrict-AddIssueComment-EditIssue Security Security_Impact-Stable Security_Severity-High Stability-Crash Type-Bug-Security allpublic bulkmove reward-500</t>
  </si>
  <si>
    <t>avrelian...@gmail.com</t>
  </si>
  <si>
    <t>Heap-use-after-free in blink::DateTimeEditElement::~DateTimeEditElement</t>
  </si>
  <si>
    <t>CVE-2015-1209 Hotlist-Merge-Approved Hotlist-Merge-Review M-40 M-41 Merge-merged-2214 OS-All Pri-1 Release-1-M40 Security_Impact-Stable Security_Severity-High Stability-Memory-AddressSanitizer Type-Bug-Security allpublic reward-5000</t>
  </si>
  <si>
    <t>Heap-use-after-free in WebCore::ContainerNode::insertBefore</t>
  </si>
  <si>
    <t>CVE-2012-3628 M-19 Merge-Merged OS-All Pri-1 Restrict-AddIssueComment-EditIssue Security_Impact-Stable Security_Severity-High Type-Bug-Security allpublic</t>
  </si>
  <si>
    <t>Heap-use-after-free in WebCore::SVGAnimateMotionElement::updateAnimationPath</t>
  </si>
  <si>
    <t>CVE-2013-0905 M-25 Merge-Merged OS-All Pri-1 Release-1 Security_Impact-Stable Security_Severity-High Stability-Memory-AddressSanitizer Type-Bug-Security allpublic reward-ineligible</t>
  </si>
  <si>
    <t>Internals&gt;Skia Internals&gt;Skia&gt;Compositing</t>
  </si>
  <si>
    <t>Crash inside SuperBlitter::blitH</t>
  </si>
  <si>
    <t>Clusterfuzz M-53 OS-Linux Pri-1 Release-0-M54 Reproducible Security_Impact-Stable Security_Severity-High Stability-Libfuzzer Stability-Memory-AddressSanitizer Type-Bug-Security allpublic merge-merged-m54</t>
  </si>
  <si>
    <t>Heap-buffer-overflow in ff_mov_read_stsd_entries</t>
  </si>
  <si>
    <t>CVE-2015-1206 Hotlist-Merge-Review M-40 M-41 Merge-merged-2214 OS-All Pri-1 Release-1-M40 Security_Impact-Stable Security_Severity-High Type-Bug-Security Via-Wizard allpublic merge-merged-2272 reward-5000</t>
  </si>
  <si>
    <t>Memory corruption in accessing floatptr of a textarea</t>
  </si>
  <si>
    <t>Security: UAF in WebCore::SecurityOrigin::databaseIdentifier()</t>
  </si>
  <si>
    <t>CVE-2013-0880 M-25 Merge-Merged Pri-0 Release-0 Security_Impact-Stable Security_Severity-High Type-Bug-Security WebKit-ID-79013-RESOLVED WebKit-Rev-141057 allpublic reward-1500</t>
  </si>
  <si>
    <t>Stale pointers in CSSOM - 2</t>
  </si>
  <si>
    <t>ASSERTION FAILED: !m_deletionHasBegun</t>
  </si>
  <si>
    <t>Heap-use-after-free in WebCore::DocumentV8Internal::getElementByIdMethodCallbackForMainWorld</t>
  </si>
  <si>
    <t>CVE-2014-3169 M-37 Merge-Merged Merge-merged-2062 OS-Linux Pri-1 Release-0-M37 Security_Impact-Stable Security_Severity-High Stability-Memory-AddressSanitizer Type-Bug-Security Via-Wizard allpublic reward-2000</t>
  </si>
  <si>
    <t>Heap-use-after-free in WebCore::canMergeLists</t>
  </si>
  <si>
    <t>CVE-2013-2926 M-31 Merge-Merged OS-All Pri-1 Release-1-M30 Security_Impact-Stable Security_Severity-High Stability-Memory-AddressSanitizer Type-Bug-Security allpublic merge-merged-1599 merge-merged-1650 reward-2000</t>
  </si>
  <si>
    <t>Security: CVE-2015-3288</t>
  </si>
  <si>
    <t>M-56 OS-Linux Pri-1 Security_Impact-Stable Security_Severity-High Type-Bug-Security allpublic merge-merged-chromeos-3.10 merge-merged-chromeos-3.14 merge-merged-chromeos-3.18 merge-merged-chromeos-3.8 merge-merged-release-R56-9000.B-chromeos-3.10 merge-merged-release-R56-9000.B-chromeos-3.14 merge-merged-release-R56-9000.B-chromeos-3.18 merge-merged-release-R56-9000.B-chromeos-3.8</t>
  </si>
  <si>
    <t>groeck@chromium.org</t>
  </si>
  <si>
    <t>Use after free of m_frame in FrameLoader::loadWithDocumentLoader</t>
  </si>
  <si>
    <t>M-7 OS-All Pri-1 ReleaseBlock-Stable Restrict-AddIssueComment-EditIssue Security Security_Impact-Stable Security_Severity-High Type-Bug-Security allpublic reward-500</t>
  </si>
  <si>
    <t>gundl...@gmail.com</t>
  </si>
  <si>
    <t>Security: use-after-free vulnerability in flash player</t>
  </si>
  <si>
    <t>M-51 Pri-1 Security_Impact-Stable Security_Severity-High Type-Bug-Security allpublic reward-3000 reward-inprocess</t>
  </si>
  <si>
    <t>Heap-use-after-free in blink::TreeScopeEventContext::ensureEventPath</t>
  </si>
  <si>
    <t>CVE-2014-7930 M-40 Merge-merged-2214 Pri-1 Release-0-M40 Security_Impact-Stable Security_Severity-High Stability-Memory-AddressSanitizer Type-Bug-Security allpublic reward-3000</t>
  </si>
  <si>
    <t>Heap-use-after-free in blink::VectorMath::vadd</t>
  </si>
  <si>
    <t>Clusterfuzz OS-All Pri-1 Release-0-M41 Security_Impact-Stable Security_Severity-High Stability-Memory-AddressSanitizer Type-Bug-Security allpublic</t>
  </si>
  <si>
    <t>Internals&gt;Views Internals&gt;Views&gt;Desktop</t>
  </si>
  <si>
    <t>Heap-use-after-free in views::X11WholeScreenMoveLoop::RunMoveLoop</t>
  </si>
  <si>
    <t>Clusterfuzz Hotlist-Merge-Review M-40 Merge-merged-2214 OS-All Pri-1 Release-1-M40 Security_Impact-Stable Security_Severity-High Stability-Memory-AddressSanitizer Type-Bug-Security allpublic</t>
  </si>
  <si>
    <t>HTML5 Workers run outside of the sandbox</t>
  </si>
  <si>
    <t>M-7 OS-Linux Pri-1 ReleaseBlock-Stable Restrict-AddIssueComment-EditIssue Security Security_Impact-Stable Security_Severity-High Type-Bug-Security allpublic</t>
  </si>
  <si>
    <t>Pwnium 4: v8 OOB read/write with __defineGetter__ and bytesLength</t>
  </si>
  <si>
    <t>CVE-2014-1705 OS-All Release-3-M33 Security_Impact-Stable Security_Severity-High Type-Bug-Security ZDI-CAN-2233 allpublic</t>
  </si>
  <si>
    <t>Negative-size-param in content::AppCacheUpdateJob::OnDestructionImminent</t>
  </si>
  <si>
    <t>Use-after-free in WebCore::RootInlineBox::closestLeafChildForPoint</t>
  </si>
  <si>
    <t>Clusterfuzz External-Fuzzer-Contribution Hotlist-SyzyASAN M-34 Merge-na OS-All Pri-1 Release-0-M34 Reward-1000 Security_Impact-Stable Security_Severity-High Type-Bug-Security allpublic reward-inprocess</t>
  </si>
  <si>
    <t>Heap-use-after-free in WebCore::SQLiteStatement::prepare</t>
  </si>
  <si>
    <t>Clusterfuzz M-28 OS-All Pri-1 Security_Impact-Stable Security_Severity-High Stability-Memory-AddressSanitizer Type-Bug-Security allpublic</t>
  </si>
  <si>
    <t>Chrome cross window &amp; cross domain object access</t>
  </si>
  <si>
    <t>stefano....@gmail.com</t>
  </si>
  <si>
    <t>M-57 OS-Chrome Pri-1 Security_Impact-Stable Security_Severity-High Type-Bug-Security Vomit allpublic</t>
  </si>
  <si>
    <t>OS X memory corruption in IOAccelSurface2::set_shape_backing_length_ext from KEEN Team</t>
  </si>
  <si>
    <t>Blink&gt;Forms Blink&gt;Forms&gt;Search</t>
  </si>
  <si>
    <t>UaF in blink::SearchInputType::didSetValueByUserEdit</t>
  </si>
  <si>
    <t>Hotlist-Merge-Approved M-47 M-48 Merge-merged-2564 OS-All Pri-1 Release-0-M48 Security_Impact-Stable Security_Severity-High Stability-Memory-AddressSanitizer Type-Bug-Security allpublic</t>
  </si>
  <si>
    <t>Merged into 570427</t>
  </si>
  <si>
    <t>LegacyHTMLTreeBuilder fires DOM mutation events</t>
  </si>
  <si>
    <t>M-7 OS-All Pri-2 Restrict-AddIssueComment-EditIssue Security Security_Impact-Stable Security_Severity-High Type-Bug-Security allpublic</t>
  </si>
  <si>
    <t>Potential Flash 0-day Exploit ('flash-0day-vitaly1')</t>
  </si>
  <si>
    <t>M-43 OS-All Pri-1 Security_Impact-Stable Security_Severity-High Type-Bug-Security Via-Wizard allpublic reward-ineligible</t>
  </si>
  <si>
    <t>mr.ana...@gmail.com</t>
  </si>
  <si>
    <t>Merged into 507272</t>
  </si>
  <si>
    <t>timo.wi...@gmail.com</t>
  </si>
  <si>
    <t>[MD audit] [plugins] Sandbox Violation: Raw pointer from renderer manipulated in plugin process</t>
  </si>
  <si>
    <t>Blink UI&gt;Browser&gt;History</t>
  </si>
  <si>
    <t>Security: Location bar spoofing when using replaceState in unload event handler</t>
  </si>
  <si>
    <t>M-16 Merge-Merged OS-All Pri-1 ReleaseBlock-Stable Restrict-AddIssueComment-EditIssue Security_Impact-Stable Security_Severity-High Type-Bug-Security WebKit-ID-65895 allpublic</t>
  </si>
  <si>
    <t>mihaip@chromium.org</t>
  </si>
  <si>
    <t>Numerous Integer wraps and errant pointers within WebSockets parser</t>
  </si>
  <si>
    <t>Feature-WebSocket M-6 Pri-1 Restrict-AddIssueComment-EditIssue Security Security_Impact-Stable Security_Severity-High Type-Bug-Security allpublic reward-topanel</t>
  </si>
  <si>
    <t>CVE-2011-2351 M-12 OS-All Pri-1 ReleaseBlock-Stable Restrict-AddIssueComment-EditIssue Reward-1000 Security_Impact-Stable Security_Severity-High Type-Bug-Security allpublic</t>
  </si>
  <si>
    <t>Heap-use-after-free in WebCore::RenderTextControl::visiblePositionForIndex</t>
  </si>
  <si>
    <t>Merge http://trac.webkit.org/changeset/87959 and http://trac.webkit.org/changeset/87756 for documentloader use after frees</t>
  </si>
  <si>
    <t>CVE-2011-2353 M-12 OS-All Pri-1 ReleaseBlock-Stable Restrict-AddIssueComment-EditIssue Security_Impact-Stable Security_Severity-High Stability-Memory-AddressSanitizer Type-Bug-Security allpublic</t>
  </si>
  <si>
    <t>Security: heap-buffer-overflow in opj_tcd_update_tile_data</t>
  </si>
  <si>
    <t>CVE-2016-5152 Hotlist-Merge-Review M-53 OS-All Pri-1 Release-0-M53 Security_Impact-Stable Security_Severity-High Type-Bug-Security allpublic merge-merged-2785 reward-5000 reward-inprocess</t>
  </si>
  <si>
    <t>Heap-use-after-free in WebCore::V8AbstractEventListener::~V8AbstractEventListener</t>
  </si>
  <si>
    <t>CVE-2011-3091 Clusterfuzz M-19 Merge-Merged OS-All Pri-1 Restrict-AddIssueComment-EditIssue Security_Impact-Stable Security_Severity-High Stability-Memory-AddressSanitizer Type-Bug-Security WebKit-ID-83104-NEW allpublic</t>
  </si>
  <si>
    <t>Merged into 121734</t>
  </si>
  <si>
    <t>Memory corruption in adding text child to table column</t>
  </si>
  <si>
    <t>Security: libexpat buffer-overflow seems to affect latest version of chromium on Linux x86_64</t>
  </si>
  <si>
    <t>CVE-2015-1283 M-43 M-44 Merge-Merged-2403 Pri-1 Release-0-M44 Security_Impact-Stable Security_Severity-High Type-Bug-Security allpublic reward-500</t>
  </si>
  <si>
    <t>Use after free in ApplyStyleCommand::removeInlineStyle</t>
  </si>
  <si>
    <t>use after free due to floats not cleared (overflow)</t>
  </si>
  <si>
    <t>CVE-2011-1808 M-12 OS-All Pri-1 Restrict-AddIssueComment-EditIssue Reward-1000 Security Security_Impact-Stable Security_Severity-High Stability-Crash Type-Bug-Security allpublic bulkmove</t>
  </si>
  <si>
    <t>Use after free in scrollbars</t>
  </si>
  <si>
    <t>Security: Integer overflow in open-vcdiff results in OOB read in browser process</t>
  </si>
  <si>
    <t>Hotlist-Merge-Review M-46 Merge-Merged-2490 OS-All Pri-1 Release-0-M46 Security_Impact-Stable Security_Severity-High Type-Bug-Security allpublic</t>
  </si>
  <si>
    <t>Heap-use-after-free in get_lowest_part_y</t>
  </si>
  <si>
    <t>Clusterfuzz M-43 Merge-na OS-All Pri-1 Release-0-M43 Security_Impact-Stable Security_Severity-High Stability-Memory-AddressSanitizer Type-Bug-Security allpublic</t>
  </si>
  <si>
    <t>Security: Browser-process out-of-bounds write of up to 7 bytes in BoringSSL ssl3_read_n.</t>
  </si>
  <si>
    <t>Hotlist-Merge-Approved M-41 Merge-Merged-2311 OS-Android OS-Mac OS-Windows Pri-1 Release-0-M41 Security_Impact-Stable Security_Severity-Critical Type-Bug-Security allpublic merge-merged-2272</t>
  </si>
  <si>
    <t>Android Mac Windows</t>
  </si>
  <si>
    <t>Critical</t>
  </si>
  <si>
    <t>SpdyFramer buffer resizing bug</t>
  </si>
  <si>
    <t>M-6 OS-All Pri-1 Restrict-AddIssueComment-EditIssue SPDY Security Security_Impact-Stable Security_Severity-Critical Type-Bug-Security allpublic</t>
  </si>
  <si>
    <t>UI UI&gt;Notifications</t>
  </si>
  <si>
    <t>Crash - BalloonViewImpl::DelayedClose</t>
  </si>
  <si>
    <t>M-6 OS-All Pri-1 Restrict-AddIssueComment-EditIssue Security Security_Impact-Stable Security_Severity-Critical Stability-Crash Type-Bug-Security allpublic bulkmove</t>
  </si>
  <si>
    <t>Memory corruption in GPU command buffer</t>
  </si>
  <si>
    <t>CVE-2011-1806 M-12 OS-All Pri-0 Restrict-AddIssueComment-EditIssue Security_Impact-Stable Security_Severity-Critical Stability-Memory-AddressSanitizer Type-Bug-Security allpublic</t>
  </si>
  <si>
    <t>Merged into 82873</t>
  </si>
  <si>
    <t>Security: Chromium bug for gears fts2 security vulnerability</t>
  </si>
  <si>
    <t>Area-MISC OS-All Pri-0 Restrict-AddIssueComment-Commit Security Security_Impact-Stable Security_Severity-Critical Type-Bug-Security allpublic</t>
  </si>
  <si>
    <t>UaF outside the sandbox (Print in onunload)</t>
  </si>
  <si>
    <t>CVE-2017-5055 M-57 M-58 OS-Linux OS-Windows Pri-1 Release-1-M57 Security_Impact-Stable Security_Severity-Critical TE-Verified-57.0.2987.130 TE-Verified-58.0.3029.40 TE-Verified-M57 TE-Verified-M58 Type-Bug-Security Via-Wizard-Security allpublic merge-merged-2987 merge-merged-3029 reward-9337 reward-inprocess</t>
  </si>
  <si>
    <t>Internals Internals&gt;GPU&gt;Internals</t>
  </si>
  <si>
    <t>memory corruption in ANGLE shader translator</t>
  </si>
  <si>
    <t>CVE-2011-3873 M-14 Merge-Merged OS-Windows Pri-2 Restrict-AddIssueComment-EditIssue Security_Impact-Stable Security_Severity-Critical Type-Bug-Security allpublic reward-NA</t>
  </si>
  <si>
    <t>zhen...@gmail.com</t>
  </si>
  <si>
    <t>Pwnfest 2016 meta bug</t>
  </si>
  <si>
    <t>Hotlist-Merge-Rejected M-55 OS-Android Pri-0 Security_Impact-Stable Security_Severity-Critical Type-Bug-Security allpublic</t>
  </si>
  <si>
    <t>Security: browser crash with memmove() memory corruption upon large chunked encoding chunk size</t>
  </si>
  <si>
    <t>OS-All Pri-0 Restrict-AddIssueComment-Commit Security Security_Impact-Stable Security_Severity-Critical Type-Bug-Security allpublic</t>
  </si>
  <si>
    <t>Pwn2Own: content: scheme allows cross-origin info leaks</t>
  </si>
  <si>
    <t>M-54 Merge-Rejected-55 OS-Android OS-iOS Pri-0 Security_Impact-Stable Security_Severity-Critical Type-Bug-Security allpublic</t>
  </si>
  <si>
    <t>Android iOS</t>
  </si>
  <si>
    <t>Browser crash @ TabContents::ExpireInfoBars</t>
  </si>
  <si>
    <t>Security: Heap overflow in CertificateResourceHandler</t>
  </si>
  <si>
    <t>M-43 Merge-merged-2357 Pri-0 Release-0-M43 Security_Impact-Stable Security_Severity-Critical Type-Bug-Security allpublic</t>
  </si>
  <si>
    <t>Pwn2own (3/13/2014): VUPEN exploit.</t>
  </si>
  <si>
    <t>M-33 OS-All Pri-0 Release-3-M33 Security_Impact-Stable Security_Severity-Critical Type-Bug-Security allpublic</t>
  </si>
  <si>
    <t>Pwn2own meta bug</t>
  </si>
  <si>
    <t>M-54 Merge-Rejected-55 OS-All OS-Android Pri-0 Security_Impact-Stable Security_Severity-Critical Type-Bug-Security allpublic</t>
  </si>
  <si>
    <t>EXTERNAL-REPORT: Another Windows kernel CFF font parsing bug</t>
  </si>
  <si>
    <t>M-6 Pri-0 ReleaseBlock-Stable Restrict-AddIssueComment-EditIssue Security Security_Impact-Stable Security_Severity-Critical Type-Bug-Security allpublic</t>
  </si>
  <si>
    <t>Unsafe %GeneratorFuntion% intrinsic cannot be denied</t>
  </si>
  <si>
    <t>M-41 Release-0-M41 Security_Impact-Stable Security_Severity-Critical Type-Bug-Security allpublic merge-merged-2272</t>
  </si>
  <si>
    <t>erights@google.com</t>
  </si>
  <si>
    <t>IndexedDB with autoincrement fails on object put and crashes chrome</t>
  </si>
  <si>
    <t>CVE-2011-3961 M-17 Merge-Merged OS-All Pri-0 ReleaseBlock-Stable Restrict-AddIssueComment-EditIssue Reward-1000 Security_Impact-Stable Security_Severity-Critical Stability-Crash Type-Bug-Security allpublic merge-merged-963</t>
  </si>
  <si>
    <t>sgoert...@gmail.com</t>
  </si>
  <si>
    <t>Merged into 108871</t>
  </si>
  <si>
    <t>the...@gmail.com</t>
  </si>
  <si>
    <t>Chrome: Crash Report: SocketStreamDispatcherHost::CancelSSLRequest</t>
  </si>
  <si>
    <t>CVE-2011-3106 M-19 Merge-Merged MovedFrom-20 MovedFrom-21 OS-All Pri-0 Restrict-AddIssueComment-EditIssue Security_Impact-Stable Security_Severity-Critical Stability-Crash Type-Bug-Security allpublic merge-merged-1084 merge-merged-1132</t>
  </si>
  <si>
    <t>Merged into 122654</t>
  </si>
  <si>
    <t>tatsuhir...@gmail.com</t>
  </si>
  <si>
    <t>macd...@gmail.com</t>
  </si>
  <si>
    <t>Internals Internals&gt;Network&gt;Cache</t>
  </si>
  <si>
    <t>Chrome chrashes when pressing back button on a page that is still downloading a big gif image</t>
  </si>
  <si>
    <t>CVE-2011-3108 M-19 Merge-Merged OS-All Pri-2 Restrict-AddIssueComment-EditIssue Reward-1337 Security_Impact-Stable Security_Severity-Critical Stability-Crash Type-Bug-Security allpublic merge-merged-1084 merge-merged-1132</t>
  </si>
  <si>
    <t>efbiaiin...@gmail.com</t>
  </si>
  <si>
    <t>Master bug for Mobile Pwn2Own 2013 exploit from Pinkie Pie</t>
  </si>
  <si>
    <t>CVE-2013-6632 M-31 M-32 Merge-na Nag OS-All Pri-0 Security_Impact-Stable Security_Severity-Critical Type-Bug-Security allpublic reward-ineligible</t>
  </si>
  <si>
    <t>Security: AppCacheUpdateJob UaF</t>
  </si>
  <si>
    <t>CVE-2015-6765 Hotlist-Merge-Approved M-47 M-48 Merge-merged-2564 OS-All Pri-0 Release-0-M47 Security_Impact-Stable Security_Severity-Critical Type-Bug-Security allpublic merge-merged-2526 reward-10000</t>
  </si>
  <si>
    <t>Security: ugly crash with history.replaceState() while the window displays HTTPS interstitial</t>
  </si>
  <si>
    <t>CVE-2012-5142 M-23 Merge-Merged-1271 OS-All Pri-1 Security_Impact-Stable Security_Severity-Critical Type-Bug-Security allpublic merge-merged-1312</t>
  </si>
  <si>
    <t>Use after free in gpu::gles2::ShaderTranslator</t>
  </si>
  <si>
    <t>M-11 Pri-0 ReleaseBlock-Stable Restrict-AddIssueComment-EditIssue Security Security_Impact-Stable Security_Severity-Critical Type-Bug-Security allpublic</t>
  </si>
  <si>
    <t>Internals Internals&gt;Media&gt;Audio</t>
  </si>
  <si>
    <t>Heap-use-after-free in media::AudioOutputDevice::AudioThreadCallback::Process</t>
  </si>
  <si>
    <t>CVE-2012-5108 M-22 Merge-Merged-1271 OS-All Pri-1 ReleaseBlock-Stable Security_Impact-Stable Security_Severity-Critical Type-Bug-Security allpublic merge-merged-1229 reward-3133</t>
  </si>
  <si>
    <t>Security: UaF in MidiHost round 2 (JS -&gt; Browser code execution)</t>
  </si>
  <si>
    <t>M-48 Merge-merged-2564 OS-Linux Pri-0 Release-0-M48 ReleaseBlock-Stable Security_Impact-Stable Security_Severity-Critical Type-Bug-Security allpublic</t>
  </si>
  <si>
    <t>Services&gt;Chromoting</t>
  </si>
  <si>
    <t>Chromoting host must call CloseClipboard() with anonymous access token</t>
  </si>
  <si>
    <t>M-40 Merge-merged-2214 OS-Windows Pri-0 Release-0-M40 Security_Impact-Stable Security_Severity-Critical Type-Bug-Security allpublic</t>
  </si>
  <si>
    <t>sergeyu@chromium.org</t>
  </si>
  <si>
    <t>ANGLE buffer overflow</t>
  </si>
  <si>
    <t>M-10 Pri-0 Restrict-AddIssueComment-EditIssue Reward-1000 Security_Impact-Stable Security_Severity-Critical Type-Bug-Security allpublic</t>
  </si>
  <si>
    <t>WebGL crashes depending on uniform names</t>
  </si>
  <si>
    <t>M-10 Needs-Feedback Pri-1 ReleaseBlock-Stable Restrict-AddIssueComment-EditIssue Security_Impact-Stable Security_Severity-Critical Stability-Crash Type-Bug-Security allpublic bulkmove reward-500 reward-decline</t>
  </si>
  <si>
    <t>yuri.ko...@gmail.com</t>
  </si>
  <si>
    <t>Internals&gt;Network&gt;HTTP2 Internals&gt;Network&gt;SSL</t>
  </si>
  <si>
    <t>use-after-free on net::SSLClientSocketNSS::Core::OnSendComplete</t>
  </si>
  <si>
    <t>CVE-2013-2863 Hotlist-SyzyASAN M-27 OS-Android OS-Mac OS-Windows OS-iOS Pri-1 Release-1 Security-Code28 Security_Impact-Stable Security_Severity-Critical Stability-Memory-AddressSanitizer Type-Bug-Security allpublic merge-merged-1500</t>
  </si>
  <si>
    <t>Android Mac Windows iOS</t>
  </si>
  <si>
    <t>Merged into 232633</t>
  </si>
  <si>
    <t>wtc@chromium.org</t>
  </si>
  <si>
    <t>Internals&gt;Network&gt;Cache</t>
  </si>
  <si>
    <t>Security: use after free in memory-only disk cache</t>
  </si>
  <si>
    <t>M-49 Merge-Merged-2623 OS-All Pri-0 Release-0-M49 Security_Impact-Stable Security_Severity-Critical Type-Bug-Security allpublic</t>
  </si>
  <si>
    <t>gavinp@chromium.org</t>
  </si>
  <si>
    <t>Tracking bug for ANGLE memory corruption on Windows</t>
  </si>
  <si>
    <t>CVE-2011-2806 M-13 Merge-Merged OS-Windows Pri-0 Restrict-AddIssueComment-EditIssue Reward-1337 Security_Impact-Stable Security_Severity-Critical Type-Bug-Security allpublic</t>
  </si>
  <si>
    <t>Internals Internals&gt;Network&gt;SSL</t>
  </si>
  <si>
    <t>ThreadSanitizer reports a potential use after free in net::X509Certificate::Verify</t>
  </si>
  <si>
    <t>M-13 OS-Linux Pri-2 Restrict-AddIssueComment-EditIssue Security_Impact-Stable Security_Severity-Critical Stability-ThreadSanitizer Type-Bug-Security allpublic</t>
  </si>
  <si>
    <t>UI UI&gt;Browser&gt;Navigation UI&gt;Browser&gt;SafeBrowsing</t>
  </si>
  <si>
    <t>Heap use after free with malware blocking page</t>
  </si>
  <si>
    <t>CVE-2011-3925 M-16 Merge-Merged Merge-Merged-912 OS-All Pri-0 Restrict-AddIssueComment-EditIssue Security_Impact-Stable Security_Severity-Critical Type-Bug-Security allpublic merge-merged-963 reward-3133</t>
  </si>
  <si>
    <t>OOB write in BlobURLRequestJob::HeadersCompleted</t>
  </si>
  <si>
    <t>ApprovedForMerge CVE-2011-1807 M-11 OS-All Pri-0 Restrict-AddIssueComment-EditIssue Security_Impact-Stable Security_Severity-Critical Stability-Memory-AddressSanitizer Type-Bug-Security allpublic</t>
  </si>
  <si>
    <t>Security: TLS handshake and certificate signature forgery is possible using Bleichenbacher���s Low-Exponent Attack due to faulty ASN.1 length decoding</t>
  </si>
  <si>
    <t>M-37 M-38 Merge-Merged Pri-0 Release-1-M37 Security_Impact-Stable Security_Severity-Critical Type-Bug-Security allpublic reward-5000</t>
  </si>
  <si>
    <t>brian@briansmith.org</t>
  </si>
  <si>
    <t>pwn2own 2016: full chain</t>
  </si>
  <si>
    <t>OS-Windows Pri-0 Security_Impact-Stable Security_Severity-Critical Type-Bug allpublic</t>
  </si>
  <si>
    <t>Blink Blink&gt;Network&gt;WebSockets Blink&gt;Workers</t>
  </si>
  <si>
    <t>Security: Use-after-free in net::SocketStream::Finish</t>
  </si>
  <si>
    <t>CVE-2013-2870 M-28 Merge-Merged OS-All Pri-1 Release-0 Security_Impact-Stable Security_Severity-Critical Type-Bug-Security allpublic reward-3133</t>
  </si>
  <si>
    <t>meacer@chromium.org</t>
  </si>
  <si>
    <t>Heap-buffer-overflow in Null_Cipher</t>
  </si>
  <si>
    <t>CVE-2013-5605 Clusterfuzz M-31 Merge-Merged OS-All Pri-0 Release-0-M31 ReleaseBlock-Stable Security_Impact-Stable Security_Severity-Critical Stability-Memory-AddressSanitizer Type-Bug-Security allpublic merge-merged-1650</t>
  </si>
  <si>
    <t>Crash in third_party xdg_mime library when unable to handle long file paths</t>
  </si>
  <si>
    <t>OS-Linux Pri-2 Restrict-AddIssueComment-Commit Reward-1337 Security Security_Impact-Stable Security_Severity-Critical Type-Bug-Security allpublic</t>
  </si>
  <si>
    <t>lsatc...@gmail.com</t>
  </si>
  <si>
    <t>Security: UAF in MidiHost (Sandbox escape)</t>
  </si>
  <si>
    <t>M-48 Merge-merged-2564 OS-Chrome OS-Linux OS-Mac Pri-0 Release-2-M47 Security_Impact-Stable Security_Severity-Critical Type-Bug-Security allpublic merge-merged-2526</t>
  </si>
  <si>
    <t>Chrome Linux Mac</t>
  </si>
  <si>
    <t>EXTERNAL-REPORT: Windows kernel crash on invalid font</t>
  </si>
  <si>
    <t>OS-Windows Pri-0 Restrict-AddIssueComment-Commit Reward-1337 Security Security_Impact-Stable Security_Severity-Critical Type-Bug-Security allpublic</t>
  </si>
  <si>
    <t>cpb@google.com</t>
  </si>
  <si>
    <t>Another Windows kernel bug in the CFF font parser</t>
  </si>
  <si>
    <t>M-5 Pri-1 Restrict-AddIssueComment-EditIssue Reward-1337 Security Security_Impact-Stable Security_Severity-Critical Type-Bug-Security allpublic</t>
  </si>
  <si>
    <t>OS&gt;Systems&gt;Network</t>
  </si>
  <si>
    <t>Security: ChromeOS 1 byte write overflow in c-ares</t>
  </si>
  <si>
    <t>Hotlist-Merge-Approved M-53 OS-Chrome Pri-0 Security_Impact-Stable Security_Severity-Critical Type-Bug-Security VerifyIn-57 VerifyIn-58 VerifyIn-59 VerifyIn-60 allpublic merge-merged-release-R53-8530.B merge-merged-release-R54-8743.B</t>
  </si>
  <si>
    <t>Reproduceable crash. Changing tabs while a specific text field has focus.</t>
  </si>
  <si>
    <t>CVE-2012-2859 M-21 OS-Linux Pri-0 Restrict-AddIssueComment-EditIssue Security_Impact-Stable Security_Severity-Critical Stability-Crash Type-Bug-Security allpublic merge-merged-1180</t>
  </si>
  <si>
    <t>jwroberts@google.com</t>
  </si>
  <si>
    <t>Android content: scheme allows cross-origin data exfiltration</t>
  </si>
  <si>
    <t>CVE-2016-5196 M-54 M-55 OS-Android Pri-1 Release-2-M54 Security_Impact-Stable Security_Severity-Critical Type-Bug-Security allpublic merge-merged-2840 merge-merged-2883</t>
  </si>
  <si>
    <t>Invalid</t>
  </si>
  <si>
    <t>Placeholder bug for v8 security issues affecting Chrome 9</t>
  </si>
  <si>
    <t>M-10 Pri-0 Restrict-AddIssueComment-EditIssue Security Security_Impact-Stable Security_Severity-High Type-Bug-Security allpublic</t>
  </si>
  <si>
    <t>Started</t>
  </si>
  <si>
    <t>//services/shell/public/interfaces/*.mojom needs a security review</t>
  </si>
  <si>
    <t>OS&gt;Kernel&gt;Graphics</t>
  </si>
  <si>
    <t>Verified</t>
  </si>
  <si>
    <t>Security: Unsigned wraparound in a multiply in kbasep_vinstr_attach_client leads to a heap overflow.</t>
  </si>
  <si>
    <t>GPU-ARM M-51 OS-Android OS-Chrome Pri-1 Security_Impact-Stable Security_Severity-High Type-Bug-Security allpublic merge-merged-chromeos-3.14 merge-merged-chromeos-3.8 merge-merged-chromeos-4.4</t>
  </si>
  <si>
    <t>Security: Chrome Address Bar URL spoofing on IOS</t>
  </si>
  <si>
    <t>CVE-2016-1707 M-52 M-53 OS-iOS Pri-1 Release-0-M52 Security_Impact-Stable Security_Severity-High Team-Security-UX Type-Bug-Security allpublic merge-merged-2743 reward-3000 reward-inprocess</t>
  </si>
  <si>
    <t>xis...@gmail.com</t>
  </si>
  <si>
    <t>Internals&gt;Compositing&gt;Rasterization</t>
  </si>
  <si>
    <t>Heap-use-after-free in cc::DrawPolygon::Split</t>
  </si>
  <si>
    <t>ClusterFuzz-Verified Clusterfuzz M-51 M-52 OS-Linux Pri-1 Release-1-M52 Reproducible Security_Impact-Stable Security_Severity-High Stability-ThreadSanitizer Type-Bug-Security allpublic merge-merged-2743</t>
  </si>
  <si>
    <t>Blink UI&gt;Notifications</t>
  </si>
  <si>
    <t>Security: WebKit Bug 31886 - Notification::Notification m_presenter reuse of freed memory</t>
  </si>
  <si>
    <t>Internals&gt;Skia&gt;PDF</t>
  </si>
  <si>
    <t>Negative-size-param in sfntly::MemoryByteArray::InternalGet</t>
  </si>
  <si>
    <t>ClusterFuzz-Verified Clusterfuzz M-57 OS-Linux Pri-1 Reproducible Security_Impact-Stable Security_Severity-High Stability-Libfuzzer Stability-Memory-AddressSanitizer Type-Bug-Security allpublic</t>
  </si>
  <si>
    <t>Blink&gt;WebRTC&gt;Video</t>
  </si>
  <si>
    <t>WebRTC UsingFlexibleMode OOB memory write from picture id</t>
  </si>
  <si>
    <t>CVE-2017-5009 M-56 Merge-Merged OS-Windows Pri-1 Release-0-M56 Security_Impact-Stable Security_Severity-High Type-Bug-Security Via-Wizard-Security allpublic merge-merged-56 reward-3000 reward-inprocess</t>
  </si>
  <si>
    <t>i...@vulture.fm</t>
  </si>
  <si>
    <t>Heap-buffer-overflow in content::WriteMemory</t>
  </si>
  <si>
    <t>ClusterFuzz-Verified Clusterfuzz External-Fuzzer-Contribution M-51 M-52 M-53 OS-Linux Reproducible Security_Impact-Stable Security_Severity-High Stability-Memory-AddressSanitizer Type-Bug-Security allpublic reward-0</t>
  </si>
  <si>
    <t>Security: SEGV on unknown address in offsetHeightAttributeGetter</t>
  </si>
  <si>
    <t>CVE-2016-1612 Deadline-Exceeded M-47 M-48 Pri-1 Release-0-M48 Security_Impact-Stable Security_Severity-High Type-Bug-Security allpublic merge-merged-4.7 merge-merged-4.8 reward-3000 reward-inprocess</t>
  </si>
  <si>
    <t>Blink&gt;Compositing</t>
  </si>
  <si>
    <t>Chrome_ChromeOS: Crash Report - blink::GraphicsLayer::setContentsOpaque</t>
  </si>
  <si>
    <t>M-38 Merge-Merged OS-Chrome Pri-1 Release-0-M38 Security_Impact-Stable Security_Severity-High Stability-Crash Type-Bug-Security allpublic</t>
  </si>
  <si>
    <t>Merged into 399783</t>
  </si>
  <si>
    <t>rk...@etouch.net</t>
  </si>
  <si>
    <t>CVE-2017-5011 Hotlist-Merge-Approved M-56 OS-Windows Pri-1 Release-0-M56 Security_Impact-Stable Security_Severity-High Type-Bug-Security allpublic merge-merged-2924 reward-3000 reward-inprocess</t>
  </si>
  <si>
    <t>SkMask::computeImageSize() integer overflow</t>
  </si>
  <si>
    <t>Area-MISC BTW Mstone-2.0 OS-All Pri-0 Restrict-AddIssueComment-Commit Security Security_Impact-Stable Security_Severity-High Type-Bug-Security allpublic</t>
  </si>
  <si>
    <t>Heap-use-after-free in GURL::GURL</t>
  </si>
  <si>
    <t>ClusterFuzz-Verified Clusterfuzz M-54 OS-Linux Release-0-M54 Reproducible Security_Impact-Stable Security_Severity-High Stability-ThreadSanitizer Type-Bug-Security allpublic</t>
  </si>
  <si>
    <t>Security: Pwnium 4 GeoHot bug: cros-disks accepts labels has path traversal issues.</t>
  </si>
  <si>
    <t>CVE-2014-1707 Iteration-101 M-33 M-34 M-35 OS-Chrome Pri-0 Release-3-M33 Security_Impact-Stable Security_Severity-High Type-Bug-Security allpublic</t>
  </si>
  <si>
    <t>Pwnium: Extension system allows compromised renderer access to crosh</t>
  </si>
  <si>
    <t>CVE-2014-1709 M-34 Merge-Merged-1847 OS-All OS-Chrome Pri-1 Release-0-M34 Security_Impact-Stable Security_Severity-High Type-Bug-Security allpublic</t>
  </si>
  <si>
    <t>All Chrome</t>
  </si>
  <si>
    <t>Pwnium bug: GPU memory corruption</t>
  </si>
  <si>
    <t>M-17 Merge-Merged Pri-0 Restrict-AddIssueComment-EditIssue Security_Impact-Stable Security_Severity-High Type-Bug-Security allpublic pwnium</t>
  </si>
  <si>
    <t>Internals Platform&gt;DevTools</t>
  </si>
  <si>
    <t>use after free in console.profile calls.</t>
  </si>
  <si>
    <t>M-6 Pri-1 Restrict-AddIssueComment-EditIssue Security Security_Impact-Stable Security_Severity-High Type-Bug-Security allpublic reward-500</t>
  </si>
  <si>
    <t>Security: Skia memory corruption with x&lt;0 in SkA*_Blitter::blitH</t>
  </si>
  <si>
    <t>M-4 OS-All Pri-0 ReleaseBlock-Stable Restrict-AddIssueComment-EditIssue Security Security_Impact-Stable Security_Severity-High Type-Bug-Security allpublic reward-topanel</t>
  </si>
  <si>
    <t>Linux sandbox bypass in file_util_posix.cc CopyDirectory()</t>
  </si>
  <si>
    <t>Audit-IPC CVE-2013-0895 M-25 Merge-Merged OS-Android OS-Chrome OS-Linux OS-Mac OS-iOS Pri-1 Release-0 Security_Impact-Stable Security_Severity-High Type-Bug-Security allpublic merge-Merged-1364</t>
  </si>
  <si>
    <t>Android Chrome Linux Mac iOS</t>
  </si>
  <si>
    <t>OOB write in v8 due to elements kind confusion</t>
  </si>
  <si>
    <t>CVE-2015-1242 M-41 M-42 OS-All Pri-1 Release-2-M41 Security_Impact-Stable Security_Severity-High Stability-Crash Type-Bug-Security allpublic merge-merged-4.1 merge-merged-4.2 reward-500</t>
  </si>
  <si>
    <t>fc...@onshape.com</t>
  </si>
  <si>
    <t>SVG support is crashy in 2.0.157.2</t>
  </si>
  <si>
    <t>Crash-2.0.166.1 Crash-2.0.168.0 Crash-2.0.169.0 Crash-2.0.169.1 Crash-2.0.170.0 Mstone-2.1 OS-All Pri-1 Restrict-AddIssueComment-Commit Security Security_Impact-Stable Security_Severity-High Type-Bug-Security allpublic</t>
  </si>
  <si>
    <t>ClusterFuzz-Verified Clusterfuzz Hotlist-Merge-Review M-53 OS-Linux Pri-1 Release-0-M54 Reproducible Security_Impact-Stable Security_Severity-High Stability-Memory-AddressSanitizer Type-Bug-Security allpublic merge-merged-2840</t>
  </si>
  <si>
    <t>Attempting free in buffer_replace</t>
  </si>
  <si>
    <t>ClusterFuzz-Verified Clusterfuzz M-54 M-55 OS-All Pri-1 Release-0-M55 Reproducible Security_Impact-Stable Security_Severity-High Stability-Libfuzzer Stability-Memory-AddressSanitizer Type-Bug-Security allpublic merge-merged-2883</t>
  </si>
  <si>
    <t>Security: UAF in O3D</t>
  </si>
  <si>
    <t>CVE-2013-2833 M-26 M-27 Merge-Merged Mstone-26 OS-Chrome Pri-0 Security_Impact-Stable Security_Severity-High Type-Bug-Security VerifyIn-31 VerifyIn-32 allpublic</t>
  </si>
  <si>
    <t>Security: Flash does not lose focus which allows things like key logging</t>
  </si>
  <si>
    <t>Internals-Plugins M-4 OS-Mac Pri-1 ReleaseBlock-Beta Restrict-AddIssueComment-EditIssue Security Security_Impact-Stable Security_Severity-High Type-Bug-Security allpublic reward-topanel</t>
  </si>
  <si>
    <t>jonat...@hogervorst.info</t>
  </si>
  <si>
    <t>Security: Pointerlock browser UI hijack</t>
  </si>
  <si>
    <t>Hotlist-Merge-Approved M-46 Merge-Merged-2490 OS-Windows Pri-1 Release-0-M46 Security_Impact-Stable Security_Severity-High Team-Security-UX Type-Bug-Security allpublic reward-0</t>
  </si>
  <si>
    <t>misiu...@gmail.com</t>
  </si>
  <si>
    <t>Enterprise Internals&gt;Plugins&gt;Flash</t>
  </si>
  <si>
    <t>MSI version of Chrome 46.0.2490.71 m does NOT contain Flash 19.0.0.226 but still the vulnerable 19.0.0.207</t>
  </si>
  <si>
    <t>OS-Windows Pri-2 Security_Impact-Stable Security_Severity-High TE-NeedsFurtherTriage Type-Bug Via-Wizard</t>
  </si>
  <si>
    <t>harrywes...@gmail.com</t>
  </si>
  <si>
    <t>Heap-use-after-free in content::WebRTCIdentityServiceHost::OnRequestIdentity</t>
  </si>
  <si>
    <t>Clusterfuzz M-32 Merge-Merged-1700 OS-All Pri-1 Release-0-M32 Security_Impact-Stable Security_Severity-High Stability-Memory-AddressSanitizer Stability-ThreadSanitizer Type-Bug-Security allpublic</t>
  </si>
  <si>
    <t>Security: Local Priv Esc - pppd malformed config file could lead to code execution in suid binary</t>
  </si>
  <si>
    <t>CVE-2014-3158 M-37 OS-Chrome Pri-2 Security_Impact-Stable Security_Severity-High Type-Bug-Security VerifyIn-40 allpublic</t>
  </si>
  <si>
    <t>leecam@chromium.org</t>
  </si>
  <si>
    <t>Heap-use-after-free in blink::RenderBox::pixelSnappedClientHeight</t>
  </si>
  <si>
    <t>CVE-2014-3178 Clusterfuzz External-Fuzzer-Contribution M-37 Merge-merged-2062 Merge-merged-2125 OS-All Pri-1 Release-3-M37 Security_Impact-Stable Security_Severity-High Stability-Memory-AddressSanitizer Type-Bug-Security allpublic reward-2000</t>
  </si>
  <si>
    <t>Internals&gt;Sandbox&gt;SiteIsolation UI&gt;Browser&gt;Navigation</t>
  </si>
  <si>
    <t>Security: Can navigate to attacker-created blob/filesystem URLs in chrome-extension process</t>
  </si>
  <si>
    <t>M-55 OS-Chrome OS-Linux OS-Mac OS-Windows Pri-1 Release-0-M55 Security_Impact-Stable Security_Severity-High Type-Bug-Security allpublic merge-merged-2883</t>
  </si>
  <si>
    <t>Security: heap-buffer-overflow in opj_tcd_init_tile</t>
  </si>
  <si>
    <t>CVE-2016-5139 ClusterFuzz-Verified M-53 OS-Android OS-Chrome OS-Linux OS-Mac OS-Windows Pri-1 Release-1-M52 Security_Impact-Stable Security_Severity-High Type-Bug-Security allpublic merge-merged-2743 merge-merged-2785 reward-3000 reward-inprocess</t>
  </si>
  <si>
    <t>Vulnerability reported in dev-libs/libxml2</t>
  </si>
  <si>
    <t>Deadline-Exceeded M-50 M-51 Merge-na OS-Chrome Pri-1 Release-NA Security_Impact-Stable Security_Severity-High Type-Bug-Security Vomit allpublic</t>
  </si>
  <si>
    <t>Security: Crash when opening a corrupted GIF image</t>
  </si>
  <si>
    <t>Ill in blink::PropertyRegistration::registerProperty</t>
  </si>
  <si>
    <t>ClusterFuzz-Verified Clusterfuzz M-57 OS-All OS-Mac Pri-1 Reproducible Security_Impact-Stable Security_Severity-High Stability-Crash Type-Bug-Security Update-Weekly allpublic</t>
  </si>
  <si>
    <t>All Mac</t>
  </si>
  <si>
    <t>Merged into 702695</t>
  </si>
  <si>
    <t>yutak@chromium.org</t>
  </si>
  <si>
    <t>Use-of-uninitialized-value in walk_convex_edges</t>
  </si>
  <si>
    <t>ClusterFuzz-Verified Clusterfuzz M-51 OS-All Pri-1 Reproducible Security_Impact-Stable Security_Severity-High Stability-Crash Stability-Libfuzzer Stability-Memory-MemorySanitizer Type-Bug-Security allpublic</t>
  </si>
  <si>
    <t>Merged into 616623</t>
  </si>
  <si>
    <t>Vulnerability reported in dev-libs/openssl</t>
  </si>
  <si>
    <t>Deadline-Exceeded M-49 OS-Chrome Pri-1 Security_Impact-Stable Security_Severity-High Type-Bug-Security Vomit allpublic merge-merged-release-R49-7834.B</t>
  </si>
  <si>
    <t>Security: UNKNOWN in v8::internal::GlobalHandles::Node::Release</t>
  </si>
  <si>
    <t>CVE-2016-5213 M-55 OS-All Pri-1 Release-0-M55 Security_Impact-Stable Security_Severity-High Type-Bug-Security allpublic reward-500 reward-inprocess</t>
  </si>
  <si>
    <t>Renderer crash for a multipart page</t>
  </si>
  <si>
    <t>Security: WebKit Bug 32316 - WebCore::RenderObject::arenaDelete ExecAV@??? (292164e5b2ee939ff3ddf062439c2a3e)</t>
  </si>
  <si>
    <t>Crash in PDF form event handling when deleting page from underneath self</t>
  </si>
  <si>
    <t>CVE-2015-1805 Linux kernel: pipe: iovec overrun leading to memory corruption</t>
  </si>
  <si>
    <t>Hotlist-Merge-Approved Hotlist-Merge-Review M-49 OS-Chrome Pri-1 Security_Impact-Stable Security_Severity-High Type-Bug-Security allpublic merge-merged-chromeos-3.10 merge-merged-chromeos-3.14 merge-merged-chromeos-3.8 merge-merged-release-R49-7834.B-chromeos-3.10 merge-merged-release-R49-7834.B-chromeos-3.14 merge-merged-release-R49-7834.B-chromeos-3.8 merge-merged-release-R50-7978.B-chromeos-3.10 merge-merged-release-R50-7978.B-chromeos-3.14 merge-merged-release-R50-7978.B-chromeos-3.8</t>
  </si>
  <si>
    <t>ClusterFuzz-Verified Clusterfuzz M-52 OS-Mac Pri-1 Reproducible Security_Impact-Stable Security_Severity-High Stability-Memory-AddressSanitizer Type-Bug-Security allpublic</t>
  </si>
  <si>
    <t>Blink&gt;MemoryAllocator</t>
  </si>
  <si>
    <t>Bad-cast to test_runner::WebTestDelegatetest_runner::MockColorChooser::endChooser;blink::ColorChooserUIController::~ColorChooserUIController;blink::NormalPage::sweep</t>
  </si>
  <si>
    <t>ClusterFuzz-Verified Clusterfuzz M-55 OS-Linux Pri-1 Reproducible Security_Impact-Stable Security_Severity-High Stability-UndefinedBehaviorSanitizer Type-Bug-Security allpublic</t>
  </si>
  <si>
    <t>crash with form tag</t>
  </si>
  <si>
    <t>Mstone-4.1 Pri-2 Restrict-AddIssueComment-Commit Security Security_Impact-Stable Security_Severity-High Type-Bug-Security allpublic reward-500</t>
  </si>
  <si>
    <t>Security: Extensions can spoof the list of host permissions in the permission dialog</t>
  </si>
  <si>
    <t>CVE-2014-3170 M-37 Merge-merged-2062 OS-Chrome OS-Linux Pri-1 Release-0-M37 Reward-1000 Security_Impact-Stable Security_Severity-High Type-Bug-Security VerifyIn-40 allpublic ncros-merge</t>
  </si>
  <si>
    <t>Chrome Linux</t>
  </si>
  <si>
    <t>Security: Use after free of task_struct in Mali Midgard driver.</t>
  </si>
  <si>
    <t>Bulk-Verified GPU-ARM M-51 OS-Chrome Pri-1 Security_Impact-Stable Security_Severity-High Type-Bug-Security VerifyIn-54 allpublic merge-merged-chromeos-3.14 merge-merged-chromeos-3.8 merge-merged-chromeos-4.4</t>
  </si>
  <si>
    <t>Security: Google Chrome: Privilege Escalation from Renderer Process to Browser Process</t>
  </si>
  <si>
    <t>Hotlist-Merge-Approved Hotlist-Merge-Review M-47 M-48 Merge-merged-2564 OS-Linux Pri-1 Release-2-M47 Security_Impact-Stable Security_Severity-High Type-Bug-Security allpublic merge-merged-2526</t>
  </si>
  <si>
    <t>natashenka@google.com</t>
  </si>
  <si>
    <t>Use-after-poison in virtual thunk to blink::Document::isHeapObjectAlive</t>
  </si>
  <si>
    <t>ClusterFuzz-Verified Clusterfuzz M-56 OS-Linux Pri-1 Release-0-M56 Reproducible Security_Impact-Stable Security_Severity-High Stability-Memory-AddressSanitizer Type-Bug-Security allpublic</t>
  </si>
  <si>
    <t>Heap-use-after-free in pp::MacroExpander::pushMacro</t>
  </si>
  <si>
    <t>ClusterFuzz-Verified Clusterfuzz M-56 OS-Linux Pri-1 Release-0-M56 Reproducible Security_Impact-Stable Security_Severity-High Stability-AFL Stability-Memory-AddressSanitizer Type-Bug-Security allpublic</t>
  </si>
  <si>
    <t>Crash in v8::internal::Invoke</t>
  </si>
  <si>
    <t>ClusterFuzz-Verified Clusterfuzz M-53 OS-Linux Pri-1 Reproducible Security_Impact-Stable Security_Severity-High Stability-AFL Stability-Memory-AddressSanitizer Type-Bug-Security allpublic</t>
  </si>
  <si>
    <t>ChromeHTML URI handler vulnerability</t>
  </si>
  <si>
    <t>roisaltz...@gmail.com</t>
  </si>
  <si>
    <t>Use-after-poison in blink::PersistentBase&lt;blink::DummyGCBase</t>
  </si>
  <si>
    <t>ClusterFuzz-Verified Clusterfuzz External-Fuzzer-Contribution M-54 OS-Linux Pri-2 Reproducible Security_Impact-Stable Security_Severity-High Stability-Memory-AddressSanitizer Type-Bug-Security allpublic reward-ineligible</t>
  </si>
  <si>
    <t>Update FreeType with a recent series of patches</t>
  </si>
  <si>
    <t>Hotlist-Merge-Review M-46 M-47 OS-Android OS-Chrome Pri-1 Release-0-M47 Security_Impact-Stable Security_Severity-High Type-Bug-Security VerifyIn-50 allpublic merge-merged-2503 merge-merged-2526 merge-merged-release-R46-7390.B merge-merged-release-R47-7520.B</t>
  </si>
  <si>
    <t>Merged into 534621</t>
  </si>
  <si>
    <t>tyson.w....@gmail.com</t>
  </si>
  <si>
    <t>Security: XSS in chrome://downloads</t>
  </si>
  <si>
    <t>Pri-0 Restrict-AddIssueComment-Commit Security Security_Impact-Stable Security_Severity-High Type-Bug-Security allpublic reward-topanel</t>
  </si>
  <si>
    <t>WebM Crash fix merge from M7</t>
  </si>
  <si>
    <t>M-8 Pri-0 ReleaseBlock-Stable Restrict-AddIssueComment-EditIssue Security Security_Impact-Stable Security_Severity-High Type-Bug-Security allpublic testcasenotadded</t>
  </si>
  <si>
    <t>Buffer overflow vulnerability in glibc</t>
  </si>
  <si>
    <t>Build-Toolchain M-36 OS-Chrome Pri-1 Release-0-M36 Security_Impact-Stable Security_Severity-High Type-Bug-Security allpublic</t>
  </si>
  <si>
    <t>Any web site can launch Google Talk plug-ins (either of them) by fiddling with ':' in URL syntax</t>
  </si>
  <si>
    <t>CVE-2013-2835 M-26 Merge-Merged OS-Chrome Pri-0 Security_Impact-Stable Security_Severity-High Type-Bug-Security allpublic reward-ineligible</t>
  </si>
  <si>
    <t>UA shadow DOM leak causes bad-cast to blink::HTMLSelectElement from blink::Text;blink::HTMLKeygenElement::shadowSelect;blink::HTMLKeygenElement::parseAttribute</t>
  </si>
  <si>
    <t>ClusterFuzz-Verified Clusterfuzz Hotlist-Merge-Approved M-55 OS-Linux Pri-1 Release-0-M55 Reproducible Security_Impact-Stable Security_Severity-High Stability-UndefinedBehaviorSanitizer Type-Bug-Security allpublic merge-merged-2883</t>
  </si>
  <si>
    <t>Heap-use-after-free in content::FilteringNetworkManager::Initialize</t>
  </si>
  <si>
    <t>CVE-2016-5167 Clusterfuzz M-53 OS-Linux Pri-1 Release-0-M53 Reproducible Security_Impact-Stable Security_Severity-High Stability-ThreadSanitizer Type-Bug-Security allpublic merge-merged-2785</t>
  </si>
  <si>
    <t>Bug 33266 - WebCore::InlineFlowBox::determineSpacingForFlowBoxes ReadAV@NULL (43c64e8abbda6766e5f5edbd254c2d57)</t>
  </si>
  <si>
    <t>Mstone-4.1 Pri-2 Restrict-AddIssueComment-Commit Security Security_Impact-Stable Security_Severity-High Type-Bug-Security allpublic</t>
  </si>
  <si>
    <t>Linux kernel futex() memory corruption vulnerability and exploit</t>
  </si>
  <si>
    <t>CVE-2014-3153 M-35 M-36 Merge-Merged Merge-merged-1985 OS-Chrome OS-Linux Pri-1 Security_Impact-Stable Security_Severity-High Type-Bug-Security allpublic merge-merged-1916 reward-10000 reward-inprocess</t>
  </si>
  <si>
    <t>CrOS: Vulnerability reported in net-nds/openldap</t>
  </si>
  <si>
    <t>Chromad Hotlist-Merge-Approved M-56 Merge-Approved-57 OS-Chrome Pri-1 Security_Impact-Stable Security_Severity-High Type-Bug-Security VerifyIn-60 Vomit allpublic</t>
  </si>
  <si>
    <t>Internals Internals&gt;Core</t>
  </si>
  <si>
    <t>javascript: url with a leading NULL byte can bypass cross origin protection.</t>
  </si>
  <si>
    <t>Mstone-4.1 Pri-0 ReleaseBlock-Stable Restrict-AddIssueComment-Commit Reward-1000 Security Security_Impact-Stable Security_Severity-High Type-Bug-Security allpublic</t>
  </si>
  <si>
    <t>Vulnerability reported in elfutils</t>
  </si>
  <si>
    <t>M-37 OS-Chrome Pri-1 Security_Impact-Stable Security_Severity-High Type-Bug-Security VerifyIn-40 VerifyIn-41 VerifyIn-42 Vomit allpublic</t>
  </si>
  <si>
    <t>Security: domain authorization issue in O3D</t>
  </si>
  <si>
    <t>CVE-2013-2834 M-26 Merge-Merged OS-Chrome Pri-0 Security_Impact-Stable Security_Severity-High Type-Bug-Security allpublic</t>
  </si>
  <si>
    <t>Heap-buffer-overflow in FPDFAPI_inflate_fast</t>
  </si>
  <si>
    <t>ClusterFuzz-Verified Clusterfuzz M-54 OS-Linux Pri-1 Reproducible Security_Impact-Stable Security_Severity-High Stability-Libfuzzer Stability-Memory-AddressSanitizer Type-Bug-Security allpublic</t>
  </si>
  <si>
    <t>V8Proxy::ToNativeObjectImpl  ASSERT(MaybeDOMWrapper(object));</t>
  </si>
  <si>
    <t>Area-MISC OS-All Pri-0 Restrict-AddIssueComment-Commit Security Security_Impact-Stable Security_Severity-High Type-Bug-Security allpublic</t>
  </si>
  <si>
    <t>Pwnium 4: Mali GPU driver does not mask out VM_MAYWRITE</t>
  </si>
  <si>
    <t>CVE-2014-1711 GFx M-33 M-34 M-35 Merge-Merged OS-Chrome Pri-1 Release-3-M33 Security_Impact-Stable Security_Severity-High Type-Bug-Security Via-Wizard allpublic reward-ineligible</t>
  </si>
  <si>
    <t>AsyncPixelTransfersCompletedQuery does not validate shared memory offset</t>
  </si>
  <si>
    <t>CVE-2014-1710 M-33 M-34 Merge-Merged Merge-Merged-1847 Merge-merged-1750 OS-Chrome Pri-1 Release-3-M33 Security_Impact-Stable Security_Severity-High Type-Bug-Security VerifyIn-37 Via-Wizard allpublic merge-merged-1750_149 reward-ineligible</t>
  </si>
  <si>
    <t>Blink Blink&gt;WebRTC</t>
  </si>
  <si>
    <t>[Mac] apprtc crashes when output sampling rate set to 96000 Hz</t>
  </si>
  <si>
    <t>CVE-2013-0843 M-24 Merge-Merged OS-Mac Pri-2 Release-1 Security_Impact-Stable Security_Severity-High Type-Bug-Security allpublic merge-Merged-1364 merge-merged-1312</t>
  </si>
  <si>
    <t>tnakamura@chromium.org</t>
  </si>
  <si>
    <t>Crash@ anonymous namespace'::PureCall() when navigate to previous page while speech input API fetching result text</t>
  </si>
  <si>
    <t>M-11 Pri-1 Restrict-AddIssueComment-EditIssue Security_Impact-Stable Security_Severity-Critical Stability-Crash Type-Bug-Security allpublic bulkmove html5</t>
  </si>
  <si>
    <t>vivianz@chromium.org</t>
  </si>
  <si>
    <t>Security: dump_vpd_log can be tricked into creating a file (or corrupt non-regular file)</t>
  </si>
  <si>
    <t>CVE-2014-1708 M-33 M-34 OS-Chrome Pri-0 Release-3-M33 Security_Impact-Stable Security_Severity-Critical Type-Bug-Security allpublic</t>
  </si>
  <si>
    <t>keescook@chromium.org</t>
  </si>
  <si>
    <t>Security: mesa stack scribbling thingamadoo</t>
  </si>
  <si>
    <t>CVE-2012-2864 M-21 M-22 Merge-Merged OS-Chrome PendingDev-Feedback Pri-1 Security_Impact-Stable Security_Severity-Critical Type-Bug-Security allpublic merge-merged-arc-17.2.0-pre1 reward-3133</t>
  </si>
  <si>
    <t>Browser crash in improper destruction of select file dialog (mac)</t>
  </si>
  <si>
    <t>M-6 OS-Mac Pri-1 Restrict-AddIssueComment-EditIssue Security Security_Impact-Stable Security_Severity-Critical Type-Bug-Security allpublic reward-500</t>
  </si>
  <si>
    <t>Security: Tracking bug for upstream NSS issues</t>
  </si>
  <si>
    <t>Hotlist-Merge-Approved Hotlist-Merge-Review M-46 Merge-merged-47 Nag OS-Chrome OS-Linux OS-iOS Pri-0 ReleaseBlock-Stable Security_Impact-Stable Security_Severity-Critical Type-Bug-Security VerifyIn-50 allpublic merge-merged-46 merge-merged-release-R46-7390.B merge-merged-release-R47-7520.B</t>
  </si>
  <si>
    <t>Chrome Linux iOS</t>
  </si>
  <si>
    <t>Browser crash in icu processing text from Japanese page</t>
  </si>
  <si>
    <t>Security: memory corruption with webgl on linux intel driver</t>
  </si>
  <si>
    <t>M-25 Merge-Merged OS-Chrome OS-Linux Pri-0 Release-0 Security_Impact-Stable Security_Severity-Critical Type-Bug-Security allpublic reward-3133</t>
  </si>
  <si>
    <t>Merged into 169054</t>
  </si>
  <si>
    <t>Crash when closing chrome - BalloonViewImpl::DelayedClose</t>
  </si>
  <si>
    <t>M-5 OS-Windows Pri-0 Restrict-AddIssueComment-EditIssue Reward-1337 Security Security_Impact-Stable Security_Severity-Critical Stability-Crash Type-Bug-Security allpublic bulkmove</t>
  </si>
  <si>
    <t>dogantun...@gmail.com</t>
  </si>
  <si>
    <t>Blink&gt;WebMIDI</t>
  </si>
  <si>
    <t>Web MIDI performance crashes chrome canary</t>
  </si>
  <si>
    <t>M-43 M-44 Merge-Merged-2403 Merge-merged-2357 OS-Windows Pri-0 Release-4-M43 Security_Impact-Stable Security_Severity-Critical Stability-Crash Team-Security-UX Type-Bug-Security Via-Wizard allpublic reward-2000 reward-inprocess</t>
  </si>
  <si>
    <t>j.ing...@netcologne.de</t>
  </si>
  <si>
    <t>Merged into 499279</t>
  </si>
  <si>
    <t>Internals&gt;TaskScheduler UI&gt;Browser&gt;Bookmarks UI&gt;Browser&gt;History</t>
  </si>
  <si>
    <t>Heap-use-after-free in base::WaitableEvent::TimedWaitUntil</t>
  </si>
  <si>
    <t>ClusterFuzz-Verified Clusterfuzz M-55 M-57 Merge-Rejected-57 OS-Linux Pri-0 Release-0-M57 Reproducible Security_Impact-Stable Security_Severity-Critical Stability-Memory-AddressSanitizer Type-Bug-Security allpublic</t>
  </si>
  <si>
    <t>playing Z-Type causes crash</t>
  </si>
  <si>
    <t>M-9 Pri-2 ReleaseBlock-Stable Restrict-AddIssueComment-EditIssue Security Security_Impact-Stable Security_Severity-Critical Type-Bug-Security allpublic reward-topanel testcaseadded</t>
  </si>
  <si>
    <t>daniel.w...@gmail.com</t>
  </si>
  <si>
    <t>UrlRequestContext can be deleted while a live SocketStream has a pointer to it (vtable UAF)</t>
  </si>
  <si>
    <t>CVE-2013-2870 M-28 Merge-Merged OS-All Pri-0 Release-0 Security-Code28 Security_Impact-Stable Security_Severity-Critical Type-Bug-Security allpublic reward-3133 reward-inprocess</t>
  </si>
  <si>
    <t>WontFix</t>
  </si>
  <si>
    <t>Heap-use-after-free in ProfileIOData::FromResourceContext</t>
  </si>
  <si>
    <t>Clusterfuzz M-38 Nag OS-All Pri-1 Security_Impact-Stable Security_Severity-High Stability-Memory-AddressSanitizer Type-Bug-Security allpublic</t>
  </si>
  <si>
    <t>ASSERTION FAILED: !object || object-&gt;isTable() UNKNOWN in WebCore::RenderTableCaption::insertedIntoTree</t>
  </si>
  <si>
    <t>Clusterfuzz Hotlist-Webkit M-34 Nag OS-All Pri-1 Security_Impact-Stable Security_Severity-High Stability-Memory-AddressSanitizer Type-Bug-Security allpublic</t>
  </si>
  <si>
    <t>Crash in sk_default::memset32</t>
  </si>
  <si>
    <t>Clusterfuzz M-46 OS-Linux Pri-1 Reproducible Security_Impact-Stable Security_Severity-High Stability-Memory-AddressSanitizer Type-Bug-Security allpublic</t>
  </si>
  <si>
    <t>Internals&gt;Installer</t>
  </si>
  <si>
    <t>Security: SHA-1 Malicious Chrome Update</t>
  </si>
  <si>
    <t>Security_Impact-Stable Security_Severity-High Type-Bug-Security allpublic</t>
  </si>
  <si>
    <t>eddman...@gmail.com</t>
  </si>
  <si>
    <t>Bad-cast to blink::WebGLObject from invalid vptr;blink::WebGLProgram::deleteObjectImpl;blink::WebGLSharedObject::detachContextGroup</t>
  </si>
  <si>
    <t>ClusterFuzz-Verified Clusterfuzz M-54 OS-Linux Pri-1 Reproducible Security_Impact-Stable Security_Severity-High Stability-UndefinedBehaviorSanitizer Type-Bug-Security allpublic</t>
  </si>
  <si>
    <t>Security: chrome 49 stable DateTimeEditElement UAF</t>
  </si>
  <si>
    <t>M-50 Needs-Feedback Pri-1 Security_Impact-Stable Security_Severity-High Type-Bug-Security allpublic</t>
  </si>
  <si>
    <t>loves...@gmail.com</t>
  </si>
  <si>
    <t>Heap-use-after-free in WebCore::RenderLayer::scrollTo</t>
  </si>
  <si>
    <t>Heap-buffer-overflow in android::key_value_pair_t&lt;int android::ProcessCallStack::ThreadInfo&gt;::key_</t>
  </si>
  <si>
    <t>Blink&gt;Paint</t>
  </si>
  <si>
    <t>Heap-use-after-free in blink::PaintController::commitNewDisplayItems</t>
  </si>
  <si>
    <t>Clusterfuzz M-53 OS-Linux Pri-1 Reproducible Security_Impact-Stable Security_Severity-High Stability-Memory-AddressSanitizer Type-Bug-Security allpublic</t>
  </si>
  <si>
    <t>Bad-cast to CPDFSDK_PageView from CPDFSDK_Widget;fsdk_mgr.cpp:972:27</t>
  </si>
  <si>
    <t>Clusterfuzz M-37 OS-All Pri-1 ReleaseBlock-Stable Security_Impact-Stable Security_Severity-High Type-Bug-Security allpublic merge-rejected</t>
  </si>
  <si>
    <t>Stack-use-after-return in FillRect</t>
  </si>
  <si>
    <t>Clusterfuzz M-51 OS-Linux Pri-1 Reproducible Security_Impact-Stable Security_Severity-High Stability-Memory-AddressSanitizer Type-Bug-Security allpublic</t>
  </si>
  <si>
    <t>UNKNOWN in qcms_transform_data_rgba_out_lut_sse2</t>
  </si>
  <si>
    <t>Clusterfuzz External-Fuzzer-Contribution M-42 Nag OS-All Pri-1 Security_Impact-Stable Security_Severity-High Stability-Memory-AddressSanitizer Type-Bug-Security allpublic</t>
  </si>
  <si>
    <t>Bad-cast to const PpapiMsg_PPPMessaging_HandleMessage from IPC::Message;nacl_message_scanner.cc:178:14</t>
  </si>
  <si>
    <t>Clusterfuzz M-38 OS-All Pri-1 Security_Impact-Stable Security_Severity-High Type-Bug-Security allpublic</t>
  </si>
  <si>
    <t>Use after free in CSSStyleSelector::loadPendingImages</t>
  </si>
  <si>
    <t>M-16 OS-All Pri-1 Restrict-AddIssueComment-EditIssue Security_Impact-Stable Security_Severity-High Stability-Memory-AddressSanitizer Type-Bug-Security allpublic</t>
  </si>
  <si>
    <t>Enterprise</t>
  </si>
  <si>
    <t>ChromeOS failed to apply corp User policy at sign-in resulting in multi-sign-in lock screen incorrectly showing both accounts</t>
  </si>
  <si>
    <t>M-57 OS-Chrome Pri-1 Security_Impact-Stable Security_Severity-High Type-Bug-Security</t>
  </si>
  <si>
    <t>Clusterfuzz M-46 Nag OS-All Owner-Triage Pri-1 Security_Impact-Stable Security_Severity-High Stability-Memory-AddressSanitizer Type-Bug-Security allpublic</t>
  </si>
  <si>
    <t>CrOS: Vulnerability reported in sys-kernel/chromeos-kernel-3_10</t>
  </si>
  <si>
    <t>OS-Chrome Pri-1 Security_Impact-Stable Security_Severity-High Type-Bug-Security Vomit allpublic</t>
  </si>
  <si>
    <t>parsed_output == double_parsed_output. Parser/Writer mismatch.</t>
  </si>
  <si>
    <t>Clusterfuzz M-57 OS-Linux Pri-1 Reproducible Security_Impact-Stable Security_Severity-High Stability-Libfuzzer Stability-Memory-AddressSanitizer Type-Bug-Security allpublic</t>
  </si>
  <si>
    <t>Potential call through freed vtable in extensions</t>
  </si>
  <si>
    <t>Deadline-Exceeded Needs-Feedback Owner-Triage Pri-1 Security_Impact-Stable Security_Severity-High Stability-Crash Type-Bug-Security allpublic</t>
  </si>
  <si>
    <t>patelsav...@gmail.com</t>
  </si>
  <si>
    <t>UI UI&gt;Browser&gt;Instant&gt;Extended</t>
  </si>
  <si>
    <t>SSL status incorrect for Quick View</t>
  </si>
  <si>
    <t>M-28 OS-Android OS-iOS Pri-1 Security_Impact-Stable Security_Severity-High Type-Bug-Security allpublic</t>
  </si>
  <si>
    <t>mirandac@chromium.org</t>
  </si>
  <si>
    <t>UNKNOWN in blink::DatabaseAuthorizer::enable</t>
  </si>
  <si>
    <t>Clusterfuzz External-Fuzzer-Contribution M-41 Nag OS-All Pri-1 Security_Impact-Stable Security_Severity-High Stability-Memory-AddressSanitizer Type-Bug-Security allpublic</t>
  </si>
  <si>
    <t>Heap-use-after-free in _gdk_window_process_updates_recurse</t>
  </si>
  <si>
    <t>Clusterfuzz M-53 OS-Linux Pri-1 Reproducible Security_Impact-Stable Security_Severity-High Stability-ThreadSanitizer Type-Bug-Security allpublic</t>
  </si>
  <si>
    <t>UI&gt;Browser&gt;Language&gt;Spellcheck</t>
  </si>
  <si>
    <t>Stack-buffer-overflow in Hunspell::suggest</t>
  </si>
  <si>
    <t>ClusterFuzz-Wrong Clusterfuzz Disable-Nags M-52 M-53 OS-Linux Pri-3 Reproducible Security_Impact-Stable Security_Severity-High Stability-Libfuzzer Stability-Memory-AddressSanitizer Type-Bug-Security allpublic</t>
  </si>
  <si>
    <t>Heap-use-after-free in elt</t>
  </si>
  <si>
    <t>Clusterfuzz M-51 OS-Mac Reproducible Security_Impact-Stable Security_Severity-High Stability-Memory-AddressSanitizer Type-Bug-Security allpublic</t>
  </si>
  <si>
    <t>Heap-buffer-overflow in ioctl_kgsl_sharedmem_write</t>
  </si>
  <si>
    <t>M-35 OS-Android Pri-1 Security_Impact-Stable Security_Severity-High Type-Bug-Security allpublic</t>
  </si>
  <si>
    <t>jmad...@chromium.org</t>
  </si>
  <si>
    <t>Clusterfuzz M-42 Nag OS-All Pri-1 Security_Impact-Stable Security_Severity-High Stability-Memory-AddressSanitizer Type-Bug-Security allpublic</t>
  </si>
  <si>
    <t>Clusterfuzz M-18 OS-All Pri-1 Restrict-AddIssueComment-EditIssue Security_Impact-Stable Security_Severity-High Stability-Memory-AddressSanitizer Type-Bug-Security allpublic</t>
  </si>
  <si>
    <t>Merged into 124953</t>
  </si>
  <si>
    <t>Heap-buffer-overflow in WebCore::HTMLDivElement::create</t>
  </si>
  <si>
    <t>Clusterfuzz M-24 OS-All Pri-1 Security_Impact-Stable Security_Severity-High Stability-Memory-AddressSanitizer Type-Bug-Security allpublic</t>
  </si>
  <si>
    <t>UNKNOWN in libgsl.so</t>
  </si>
  <si>
    <t>Use-after-free in std::_Push_heap&lt;WebCore::TimerHeapIteratorintWebCore::TimerBase *WebCore::TimerHeapLessThanFuncti</t>
  </si>
  <si>
    <t>Clusterfuzz Hotlist-SyzyASAN M-35 Missing_Owner-25 Nag Needs-Feedback OS-All Pri-1 Security_Impact-Stable Security_Severity-High Type-Bug-Security allpublic</t>
  </si>
  <si>
    <t>Security: Flash AS2 Type Confusion in TextField.filters</t>
  </si>
  <si>
    <t>M-40 Pri-1 Security_Impact-Stable Security_Severity-High Type-Bug-Security allpublic</t>
  </si>
  <si>
    <t>Blink&gt;WebFonts Security</t>
  </si>
  <si>
    <t>Bypass the Same Origin Policy via a redirect on 51.0.2704.104 (ios 9.3.2)</t>
  </si>
  <si>
    <t>OS-iOS Pri-2 Security_Impact-Stable Security_Severity-High Type-Bug-Security Via-Wizard allpublic</t>
  </si>
  <si>
    <t>haojun...@gmail.com</t>
  </si>
  <si>
    <t>Service Workers allow you to control and mix range responses</t>
  </si>
  <si>
    <t>M-43 Nag OS-Windows Pri-1 Security_Impact-Stable Security_Severity-High Type-Bug-Security Via-Wizard allpublic</t>
  </si>
  <si>
    <t>UNKNOWN in v8::internal::SlotsBuffer::UpdateSlotsRecordedIn</t>
  </si>
  <si>
    <t>Clusterfuzz Feature-v8 M-26 OS-All Pri-1 Security-Code28 Security_Impact-Stable Security_Severity-High Stability-Memory-AddressSanitizer Type-Bug-Security allpublic</t>
  </si>
  <si>
    <t>M-56 OS-Chrome Pri-1 Security_Impact-Stable Security_Severity-High Type-Bug-Security Vomit allpublic</t>
  </si>
  <si>
    <t>UNKNOWN in _make_decode_table</t>
  </si>
  <si>
    <t>Clusterfuzz External-Fuzzer-Contribution Missing_Impact-8 Missing_Owner-8 OS-Android Pri-1 Security_Impact-Stable Security_Severity-High Type-Bug-Security allpublic</t>
  </si>
  <si>
    <t>Heap-use-after-free in v8::internal::ExternalOneByteStringUtf16CharacterStream::FillBuffer</t>
  </si>
  <si>
    <t>Clusterfuzz M-57 OS-Android OS-Chrome OS-Linux OS-Mac OS-Windows Pri-1 Security_Impact-Stable Security_Severity-High Stability-Memory-AddressSanitizer Type-Bug-Security Unreproducible allpublic</t>
  </si>
  <si>
    <t>UNKNOWN in MMgc::GCAlloc::ClearMarks</t>
  </si>
  <si>
    <t>M-39 Pri-1 Security_Impact-Stable Security_Severity-High Type-Bug-Security allpublic</t>
  </si>
  <si>
    <t>Daisy - Browser crashed during Stress test - histogram_base.cc:92 base::HistogramBase::AddTime(base::TimeDelta const&amp;)</t>
  </si>
  <si>
    <t>Arch-ARM M-37 OS-Android OS-Chrome OS-Linux OS-Mac Pri-1 Security_Impact-Stable Security_Severity-High Type-Bug-Security allpublic</t>
  </si>
  <si>
    <t>Android Chrome Linux Mac</t>
  </si>
  <si>
    <t>nhuyhl@chromium.org</t>
  </si>
  <si>
    <t>Heap-use-after-free in WebCore::ContainerNode::removeChild</t>
  </si>
  <si>
    <t>Clusterfuzz M-19 OS-All Pri-1 Restrict-AddIssueComment-EditIssue Security_Impact-Stable Security_Severity-High Stability-Memory-AddressSanitizer Type-Bug-Security allpublic</t>
  </si>
  <si>
    <t>UI&gt;Browser&gt;Instant&gt;Extended</t>
  </si>
  <si>
    <t>Possible XSS in instant extended</t>
  </si>
  <si>
    <t>M-31 Nag Needs-Feedback OS-Windows Pri-1 Security_Impact-Stable Security_Severity-High Type-Bug-Security Untriaged-3 Via-Wizard allpublic</t>
  </si>
  <si>
    <t>itsgoodt...@gmail.com</t>
  </si>
  <si>
    <t>Heap-buffer-overflow in vp8_get_compressed_data</t>
  </si>
  <si>
    <t>UNKNOWN in sk_memset32_SSE2</t>
  </si>
  <si>
    <t>Clusterfuzz M-44 Nag OS-All Pri-1 Security_Impact-Stable Security_Severity-High Stability-Memory-AddressSanitizer Type-Bug-Security allpublic</t>
  </si>
  <si>
    <t>Global-buffer-overflow in WebCore::SharedBuffer::append</t>
  </si>
  <si>
    <t>Clusterfuzz M-16 OS-All Pri-1 Restrict-AddIssueComment-EditIssue Security_Impact-Stable Security_Severity-High Stability-Memory-AddressSanitizer Type-Bug-Security allpublic</t>
  </si>
  <si>
    <t>CrOS: CVE-2017-0648: Vulnerability reported in Linux kernel</t>
  </si>
  <si>
    <t>OS-Chrome Pri-1 Security_Impact-Stable Security_Severity-High Type-Bug-Security Vomit</t>
  </si>
  <si>
    <t>M-54 Needs-Feedback OS-All Pri-1 Security_Impact-Stable Security_Severity-High Type-Bug-Security allpublic</t>
  </si>
  <si>
    <t>jackwill...@gmail.com</t>
  </si>
  <si>
    <t>Security: Adobe Flash MovieClip.duplicateMovieClip Use After Free</t>
  </si>
  <si>
    <t>M-57 Pri-1 Security_Impact-Stable Security_Severity-High Type-Bug-Security allpublic reward-ineligible</t>
  </si>
  <si>
    <t>UNKNOWN in convolve4RowsHorizontally_SSE2</t>
  </si>
  <si>
    <t>Clusterfuzz External-Fuzzer-Contribution M-41 OS-All Pri-1 Security_Impact-Stable Security_Severity-High Stability-Memory-AddressSanitizer Type-Bug-Security allpublic</t>
  </si>
  <si>
    <t>Heap-use-after-free in blink::PaintLayerScrollableArea::setScrollOffset</t>
  </si>
  <si>
    <t>Clusterfuzz M-48 Nag OS-Linux Pri-1 Reproducible Security_Impact-Stable Security_Severity-High Stability-Memory-AddressSanitizer Stability-Memory-LeakSanitizer Type-Bug-Security allpublic</t>
  </si>
  <si>
    <t>UNKNOWN in unpack_RGBA8888</t>
  </si>
  <si>
    <t>Clusterfuzz OS-All Security_Impact-Stable Security_Severity-High Stability-Memory-AddressSanitizer Type-Bug-Security allpublic</t>
  </si>
  <si>
    <t>Security: use-after-free in gpu process with webgl stuff</t>
  </si>
  <si>
    <t>M-22 OS-All Pri-1 ReleaseBlock-Stable Security_Impact-Stable Security_Severity-High Type-Bug-Security allpublic</t>
  </si>
  <si>
    <t>Global-buffer-overflow in cff_parse_real</t>
  </si>
  <si>
    <t>Crash in libpepflashplayer.so</t>
  </si>
  <si>
    <t>Clusterfuzz M-55 OS-Linux Pri-1 Reproducible Security_Impact-Stable Security_Severity-High Stability-Memory-AddressSanitizer Type-Bug-Security allpublic</t>
  </si>
  <si>
    <t>Bad-cast to blink::HTMLDocumentParser from invalid vptr;HTMLDocumentParser.cpp:473:13</t>
  </si>
  <si>
    <t>Clusterfuzz M-40 Nag OS-All Pri-1 Security_Impact-Stable Security_Severity-High Type-Bug-Security allpublic</t>
  </si>
  <si>
    <t>Heap-use-after-free in SkTypefaceCache::FindByProcAndRef</t>
  </si>
  <si>
    <t>UNKNOWN in blink::startWordBoundary</t>
  </si>
  <si>
    <t>Clusterfuzz M-43 Nag OS-All Pri-2 ReleaseBlock-Stable Security_Impact-Stable Security_Severity-High Stability-Memory-AddressSanitizer Type-Bug-Security allpublic</t>
  </si>
  <si>
    <t>Race in WebCore::HTMLScriptRunner::executeParsingBlockingScript</t>
  </si>
  <si>
    <t>Clusterfuzz M-31 OS-All Pri-1 Security_Impact-Stable Security_Severity-High Stability-Memory-AddressSanitizer Type-Bug-Security allpublic</t>
  </si>
  <si>
    <t>Heap-use-after-free in blink::SelectorFilter::pushParent</t>
  </si>
  <si>
    <t>Clusterfuzz M-45 Nag OS-Linux Pri-1 Reproducible Security_Impact-Stable Security_Severity-High Stability-Memory-LeakSanitizer Type-Bug-Security allpublic</t>
  </si>
  <si>
    <t>The browser crashed caused by global-buffer-overflow.And d8 crashed caused by segv.</t>
  </si>
  <si>
    <t>M-55 OS-Linux Pri-1 Security_Impact-Stable Security_Severity-High Type-Bug-Security Via-Wizard-Security allpublic</t>
  </si>
  <si>
    <t>cdsrc2...@gmail.com</t>
  </si>
  <si>
    <t>Heap-use-after-free in WebCore::RenderObject::isBody</t>
  </si>
  <si>
    <t>ASSERTION FAILED: !object || (object-&gt;isTable()) UNKNOWN in WebCore::RenderTableSection::setNeedsCellRecalc</t>
  </si>
  <si>
    <t>Clusterfuzz Hotlist-SyzyASAN M-36 Nag OS-All Pri-1 Security_Impact-Stable Security_Severity-High Stability-Memory-AddressSanitizer Type-Bug-Security allpublic</t>
  </si>
  <si>
    <t>Heap-use-after-free in WebCore::RenderSVGInlineText::computeNewScaledFontForStyle</t>
  </si>
  <si>
    <t>Clusterfuzz M-20 OS-All Pri-1 Restrict-AddIssueComment-EditIssue Security_Impact-Stable Security_Severity-High Stability-Memory-AddressSanitizer Type-Bug-Security allpublic</t>
  </si>
  <si>
    <t>Crash in skia SkPixmap::erase</t>
  </si>
  <si>
    <t>Clusterfuzz M-52 OS-Linux Pri-1 Reproducible Security_Impact-Stable Security_Severity-High Stability-Memory-AddressSanitizer Type-Bug-Security allpublic</t>
  </si>
  <si>
    <t>Security:  incorrect checksum for freed object using WebGL</t>
  </si>
  <si>
    <t>M-16 OS-All Pri-1 Restrict-AddIssueComment-EditIssue Security_Impact-Stable Security_Severity-High Type-Bug-Security allpublic</t>
  </si>
  <si>
    <t>marc.sch...@gmail.com</t>
  </si>
  <si>
    <t>UNKNOWN in url_util::InitStandardSchemes</t>
  </si>
  <si>
    <t>Clusterfuzz External-Fuzzer-Contribution Missing_Impact-7 Missing_Owner-7 OS-Android Pri-1 Security_Impact-Stable Security_Severity-High Type-Bug-Security allpublic</t>
  </si>
  <si>
    <t>Heap-use-after-free in BrowserContextKeyedServiceFactory::GetBrowserContextToUse</t>
  </si>
  <si>
    <t>Blink&gt;XML Internals</t>
  </si>
  <si>
    <t>CVE-2016-0718: Expat XML Parser Crashes on Malformed Input</t>
  </si>
  <si>
    <t>M-51 OS-All Pri-1 Security_Impact-Stable Security_Severity-High Type-Bug-Security allpublic</t>
  </si>
  <si>
    <t>Security: Stack Overflow in pdfium (JBig2_Image.cp)</t>
  </si>
  <si>
    <t>M-53 OS-All Pri-1 Security_Impact-Stable Security_Severity-High Type-Bug-Security allpublic</t>
  </si>
  <si>
    <t>tmm...@acu.edu</t>
  </si>
  <si>
    <t>Heap-use-after-free in WebCore::RenderBoxModelObject::hasSelfPaintingLayer</t>
  </si>
  <si>
    <t>UNKNOWN in _swrast_map_renderbuffers</t>
  </si>
  <si>
    <t>Clusterfuzz M-35 OS-All Pri-1 Security_Impact-Stable Security_Severity-High Stability-Memory-AddressSanitizer Type-Bug-Security allpublic wip</t>
  </si>
  <si>
    <t>Blink&gt;Layout Blink&gt;Loader</t>
  </si>
  <si>
    <t>Heap-use-after-free in WebCore::FrameView::isSubtreeLayout</t>
  </si>
  <si>
    <t>Clusterfuzz M-34 Nag OS-All Pri-1 Security_Impact-Stable Security_Severity-High Stability-Memory-AddressSanitizer Type-Bug-Security allpublic</t>
  </si>
  <si>
    <t>Heap-use-after-free in CPDFSDK_Annot::GetPDFAnnot</t>
  </si>
  <si>
    <t>Clusterfuzz External-Fuzzer-Contribution M-39 Nag OS-All Pri-1 Security_Impact-Stable Security_Severity-High Stability-Memory-AddressSanitizer Type-Bug-Security allpublic</t>
  </si>
  <si>
    <t>Heap-use-after-free in cricket::BasicPortAllocatorSession::DoAllocate</t>
  </si>
  <si>
    <t>Clusterfuzz M-35 Nag OS-All Pri-1 Security_Impact-Stable Security_Severity-High Stability-Memory-AddressSanitizer Type-Bug-Security allpublic</t>
  </si>
  <si>
    <t>Blink Blink&gt;Storage&gt;IndexedDB Blink&gt;Workers</t>
  </si>
  <si>
    <t>Multiple (near random) stacks with corruption and various (null and non-null pointer) crashes with Workers and IndexedDB</t>
  </si>
  <si>
    <t>M-26 OS-All Pri-1 Security-Code28 Security_Impact-Stable Security_Severity-High Type-Bug-Security WebKit-ID-109467 allpublic</t>
  </si>
  <si>
    <t>Merged into 172240</t>
  </si>
  <si>
    <t>gchiacch...@gmail.com</t>
  </si>
  <si>
    <t>SnowLeopard crashes due to thread-unsafe EventListenerIterator ASSERTs</t>
  </si>
  <si>
    <t>M-17 OS-Mac Pri-1 Restrict-AddIssueComment-EditIssue Security_Impact-Stable Security_Severity-High Type-Bug-Security allpublic</t>
  </si>
  <si>
    <t>Heap-use-after-free in ir_dereference_variable::ir_dereference_variable</t>
  </si>
  <si>
    <t>Global-buffer-overflow in disk_cache::MemEntryImpl::InternalWriteData</t>
  </si>
  <si>
    <t>Clusterfuzz M-16 OS-All Pri-1 Restrict-AddIssueComment-EditIssue Security_Impact-Stable Security_Severity-Critical Stability-Memory-AddressSanitizer Type-Bug-Security allpublic</t>
  </si>
  <si>
    <t>CrOS: CVE-2017-9211: Vulnerability reported in Linux kernel</t>
  </si>
  <si>
    <t>OS-Chrome Pri-1 Security_Impact-Stable Security_Severity-Critical Type-Bug-Security Vomit</t>
  </si>
  <si>
    <t>Global-buffer-overflow in net::HttpStreamParser::DoReadBody</t>
  </si>
  <si>
    <t>CrOS: Vulnerability reported in Linux kernel</t>
  </si>
  <si>
    <t>M-58 OS-Chrome Pri-0 Security_Impact-Stable Security_Severity-Critical Type-Bug-Security Vomit</t>
  </si>
  <si>
    <t>Duplicate</t>
  </si>
  <si>
    <t>Heap-use-after-free in opj_j2k_add_tlmarker</t>
  </si>
  <si>
    <t>Clusterfuzz M-36 OS-All Pri-1 Security_Impact-Stable Security_Severity-High Stability-Memory-AddressSanitizer Type-Bug-Security allpublic</t>
  </si>
  <si>
    <t>No Permission</t>
  </si>
  <si>
    <t>Security: Heap-use-after-free in PepperDeviceEnumerationHostHelper-ScopedRequest</t>
  </si>
  <si>
    <t>M-38 OS-All Pri-1 Security_Impact-Stable Security_Severity-High Type-Bug-Security allpublic</t>
  </si>
  <si>
    <t>UNKNOWN in v8::internal::VerifyPointersVisitor::VisitPointers</t>
  </si>
  <si>
    <t>Clusterfuzz M-43 OS-All Pri-1 Security_Impact-Stable Security_Severity-High Stability-Memory-AddressSanitizer Type-Bug-Security allpublic</t>
  </si>
  <si>
    <t>Security: Chrome OS [CVE-2016-0728]</t>
  </si>
  <si>
    <t>M-49 OS-Chrome Pri-1 Security_Impact-Stable Security_Severity-High Type-Bug-Security allpublic</t>
  </si>
  <si>
    <t>eternalg...@gmail.com</t>
  </si>
  <si>
    <t>Use-after-poison in blink::CompositorAnimationPlayer::NotifyAnimationFinished</t>
  </si>
  <si>
    <t>Clusterfuzz External-Fuzzer-Contribution OS-Linux Reproducible Security_Impact-Stable Security_Severity-High Stability-Memory-AddressSanitizer Type-Bug-Security allpublic reward-ineligible</t>
  </si>
  <si>
    <t>Heap-use-after-free in password_manager::PasswordFormManager::OnGetPasswordStoreResults</t>
  </si>
  <si>
    <t>Security: Chrome crashes when using blending on large canvases</t>
  </si>
  <si>
    <t>M-30 OS-All Pri-1 Security_Impact-Stable Security_Severity-High Type-Bug-Security allpublic reward-ineligible</t>
  </si>
  <si>
    <t>rcaban...@gmail.com</t>
  </si>
  <si>
    <t>Internals&gt;Cast</t>
  </si>
  <si>
    <t>Heap-use-after-free in base::internal::Invoker&lt;2 base::internal::BindState&lt;base::internal::RunnableAdapter&lt;void</t>
  </si>
  <si>
    <t>Clusterfuzz M-33 OS-All Pri-1 Security_Impact-Stable Security_Severity-High Stability-Memory-AddressSanitizer Type-Bug-Security allpublic</t>
  </si>
  <si>
    <t>hubbe@chromium.org</t>
  </si>
  <si>
    <t>Platform&gt;Apps&gt;API</t>
  </si>
  <si>
    <t>Unsafe casts to signed int from size_t passed into the jpeg encoder</t>
  </si>
  <si>
    <t>Audit-IPC M-26 OS-All Pri-1 Security_Impact-Stable Security_Severity-High Type-Bug-Security allpublic</t>
  </si>
  <si>
    <t>Clusterfuzz M-45 M-46 Nag OS-All Pri-1 Security_Impact-Stable Security_Severity-High Stability-Memory-AddressSanitizer Type-Bug-Security allpublic merge-merged-46</t>
  </si>
  <si>
    <t>Clusterfuzz External-Fuzzer-Contribution M-50 OS-Linux Pri-1 Reproducible Security_Impact-Stable Security_Severity-High Stability-Memory-AddressSanitizer Type-Bug-Security allpublic reward-ineligible</t>
  </si>
  <si>
    <t>AddressSanitizer: container-overflow image-encoders/skia/WEBPImageEncoder.cpp:63</t>
  </si>
  <si>
    <t>M-44 OS-All Pri-1 Security_Impact-Stable Security_Severity-High Type-Bug-Security Via-Wizard allpublic</t>
  </si>
  <si>
    <t>Security: CVE-2016-8655 Linux af_packet.c race condition (local root)</t>
  </si>
  <si>
    <t>M-55 OS-Chrome Pri-1 Security_Impact-Stable Security_Severity-High Type-Bug-Security allpublic</t>
  </si>
  <si>
    <t>Corrupt-block in sk_free_releaseproc</t>
  </si>
  <si>
    <t>Clusterfuzz Hotlist-SyzyASAN M-53 OS-Windows Pri-1 Reproducible Security_Impact-Stable Security_Severity-High Type-Bug-Security allpublic</t>
  </si>
  <si>
    <t>Ill in -</t>
  </si>
  <si>
    <t>Clusterfuzz M-57 OS-Mac Pri-1 Reproducible Security_Impact-Stable Security_Severity-High Stability-Memory-AddressSanitizer Type-Bug-Security allpublic</t>
  </si>
  <si>
    <t>sky@chromium.org</t>
  </si>
  <si>
    <t>Security: Address bar spoofing on Android using long hostnames</t>
  </si>
  <si>
    <t>M-55 OS-Android Pri-1 Security_Impact-Stable Security_Severity-High Type-Bug-Security allpublic</t>
  </si>
  <si>
    <t>ahmedmehtab009@gmail.com</t>
  </si>
  <si>
    <t>joh...@chromium.org</t>
  </si>
  <si>
    <t>kristian...@gmail.com</t>
  </si>
  <si>
    <t>M-17 OS-All Pri-1 Restrict-AddIssueComment-EditIssue Reward-1000 Security_Impact-Stable Security_Severity-High Stability-Memory-AddressSanitizer Type-Bug-Security allpublic reward-decline</t>
  </si>
  <si>
    <t>Security: Address bar spoofing with U+FE70 on iOS</t>
  </si>
  <si>
    <t>M-52 OS-iOS Pri-1 Security_Impact-Stable Security_Severity-High Type-Bug-Security allpublic</t>
  </si>
  <si>
    <t>martinzh...@gmail.com</t>
  </si>
  <si>
    <t>global-buffer-overflow on address 0x000004efea4b</t>
  </si>
  <si>
    <t>OS-All Pri-1 Security_Impact-Stable Security_Severity-High Type-Bug-Security allpublic</t>
  </si>
  <si>
    <t>marcin.t...@gmail.com</t>
  </si>
  <si>
    <t>Security: UAF with shadow root</t>
  </si>
  <si>
    <t>M-26 OS-All Pri-1 Security_Impact-Stable Security_Severity-High Type-Bug-Security allpublic</t>
  </si>
  <si>
    <t>Cover issue for opened bugs in libxml</t>
  </si>
  <si>
    <t>M-49 Nag OS-All Pri-1 Reproducible Security_Impact-Stable Security_Severity-High Type-Bug-Security allpublic</t>
  </si>
  <si>
    <t>Content Internals&gt;GPU</t>
  </si>
  <si>
    <t>Heap-use-after-free in content::GpuChannelHost::MessageFilter::OnChannelError</t>
  </si>
  <si>
    <t>Clusterfuzz Hotlist-SyzyASAN M-27 OS-Windows Pri-0 Security_Impact-Stable Security_Severity-Critical Type-Bug-Security allpublic</t>
  </si>
  <si>
    <t>Mar 18 2012 7:33:37</t>
  </si>
  <si>
    <t>Jul 29 2013 7:33:35</t>
  </si>
  <si>
    <t>Jun 17 2011 12:39:10</t>
  </si>
  <si>
    <t>Jan 16 2013 13:47:49</t>
  </si>
  <si>
    <t>Dec 14 2012 23:57:00</t>
  </si>
  <si>
    <t>Jan 06 2015 16:56:02</t>
  </si>
  <si>
    <t>Aug 23 2014 21:42:44</t>
  </si>
  <si>
    <t>Feb 09 2012 2:36:18</t>
  </si>
  <si>
    <t>Jan 13 2012 0:32:18</t>
  </si>
  <si>
    <t>Jan 11 2012 8:48:12</t>
  </si>
  <si>
    <t>Jan 10 2012 23:02:03</t>
  </si>
  <si>
    <t>Nov 26 2011 7:43:27</t>
  </si>
  <si>
    <t>Feb 03 2012 11:22:47</t>
  </si>
  <si>
    <t>Mar 09 2015 19:26:35</t>
  </si>
  <si>
    <t>Dec 04 2011 19:58:11</t>
  </si>
  <si>
    <t>Aug 16 2013 21:11:43</t>
  </si>
  <si>
    <t>Mar 14 2011 10:10:20</t>
  </si>
  <si>
    <t>Dec 13 2012 22:41:38</t>
  </si>
  <si>
    <t>Sep 22 2012 15:13:25</t>
  </si>
  <si>
    <t>Nov 02 2012 17:01:11</t>
  </si>
  <si>
    <t>Jun 11 2016 2:46:11</t>
  </si>
  <si>
    <t>Mar 20 2013 1:48:53</t>
  </si>
  <si>
    <t>Jun 15 2011 20:57:31</t>
  </si>
  <si>
    <t>May 02 2011 17:23:00</t>
  </si>
  <si>
    <t>Jan 15 2013 20:30:44</t>
  </si>
  <si>
    <t>Dec 23 2012 12:28:03</t>
  </si>
  <si>
    <t>Oct 09 2012 20:41:39</t>
  </si>
  <si>
    <t>Oct 07 2012 6:19:56</t>
  </si>
  <si>
    <t>Oct 05 2012 21:59:58</t>
  </si>
  <si>
    <t>Oct 13 2012 16:55:17</t>
  </si>
  <si>
    <t>Feb 15 2015 23:45:03</t>
  </si>
  <si>
    <t>Feb 01 2015 19:22:12</t>
  </si>
  <si>
    <t>May 16 2016 18:00:33</t>
  </si>
  <si>
    <t>Sep 17 2011 10:41:06</t>
  </si>
  <si>
    <t>Sep 30 2011 15:26:53</t>
  </si>
  <si>
    <t>Mar 01 2012 22:58:13</t>
  </si>
  <si>
    <t>Aug 24 2011 16:33:23</t>
  </si>
  <si>
    <t>Jun 27 2012 18:33:56</t>
  </si>
  <si>
    <t>Mar 16 2012 21:39:06</t>
  </si>
  <si>
    <t>Jun 17 2014 8:37:01</t>
  </si>
  <si>
    <t>May 24 2014 15:48:26</t>
  </si>
  <si>
    <t>May 23 2014 8:28:37</t>
  </si>
  <si>
    <t>May 16 2014 18:58:41</t>
  </si>
  <si>
    <t>May 09 2014 10:38:26</t>
  </si>
  <si>
    <t>Apr 29 2014 21:22:08</t>
  </si>
  <si>
    <t>Apr 30 2012 15:05:08</t>
  </si>
  <si>
    <t>Jun 27 2011 9:47:33</t>
  </si>
  <si>
    <t>Jan 31 2012 19:40:47</t>
  </si>
  <si>
    <t>Cross Origin Bypass using iframe &amp; " " on JAVASCRIPT URI</t>
  </si>
  <si>
    <t>Aug 01 2011 21:54:50</t>
  </si>
  <si>
    <t>Aug 19 2014 18:01:20</t>
  </si>
  <si>
    <t>Dec 03 2013 16:05:22</t>
  </si>
  <si>
    <t>Jan 31 2012 17:41:00</t>
  </si>
  <si>
    <t>Mar 15 2012 5:58:23</t>
  </si>
  <si>
    <t>Apr 19 2012 17:39:35</t>
  </si>
  <si>
    <t>Aug 12 2014 15:28:55</t>
  </si>
  <si>
    <t>Jan 16 2015</t>
  </si>
  <si>
    <t>Jul 13 2015</t>
  </si>
  <si>
    <t>Apr 23 2016</t>
  </si>
  <si>
    <t>Aug 17 2016</t>
  </si>
  <si>
    <t>Total</t>
  </si>
  <si>
    <t>Dupes</t>
  </si>
  <si>
    <t>%</t>
  </si>
  <si>
    <t>Multiple</t>
  </si>
  <si>
    <t>Average Window</t>
  </si>
  <si>
    <t>June</t>
  </si>
  <si>
    <t>Bin</t>
  </si>
  <si>
    <t>More</t>
  </si>
  <si>
    <t>Frequency</t>
  </si>
  <si>
    <t>270-365</t>
  </si>
  <si>
    <t>&gt;1 year</t>
  </si>
  <si>
    <t>&gt; 1 month</t>
  </si>
  <si>
    <t>&gt; 120 Days</t>
  </si>
  <si>
    <t>&gt; 180 Days</t>
  </si>
  <si>
    <t>Months</t>
  </si>
  <si>
    <t>7 days</t>
  </si>
  <si>
    <t>1 month</t>
  </si>
  <si>
    <t>2 months</t>
  </si>
  <si>
    <t>&gt; 6 months</t>
  </si>
  <si>
    <t>1 day</t>
  </si>
  <si>
    <t>Solo Vulns</t>
  </si>
  <si>
    <t>Dupes w/1</t>
  </si>
  <si>
    <t>Dupes w/Multiple</t>
  </si>
  <si>
    <t>&lt;1 month</t>
  </si>
  <si>
    <t>Android Rediscovery Aggregate</t>
  </si>
  <si>
    <t>Android Rediscovery Windows</t>
  </si>
  <si>
    <t>&gt;180 days</t>
  </si>
  <si>
    <t>Original</t>
  </si>
  <si>
    <t>Updated</t>
  </si>
  <si>
    <t>Chrome Total</t>
  </si>
  <si>
    <t>Chrome - Monthly</t>
  </si>
  <si>
    <t>Rediscovery Lag Area</t>
  </si>
  <si>
    <t>Rediscovery Over Time</t>
  </si>
  <si>
    <t>&gt;6 months</t>
  </si>
  <si>
    <t>Chrome Rediscovery Over Time</t>
  </si>
  <si>
    <t>Overall</t>
  </si>
  <si>
    <t>2015</t>
  </si>
  <si>
    <t>2016</t>
  </si>
  <si>
    <t>2009-2016</t>
  </si>
  <si>
    <t>Firefox</t>
  </si>
  <si>
    <t>OpenSSL</t>
  </si>
  <si>
    <t>Multiple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</si>
</sst>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mmm\ d\ yyyy\ h:mm:ss"/>
    <numFmt numFmtId="165" formatCode="mmmm\ d\ yyyy\ h:mm:ss"/>
    <numFmt numFmtId="166" formatCode="mmm\ dd\ yyyy\ h:mm:ss"/>
    <numFmt numFmtId="167" formatCode="mmmm\ dd\ yyyy\ h:mm:ss"/>
    <numFmt numFmtId="168" formatCode="mmm\ d\ yyyy"/>
    <numFmt numFmtId="169" formatCode="0.0%"/>
    <numFmt numFmtId="170" formatCode="[$-F800]dddd\,\ mmmm\ dd\,\ yyyy"/>
    <numFmt numFmtId="171" formatCode="m/d/yy;@"/>
  </numFmts>
  <fonts count="12" x14ac:knownFonts="1"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2"/>
      <color rgb="FF000000"/>
      <name val="Calibri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</font>
    <font>
      <sz val="12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167" fontId="1" fillId="0" borderId="0" xfId="0" applyNumberFormat="1" applyFont="1" applyAlignment="1"/>
    <xf numFmtId="0" fontId="1" fillId="0" borderId="0" xfId="0" applyFont="1"/>
    <xf numFmtId="0" fontId="2" fillId="0" borderId="0" xfId="0" applyFont="1"/>
    <xf numFmtId="168" fontId="1" fillId="0" borderId="0" xfId="0" applyNumberFormat="1" applyFont="1"/>
    <xf numFmtId="0" fontId="1" fillId="2" borderId="0" xfId="0" applyFont="1" applyFill="1"/>
    <xf numFmtId="0" fontId="0" fillId="2" borderId="0" xfId="0" applyFont="1" applyFill="1" applyAlignment="1"/>
    <xf numFmtId="169" fontId="0" fillId="0" borderId="0" xfId="0" applyNumberFormat="1" applyFont="1" applyAlignment="1"/>
    <xf numFmtId="0" fontId="0" fillId="3" borderId="0" xfId="0" applyFont="1" applyFill="1" applyAlignment="1"/>
    <xf numFmtId="0" fontId="1" fillId="3" borderId="0" xfId="0" applyFont="1" applyFill="1" applyAlignment="1"/>
    <xf numFmtId="0" fontId="3" fillId="0" borderId="0" xfId="1" applyAlignment="1"/>
    <xf numFmtId="168" fontId="1" fillId="0" borderId="0" xfId="0" applyNumberFormat="1" applyFont="1" applyAlignment="1"/>
    <xf numFmtId="170" fontId="1" fillId="0" borderId="0" xfId="0" applyNumberFormat="1" applyFont="1" applyAlignment="1"/>
    <xf numFmtId="170" fontId="0" fillId="0" borderId="0" xfId="0" applyNumberFormat="1" applyFont="1" applyAlignment="1"/>
    <xf numFmtId="171" fontId="1" fillId="0" borderId="0" xfId="0" applyNumberFormat="1" applyFont="1" applyAlignment="1"/>
    <xf numFmtId="170" fontId="1" fillId="2" borderId="0" xfId="0" applyNumberFormat="1" applyFont="1" applyFill="1"/>
    <xf numFmtId="170" fontId="1" fillId="0" borderId="0" xfId="0" applyNumberFormat="1" applyFont="1"/>
    <xf numFmtId="1" fontId="0" fillId="0" borderId="0" xfId="0" applyNumberFormat="1" applyFont="1" applyAlignment="1"/>
    <xf numFmtId="171" fontId="1" fillId="0" borderId="0" xfId="0" applyNumberFormat="1" applyFont="1"/>
    <xf numFmtId="171" fontId="1" fillId="2" borderId="0" xfId="0" applyNumberFormat="1" applyFont="1" applyFill="1"/>
    <xf numFmtId="171" fontId="0" fillId="0" borderId="0" xfId="0" applyNumberFormat="1" applyFont="1" applyAlignment="1"/>
    <xf numFmtId="0" fontId="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9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0" fillId="0" borderId="0" xfId="0" applyNumberFormat="1" applyFont="1" applyAlignment="1"/>
    <xf numFmtId="10" fontId="7" fillId="0" borderId="3" xfId="0" applyNumberFormat="1" applyFont="1" applyBorder="1" applyAlignment="1">
      <alignment vertical="top" wrapText="1"/>
    </xf>
    <xf numFmtId="10" fontId="7" fillId="0" borderId="4" xfId="0" applyNumberFormat="1" applyFont="1" applyBorder="1" applyAlignment="1">
      <alignment vertical="top" wrapText="1"/>
    </xf>
    <xf numFmtId="0" fontId="5" fillId="0" borderId="0" xfId="0" applyFont="1" applyAlignment="1"/>
    <xf numFmtId="0" fontId="8" fillId="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1" xfId="0" applyFont="1" applyBorder="1" applyAlignment="1"/>
    <xf numFmtId="169" fontId="7" fillId="0" borderId="4" xfId="0" applyNumberFormat="1" applyFont="1" applyBorder="1" applyAlignment="1">
      <alignment vertical="top" wrapText="1"/>
    </xf>
    <xf numFmtId="1" fontId="7" fillId="0" borderId="3" xfId="0" applyNumberFormat="1" applyFont="1" applyBorder="1" applyAlignment="1">
      <alignment vertical="top" wrapText="1"/>
    </xf>
    <xf numFmtId="1" fontId="7" fillId="0" borderId="4" xfId="0" applyNumberFormat="1" applyFont="1" applyBorder="1" applyAlignment="1">
      <alignment vertical="top" wrapText="1"/>
    </xf>
    <xf numFmtId="1" fontId="7" fillId="0" borderId="5" xfId="0" applyNumberFormat="1" applyFont="1" applyFill="1" applyBorder="1" applyAlignment="1">
      <alignment vertical="top" wrapText="1"/>
    </xf>
    <xf numFmtId="0" fontId="9" fillId="0" borderId="0" xfId="0" applyFont="1"/>
    <xf numFmtId="171" fontId="9" fillId="0" borderId="0" xfId="0" applyNumberFormat="1" applyFont="1"/>
    <xf numFmtId="171" fontId="7" fillId="0" borderId="0" xfId="0" applyNumberFormat="1" applyFont="1" applyAlignment="1"/>
    <xf numFmtId="0" fontId="7" fillId="0" borderId="0" xfId="0" applyFont="1" applyAlignment="1"/>
    <xf numFmtId="0" fontId="3" fillId="0" borderId="6" xfId="1" applyBorder="1"/>
    <xf numFmtId="171" fontId="9" fillId="4" borderId="6" xfId="0" applyNumberFormat="1" applyFont="1" applyFill="1" applyBorder="1" applyAlignment="1">
      <alignment vertical="top"/>
    </xf>
    <xf numFmtId="0" fontId="3" fillId="0" borderId="6" xfId="1" applyBorder="1" applyAlignment="1"/>
    <xf numFmtId="0" fontId="7" fillId="0" borderId="6" xfId="0" applyFont="1" applyBorder="1" applyAlignment="1"/>
    <xf numFmtId="0" fontId="0" fillId="5" borderId="7" xfId="0" applyFont="1" applyFill="1" applyBorder="1" applyAlignment="1">
      <alignment vertical="top" wrapText="1"/>
    </xf>
    <xf numFmtId="49" fontId="10" fillId="5" borderId="7" xfId="0" applyNumberFormat="1" applyFont="1" applyFill="1" applyBorder="1" applyAlignment="1">
      <alignment horizontal="center" vertical="top" wrapText="1"/>
    </xf>
    <xf numFmtId="0" fontId="11" fillId="5" borderId="7" xfId="0" applyNumberFormat="1" applyFont="1" applyFill="1" applyBorder="1" applyAlignment="1">
      <alignment horizontal="center" vertical="top" wrapText="1"/>
    </xf>
    <xf numFmtId="0" fontId="11" fillId="5" borderId="7" xfId="0" applyFont="1" applyFill="1" applyBorder="1" applyAlignment="1">
      <alignment horizontal="center" vertical="top" wrapText="1"/>
    </xf>
    <xf numFmtId="169" fontId="11" fillId="5" borderId="7" xfId="0" applyNumberFormat="1" applyFont="1" applyFill="1" applyBorder="1" applyAlignment="1">
      <alignment horizontal="center" vertical="top" wrapText="1"/>
    </xf>
    <xf numFmtId="49" fontId="11" fillId="5" borderId="7" xfId="0" applyNumberFormat="1" applyFont="1" applyFill="1" applyBorder="1" applyAlignment="1">
      <alignment horizontal="center" vertical="top" wrapText="1"/>
    </xf>
    <xf numFmtId="0" fontId="10" fillId="5" borderId="7" xfId="0" applyFont="1" applyFill="1" applyBorder="1" applyAlignment="1">
      <alignment horizontal="center" vertical="top" wrapText="1"/>
    </xf>
    <xf numFmtId="0" fontId="11" fillId="5" borderId="7" xfId="0" applyFont="1" applyFill="1" applyBorder="1" applyAlignment="1">
      <alignment horizontal="left" vertical="top" wrapText="1"/>
    </xf>
    <xf numFmtId="169" fontId="0" fillId="5" borderId="7" xfId="0" applyNumberFormat="1" applyFont="1" applyFill="1" applyBorder="1" applyAlignment="1">
      <alignment vertical="top" wrapText="1"/>
    </xf>
    <xf numFmtId="0" fontId="0" fillId="5" borderId="7" xfId="0" applyNumberFormat="1" applyFont="1" applyFill="1" applyBorder="1" applyAlignment="1">
      <alignment vertical="top" wrapText="1"/>
    </xf>
  </cellXfs>
  <cellStyles count="5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Relationship Id="rId3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Relationship Id="rId3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4" Type="http://schemas.openxmlformats.org/officeDocument/2006/relationships/chartUserShapes" Target="../drawings/drawing4.xml"/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Relationship Id="rId3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Relationship Id="rId3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Relationship Id="rId3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1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_rels/chart13.xml.rels><?xml version="1.0" encoding="UTF-8" standalone="yes"?>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<Relationship Id="rId3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64491399007"/>
          <c:y val="0.0390625"/>
          <c:w val="0.874947978624974"/>
          <c:h val="0.75451382053805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Master!$A$2:$A$11</c:f>
              <c:strCache>
                <c:ptCount val="10"/>
                <c:pt idx="0">
                  <c:v>7 days</c:v>
                </c:pt>
                <c:pt idx="1">
                  <c:v>14</c:v>
                </c:pt>
                <c:pt idx="2">
                  <c:v>21</c:v>
                </c:pt>
                <c:pt idx="3">
                  <c:v>1 month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&gt; 6 months</c:v>
                </c:pt>
              </c:strCache>
            </c:strRef>
          </c:cat>
          <c:val>
            <c:numRef>
              <c:f>Master!$B$2:$B$11</c:f>
              <c:numCache>
                <c:formatCode>General</c:formatCode>
                <c:ptCount val="10"/>
                <c:pt idx="0">
                  <c:v>65.0</c:v>
                </c:pt>
                <c:pt idx="1">
                  <c:v>31.0</c:v>
                </c:pt>
                <c:pt idx="2">
                  <c:v>24.0</c:v>
                </c:pt>
                <c:pt idx="3">
                  <c:v>13.0</c:v>
                </c:pt>
                <c:pt idx="4">
                  <c:v>24.0</c:v>
                </c:pt>
                <c:pt idx="5">
                  <c:v>14.0</c:v>
                </c:pt>
                <c:pt idx="6">
                  <c:v>4.0</c:v>
                </c:pt>
                <c:pt idx="7">
                  <c:v>8.0</c:v>
                </c:pt>
                <c:pt idx="8">
                  <c:v>2.0</c:v>
                </c:pt>
                <c:pt idx="9">
                  <c:v>10.0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410237472"/>
        <c:axId val="-1468058224"/>
      </c:barChart>
      <c:catAx>
        <c:axId val="-141023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8058224"/>
        <c:crosses val="autoZero"/>
        <c:auto val="1"/>
        <c:lblAlgn val="ctr"/>
        <c:lblOffset val="100"/>
        <c:noMultiLvlLbl val="0"/>
      </c:catAx>
      <c:valAx>
        <c:axId val="-146805822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15000"/>
                </a:schemeClr>
              </a:solidFill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23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614196455532"/>
          <c:y val="0.105012582190113"/>
          <c:w val="0.848217661951548"/>
          <c:h val="0.714484130205374"/>
        </c:manualLayout>
      </c:layout>
      <c:areaChart>
        <c:grouping val="standard"/>
        <c:varyColors val="0"/>
        <c:ser>
          <c:idx val="0"/>
          <c:order val="0"/>
          <c:tx>
            <c:v>Android</c:v>
          </c:tx>
          <c:spPr>
            <a:pattFill prst="pct50">
              <a:fgClr>
                <a:schemeClr val="accent6"/>
              </a:fgClr>
              <a:bgClr>
                <a:schemeClr val="bg1"/>
              </a:bgClr>
            </a:pattFill>
            <a:ln>
              <a:noFill/>
            </a:ln>
            <a:effectLst>
              <a:innerShdw blurRad="114300">
                <a:schemeClr val="accent2">
                  <a:shade val="76000"/>
                </a:schemeClr>
              </a:innerShdw>
            </a:effectLst>
          </c:spPr>
          <c:dLbls>
            <c:dLbl>
              <c:idx val="0"/>
              <c:layout>
                <c:manualLayout>
                  <c:x val="0.0147438176445561"/>
                  <c:y val="-0.2173530672043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84955752212389"/>
                  <c:y val="-0.2714776632302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884955442745828"/>
                  <c:y val="-0.3329040989892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117994100294986"/>
                  <c:y val="-0.35395189003436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3244837758112"/>
                  <c:y val="-0.3711340206185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147492625368733"/>
                  <c:y val="-0.3780068728522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103244837758112"/>
                  <c:y val="-0.3814432989690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Master!$A$38:$A$44</c:f>
              <c:strCache>
                <c:ptCount val="7"/>
                <c:pt idx="0">
                  <c:v>&lt;1 month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Master!$C$38:$C$44</c:f>
              <c:numCache>
                <c:formatCode>0.0%</c:formatCode>
                <c:ptCount val="7"/>
                <c:pt idx="0">
                  <c:v>0.0568181818181818</c:v>
                </c:pt>
                <c:pt idx="1">
                  <c:v>0.139204545454545</c:v>
                </c:pt>
                <c:pt idx="2">
                  <c:v>0.190340909090909</c:v>
                </c:pt>
                <c:pt idx="3">
                  <c:v>0.201704545454545</c:v>
                </c:pt>
                <c:pt idx="4">
                  <c:v>0.210227272727273</c:v>
                </c:pt>
                <c:pt idx="5">
                  <c:v>0.213068181818182</c:v>
                </c:pt>
                <c:pt idx="6">
                  <c:v>0.215909090909091</c:v>
                </c:pt>
              </c:numCache>
            </c:numRef>
          </c:val>
        </c:ser>
        <c:ser>
          <c:idx val="1"/>
          <c:order val="1"/>
          <c:tx>
            <c:v>Chrome</c:v>
          </c:tx>
          <c:spPr>
            <a:solidFill>
              <a:schemeClr val="accent2">
                <a:alpha val="45000"/>
              </a:schemeClr>
            </a:solidFill>
            <a:ln>
              <a:noFill/>
            </a:ln>
            <a:effectLst>
              <a:innerShdw blurRad="114300">
                <a:schemeClr val="accent2">
                  <a:tint val="77000"/>
                </a:schemeClr>
              </a:innerShdw>
            </a:effectLst>
          </c:spPr>
          <c:dLbls>
            <c:dLbl>
              <c:idx val="0"/>
              <c:layout>
                <c:manualLayout>
                  <c:x val="0.0325684678016284"/>
                  <c:y val="-0.052833820301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148038490007402"/>
                  <c:y val="-0.05987832967471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296076980014798"/>
                  <c:y val="-0.0739673484217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"/>
                  <c:y val="-0.0915786218554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148038490007402"/>
                  <c:y val="-0.09510087654219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08560305240851E-16"/>
                  <c:y val="-0.09510087654219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192450037009622"/>
                  <c:y val="-0.08805636716870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Master!$I$38:$I$44</c:f>
              <c:numCache>
                <c:formatCode>0.0%</c:formatCode>
                <c:ptCount val="7"/>
                <c:pt idx="0">
                  <c:v>0.0667408231368187</c:v>
                </c:pt>
                <c:pt idx="1">
                  <c:v>0.0739710789766407</c:v>
                </c:pt>
                <c:pt idx="2">
                  <c:v>0.0873192436040044</c:v>
                </c:pt>
                <c:pt idx="3">
                  <c:v>0.0951056729699666</c:v>
                </c:pt>
                <c:pt idx="4">
                  <c:v>0.0973303670745272</c:v>
                </c:pt>
                <c:pt idx="5">
                  <c:v>0.101779755283648</c:v>
                </c:pt>
                <c:pt idx="6">
                  <c:v>0.102892102335929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1352048"/>
        <c:axId val="-1411300688"/>
      </c:areaChart>
      <c:catAx>
        <c:axId val="-141135204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1300688"/>
        <c:crosses val="autoZero"/>
        <c:auto val="1"/>
        <c:lblAlgn val="ctr"/>
        <c:lblOffset val="100"/>
        <c:noMultiLvlLbl val="0"/>
      </c:catAx>
      <c:valAx>
        <c:axId val="-1411300688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5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135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849003093363329"/>
          <c:y val="0.0666240157480315"/>
          <c:w val="0.881904012705292"/>
          <c:h val="0.754805998756734"/>
        </c:manualLayout>
      </c:layout>
      <c:areaChart>
        <c:grouping val="standard"/>
        <c:varyColors val="0"/>
        <c:ser>
          <c:idx val="0"/>
          <c:order val="0"/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 w="25400">
              <a:noFill/>
            </a:ln>
            <a:effectLst>
              <a:innerShdw blurRad="114300">
                <a:schemeClr val="accent2"/>
              </a:innerShdw>
            </a:effectLst>
          </c:spPr>
          <c:dLbls>
            <c:dLbl>
              <c:idx val="0"/>
              <c:layout>
                <c:manualLayout>
                  <c:x val="0.00754009192854857"/>
                  <c:y val="-0.0721649484536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0.000942579774158557"/>
                  <c:y val="-0.1559278350515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40089587414061"/>
                      <c:h val="0.0622552561084503"/>
                    </c:manualLayout>
                  </c15:layout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0.00188500347268301"/>
                  <c:y val="-0.2577319587628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0.00188500347268286"/>
                  <c:y val="-0.3067010309278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0.00377000694536587"/>
                  <c:y val="-0.3479381443298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Master!$F$18:$F$33</c:f>
              <c:strCache>
                <c:ptCount val="16"/>
                <c:pt idx="0">
                  <c:v>1 day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14</c:v>
                </c:pt>
                <c:pt idx="8">
                  <c:v>21</c:v>
                </c:pt>
                <c:pt idx="9">
                  <c:v>1 month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&gt; 6 months</c:v>
                </c:pt>
              </c:strCache>
            </c:strRef>
          </c:cat>
          <c:val>
            <c:numRef>
              <c:f>Master!$I$18:$I$33</c:f>
              <c:numCache>
                <c:formatCode>0.0%</c:formatCode>
                <c:ptCount val="16"/>
                <c:pt idx="0">
                  <c:v>0.0116796440489433</c:v>
                </c:pt>
                <c:pt idx="1">
                  <c:v>0.0161290322580645</c:v>
                </c:pt>
                <c:pt idx="2">
                  <c:v>0.0216907675194661</c:v>
                </c:pt>
                <c:pt idx="3">
                  <c:v>0.0278086763070078</c:v>
                </c:pt>
                <c:pt idx="4">
                  <c:v>0.0311457174638487</c:v>
                </c:pt>
                <c:pt idx="5">
                  <c:v>0.0333704115684093</c:v>
                </c:pt>
                <c:pt idx="6">
                  <c:v>0.0361512791991101</c:v>
                </c:pt>
                <c:pt idx="7">
                  <c:v>0.0533926585094549</c:v>
                </c:pt>
                <c:pt idx="8">
                  <c:v>0.0667408231368187</c:v>
                </c:pt>
                <c:pt idx="9">
                  <c:v>0.0739710789766407</c:v>
                </c:pt>
                <c:pt idx="10">
                  <c:v>0.0873192436040044</c:v>
                </c:pt>
                <c:pt idx="11">
                  <c:v>0.0951056729699666</c:v>
                </c:pt>
                <c:pt idx="12">
                  <c:v>0.0973303670745272</c:v>
                </c:pt>
                <c:pt idx="13">
                  <c:v>0.101779755283648</c:v>
                </c:pt>
                <c:pt idx="14">
                  <c:v>0.102892102335929</c:v>
                </c:pt>
                <c:pt idx="15">
                  <c:v>0.10845383759733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40260800"/>
        <c:axId val="-1409789232"/>
      </c:areaChart>
      <c:catAx>
        <c:axId val="-144026080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9789232"/>
        <c:crosses val="autoZero"/>
        <c:auto val="1"/>
        <c:lblAlgn val="ctr"/>
        <c:lblOffset val="100"/>
        <c:noMultiLvlLbl val="0"/>
      </c:catAx>
      <c:valAx>
        <c:axId val="-1409789232"/>
        <c:scaling>
          <c:orientation val="minMax"/>
          <c:max val="0.13"/>
          <c:min val="0.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5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026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64491399007"/>
          <c:y val="0.0390625"/>
          <c:w val="0.874947978624974"/>
          <c:h val="0.754513820538058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Master!$A$38:$A$44</c:f>
              <c:strCache>
                <c:ptCount val="7"/>
                <c:pt idx="0">
                  <c:v>&lt;1 month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Master!$B$48:$B$54</c:f>
              <c:numCache>
                <c:formatCode>General</c:formatCode>
                <c:ptCount val="7"/>
                <c:pt idx="0">
                  <c:v>20.0</c:v>
                </c:pt>
                <c:pt idx="1">
                  <c:v>29.0</c:v>
                </c:pt>
                <c:pt idx="2">
                  <c:v>18.0</c:v>
                </c:pt>
                <c:pt idx="3">
                  <c:v>4.0</c:v>
                </c:pt>
                <c:pt idx="4">
                  <c:v>3.0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441050400"/>
        <c:axId val="-1411331824"/>
      </c:barChart>
      <c:catAx>
        <c:axId val="-14410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1331824"/>
        <c:crosses val="autoZero"/>
        <c:auto val="1"/>
        <c:lblAlgn val="ctr"/>
        <c:lblOffset val="100"/>
        <c:noMultiLvlLbl val="0"/>
      </c:catAx>
      <c:valAx>
        <c:axId val="-141133182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15000"/>
                </a:schemeClr>
              </a:solidFill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105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716753746908596"/>
          <c:y val="0.0450450556962606"/>
          <c:w val="0.91424462499238"/>
          <c:h val="0.824123273223613"/>
        </c:manualLayout>
      </c:layout>
      <c:lineChart>
        <c:grouping val="standard"/>
        <c:varyColors val="0"/>
        <c:ser>
          <c:idx val="0"/>
          <c:order val="0"/>
          <c:tx>
            <c:v>Chrome</c:v>
          </c:tx>
          <c:spPr>
            <a:ln w="444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Master!$B$84:$J$84</c:f>
              <c:numCache>
                <c:formatCode>General</c:formatCode>
                <c:ptCount val="9"/>
                <c:pt idx="0">
                  <c:v>2009.0</c:v>
                </c:pt>
                <c:pt idx="1">
                  <c:v>2010.0</c:v>
                </c:pt>
                <c:pt idx="2">
                  <c:v>2011.0</c:v>
                </c:pt>
                <c:pt idx="3">
                  <c:v>2012.0</c:v>
                </c:pt>
                <c:pt idx="4">
                  <c:v>2013.0</c:v>
                </c:pt>
                <c:pt idx="5">
                  <c:v>2014.0</c:v>
                </c:pt>
                <c:pt idx="6">
                  <c:v>2015.0</c:v>
                </c:pt>
                <c:pt idx="7">
                  <c:v>2016.0</c:v>
                </c:pt>
                <c:pt idx="8">
                  <c:v>2017.0</c:v>
                </c:pt>
              </c:numCache>
            </c:numRef>
          </c:cat>
          <c:val>
            <c:numRef>
              <c:f>Master!$B$87:$J$87</c:f>
              <c:numCache>
                <c:formatCode>0.0%</c:formatCode>
                <c:ptCount val="9"/>
                <c:pt idx="0">
                  <c:v>0.0</c:v>
                </c:pt>
                <c:pt idx="1">
                  <c:v>0.0444444444444444</c:v>
                </c:pt>
                <c:pt idx="2">
                  <c:v>0.156363636363636</c:v>
                </c:pt>
                <c:pt idx="3">
                  <c:v>0.154362416107383</c:v>
                </c:pt>
                <c:pt idx="4">
                  <c:v>0.135021097046413</c:v>
                </c:pt>
                <c:pt idx="5">
                  <c:v>0.0864661654135338</c:v>
                </c:pt>
                <c:pt idx="6">
                  <c:v>0.096</c:v>
                </c:pt>
                <c:pt idx="7">
                  <c:v>0.0758293838862559</c:v>
                </c:pt>
                <c:pt idx="8">
                  <c:v>0.0697674418604651</c:v>
                </c:pt>
              </c:numCache>
            </c:numRef>
          </c:val>
          <c:smooth val="0"/>
        </c:ser>
        <c:ser>
          <c:idx val="1"/>
          <c:order val="1"/>
          <c:tx>
            <c:v>Firefox</c:v>
          </c:tx>
          <c:spPr>
            <a:ln w="444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Master!$B$94:$J$94</c:f>
              <c:numCache>
                <c:formatCode>0.0%</c:formatCode>
                <c:ptCount val="9"/>
                <c:pt idx="3">
                  <c:v>0.104166666666667</c:v>
                </c:pt>
                <c:pt idx="4">
                  <c:v>0.0982142857142857</c:v>
                </c:pt>
                <c:pt idx="5">
                  <c:v>0.161904761904762</c:v>
                </c:pt>
                <c:pt idx="6">
                  <c:v>0.15702479338843</c:v>
                </c:pt>
                <c:pt idx="7">
                  <c:v>0.162790697674419</c:v>
                </c:pt>
              </c:numCache>
            </c:numRef>
          </c:val>
          <c:smooth val="0"/>
        </c:ser>
        <c:ser>
          <c:idx val="2"/>
          <c:order val="2"/>
          <c:tx>
            <c:v>Android</c:v>
          </c:tx>
          <c:spPr>
            <a:ln w="44450" cap="rnd">
              <a:solidFill>
                <a:schemeClr val="accent6">
                  <a:alpha val="8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Master!$B$101:$J$101</c:f>
              <c:numCache>
                <c:formatCode>0.0%</c:formatCode>
                <c:ptCount val="9"/>
                <c:pt idx="6">
                  <c:v>0.153846153846154</c:v>
                </c:pt>
                <c:pt idx="7">
                  <c:v>0.233449477351916</c:v>
                </c:pt>
              </c:numCache>
            </c:numRef>
          </c:val>
          <c:smooth val="0"/>
        </c:ser>
        <c:ser>
          <c:idx val="3"/>
          <c:order val="3"/>
          <c:tx>
            <c:v>OpenSSL</c:v>
          </c:tx>
          <c:spPr>
            <a:ln w="44450" cap="rnd">
              <a:solidFill>
                <a:schemeClr val="bg1">
                  <a:lumMod val="65000"/>
                  <a:alpha val="86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Master!$B$108:$J$108</c:f>
              <c:numCache>
                <c:formatCode>0.0%</c:formatCode>
                <c:ptCount val="9"/>
                <c:pt idx="5">
                  <c:v>0.0</c:v>
                </c:pt>
                <c:pt idx="6">
                  <c:v>0.0769230769230769</c:v>
                </c:pt>
                <c:pt idx="7">
                  <c:v>0.0</c:v>
                </c:pt>
                <c:pt idx="8">
                  <c:v>0.0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561220352"/>
        <c:axId val="-1437510976"/>
      </c:lineChart>
      <c:catAx>
        <c:axId val="-15612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7510976"/>
        <c:crosses val="autoZero"/>
        <c:auto val="1"/>
        <c:lblAlgn val="ctr"/>
        <c:lblOffset val="100"/>
        <c:noMultiLvlLbl val="0"/>
      </c:catAx>
      <c:valAx>
        <c:axId val="-1437510976"/>
        <c:scaling>
          <c:orientation val="minMax"/>
          <c:max val="0.24"/>
          <c:min val="0.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6122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54905322283292"/>
          <c:y val="0.0981068127353646"/>
          <c:w val="0.909192181119592"/>
          <c:h val="0.716869028871391"/>
        </c:manualLayout>
      </c:layout>
      <c:lineChart>
        <c:grouping val="standard"/>
        <c:varyColors val="0"/>
        <c:ser>
          <c:idx val="0"/>
          <c:order val="0"/>
          <c:spPr>
            <a:ln w="44450" cap="rnd">
              <a:solidFill>
                <a:schemeClr val="tx1">
                  <a:alpha val="8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0357303709574597"/>
                  <c:y val="-0.06549811708319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38485328830614"/>
                  <c:y val="-0.06912130548898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Master!$B$84:$J$84</c:f>
              <c:numCache>
                <c:formatCode>General</c:formatCode>
                <c:ptCount val="9"/>
                <c:pt idx="0">
                  <c:v>2009.0</c:v>
                </c:pt>
                <c:pt idx="1">
                  <c:v>2010.0</c:v>
                </c:pt>
                <c:pt idx="2">
                  <c:v>2011.0</c:v>
                </c:pt>
                <c:pt idx="3">
                  <c:v>2012.0</c:v>
                </c:pt>
                <c:pt idx="4">
                  <c:v>2013.0</c:v>
                </c:pt>
                <c:pt idx="5">
                  <c:v>2014.0</c:v>
                </c:pt>
                <c:pt idx="6">
                  <c:v>2015.0</c:v>
                </c:pt>
                <c:pt idx="7">
                  <c:v>2016.0</c:v>
                </c:pt>
                <c:pt idx="8">
                  <c:v>2017.0</c:v>
                </c:pt>
              </c:numCache>
            </c:numRef>
          </c:cat>
          <c:val>
            <c:numRef>
              <c:f>Master!$B$115:$J$115</c:f>
              <c:numCache>
                <c:formatCode>0.0%</c:formatCode>
                <c:ptCount val="9"/>
                <c:pt idx="0">
                  <c:v>0.0</c:v>
                </c:pt>
                <c:pt idx="1">
                  <c:v>0.0444444444444444</c:v>
                </c:pt>
                <c:pt idx="2">
                  <c:v>0.156363636363636</c:v>
                </c:pt>
                <c:pt idx="3">
                  <c:v>0.147398843930636</c:v>
                </c:pt>
                <c:pt idx="4">
                  <c:v>0.123209169054441</c:v>
                </c:pt>
                <c:pt idx="5">
                  <c:v>0.102827763496144</c:v>
                </c:pt>
                <c:pt idx="6">
                  <c:v>0.119047619047619</c:v>
                </c:pt>
                <c:pt idx="7">
                  <c:v>0.162751677852349</c:v>
                </c:pt>
                <c:pt idx="8">
                  <c:v>0.0681818181818182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15738256"/>
        <c:axId val="-1435938800"/>
      </c:lineChart>
      <c:catAx>
        <c:axId val="-141573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5938800"/>
        <c:crosses val="autoZero"/>
        <c:auto val="1"/>
        <c:lblAlgn val="ctr"/>
        <c:lblOffset val="100"/>
        <c:noMultiLvlLbl val="0"/>
      </c:catAx>
      <c:valAx>
        <c:axId val="-1435938800"/>
        <c:scaling>
          <c:orientation val="minMax"/>
          <c:max val="0.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573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Days!$A$2:$A$32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&gt; 1 month</c:v>
                </c:pt>
              </c:strCache>
            </c:strRef>
          </c:cat>
          <c:val>
            <c:numRef>
              <c:f>Days!$B$2:$B$32</c:f>
              <c:numCache>
                <c:formatCode>General</c:formatCode>
                <c:ptCount val="31"/>
                <c:pt idx="0">
                  <c:v>17.0</c:v>
                </c:pt>
                <c:pt idx="1">
                  <c:v>8.0</c:v>
                </c:pt>
                <c:pt idx="2">
                  <c:v>10.0</c:v>
                </c:pt>
                <c:pt idx="3">
                  <c:v>9.0</c:v>
                </c:pt>
                <c:pt idx="4">
                  <c:v>6.0</c:v>
                </c:pt>
                <c:pt idx="5">
                  <c:v>4.0</c:v>
                </c:pt>
                <c:pt idx="6">
                  <c:v>5.0</c:v>
                </c:pt>
                <c:pt idx="7">
                  <c:v>6.0</c:v>
                </c:pt>
                <c:pt idx="8">
                  <c:v>3.0</c:v>
                </c:pt>
                <c:pt idx="9">
                  <c:v>6.0</c:v>
                </c:pt>
                <c:pt idx="10">
                  <c:v>4.0</c:v>
                </c:pt>
                <c:pt idx="11">
                  <c:v>0.0</c:v>
                </c:pt>
                <c:pt idx="12">
                  <c:v>5.0</c:v>
                </c:pt>
                <c:pt idx="13">
                  <c:v>6.0</c:v>
                </c:pt>
                <c:pt idx="14">
                  <c:v>5.0</c:v>
                </c:pt>
                <c:pt idx="15">
                  <c:v>3.0</c:v>
                </c:pt>
                <c:pt idx="16">
                  <c:v>4.0</c:v>
                </c:pt>
                <c:pt idx="17">
                  <c:v>3.0</c:v>
                </c:pt>
                <c:pt idx="18">
                  <c:v>3.0</c:v>
                </c:pt>
                <c:pt idx="19">
                  <c:v>4.0</c:v>
                </c:pt>
                <c:pt idx="20">
                  <c:v>1.0</c:v>
                </c:pt>
                <c:pt idx="21">
                  <c:v>2.0</c:v>
                </c:pt>
                <c:pt idx="22">
                  <c:v>2.0</c:v>
                </c:pt>
                <c:pt idx="23">
                  <c:v>0.0</c:v>
                </c:pt>
                <c:pt idx="24">
                  <c:v>2.0</c:v>
                </c:pt>
                <c:pt idx="25">
                  <c:v>1.0</c:v>
                </c:pt>
                <c:pt idx="26">
                  <c:v>3.0</c:v>
                </c:pt>
                <c:pt idx="27">
                  <c:v>0.0</c:v>
                </c:pt>
                <c:pt idx="28">
                  <c:v>0.0</c:v>
                </c:pt>
                <c:pt idx="29">
                  <c:v>2.0</c:v>
                </c:pt>
                <c:pt idx="30">
                  <c:v>59.0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-1414631840"/>
        <c:axId val="-1414629792"/>
      </c:barChart>
      <c:catAx>
        <c:axId val="-141463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4629792"/>
        <c:crosses val="autoZero"/>
        <c:auto val="1"/>
        <c:lblAlgn val="ctr"/>
        <c:lblOffset val="100"/>
        <c:noMultiLvlLbl val="0"/>
      </c:catAx>
      <c:valAx>
        <c:axId val="-14146297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463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Months!$A$2:$A$8</c:f>
              <c:strCache>
                <c:ptCount val="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&gt; 180 Days</c:v>
                </c:pt>
              </c:strCache>
            </c:strRef>
          </c:cat>
          <c:val>
            <c:numRef>
              <c:f>Months!$B$2:$B$8</c:f>
              <c:numCache>
                <c:formatCode>General</c:formatCode>
                <c:ptCount val="7"/>
                <c:pt idx="0">
                  <c:v>124.0</c:v>
                </c:pt>
                <c:pt idx="1">
                  <c:v>23.0</c:v>
                </c:pt>
                <c:pt idx="2">
                  <c:v>14.0</c:v>
                </c:pt>
                <c:pt idx="3">
                  <c:v>4.0</c:v>
                </c:pt>
                <c:pt idx="4">
                  <c:v>8.0</c:v>
                </c:pt>
                <c:pt idx="5">
                  <c:v>1.0</c:v>
                </c:pt>
                <c:pt idx="6">
                  <c:v>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410837120"/>
        <c:axId val="-1410834800"/>
      </c:barChart>
      <c:catAx>
        <c:axId val="-14108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834800"/>
        <c:crosses val="autoZero"/>
        <c:auto val="1"/>
        <c:lblAlgn val="ctr"/>
        <c:lblOffset val="100"/>
        <c:noMultiLvlLbl val="0"/>
      </c:catAx>
      <c:valAx>
        <c:axId val="-14108348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83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cat>
            <c:strRef>
              <c:f>Months!$A$2:$A$8</c:f>
              <c:strCache>
                <c:ptCount val="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&gt; 180 Days</c:v>
                </c:pt>
              </c:strCache>
            </c:strRef>
          </c:cat>
          <c:val>
            <c:numRef>
              <c:f>Months!$C$2:$C$8</c:f>
              <c:numCache>
                <c:formatCode>0.0%</c:formatCode>
                <c:ptCount val="7"/>
                <c:pt idx="0">
                  <c:v>0.6775956284153</c:v>
                </c:pt>
                <c:pt idx="1">
                  <c:v>0.80327868852459</c:v>
                </c:pt>
                <c:pt idx="2">
                  <c:v>0.879781420765027</c:v>
                </c:pt>
                <c:pt idx="3">
                  <c:v>0.901639344262295</c:v>
                </c:pt>
                <c:pt idx="4">
                  <c:v>0.945355191256831</c:v>
                </c:pt>
                <c:pt idx="5">
                  <c:v>0.950819672131147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0822880"/>
        <c:axId val="-1410820560"/>
      </c:areaChart>
      <c:catAx>
        <c:axId val="-141082288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820560"/>
        <c:crossesAt val="0.0"/>
        <c:auto val="1"/>
        <c:lblAlgn val="ctr"/>
        <c:lblOffset val="100"/>
        <c:noMultiLvlLbl val="0"/>
      </c:catAx>
      <c:valAx>
        <c:axId val="-1410820560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8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'Days to Months'!$A$2:$A$35</c:f>
              <c:strCach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60</c:v>
                </c:pt>
                <c:pt idx="31">
                  <c:v>90</c:v>
                </c:pt>
                <c:pt idx="32">
                  <c:v>120</c:v>
                </c:pt>
                <c:pt idx="33">
                  <c:v>&gt; 120 Days</c:v>
                </c:pt>
              </c:strCache>
            </c:strRef>
          </c:cat>
          <c:val>
            <c:numRef>
              <c:f>'Days to Months'!$B$2:$B$35</c:f>
              <c:numCache>
                <c:formatCode>General</c:formatCode>
                <c:ptCount val="34"/>
                <c:pt idx="0">
                  <c:v>17.0</c:v>
                </c:pt>
                <c:pt idx="1">
                  <c:v>8.0</c:v>
                </c:pt>
                <c:pt idx="2">
                  <c:v>10.0</c:v>
                </c:pt>
                <c:pt idx="3">
                  <c:v>9.0</c:v>
                </c:pt>
                <c:pt idx="4">
                  <c:v>6.0</c:v>
                </c:pt>
                <c:pt idx="5">
                  <c:v>4.0</c:v>
                </c:pt>
                <c:pt idx="6">
                  <c:v>5.0</c:v>
                </c:pt>
                <c:pt idx="7">
                  <c:v>6.0</c:v>
                </c:pt>
                <c:pt idx="8">
                  <c:v>3.0</c:v>
                </c:pt>
                <c:pt idx="9">
                  <c:v>6.0</c:v>
                </c:pt>
                <c:pt idx="10">
                  <c:v>4.0</c:v>
                </c:pt>
                <c:pt idx="11">
                  <c:v>0.0</c:v>
                </c:pt>
                <c:pt idx="12">
                  <c:v>5.0</c:v>
                </c:pt>
                <c:pt idx="13">
                  <c:v>6.0</c:v>
                </c:pt>
                <c:pt idx="14">
                  <c:v>5.0</c:v>
                </c:pt>
                <c:pt idx="15">
                  <c:v>3.0</c:v>
                </c:pt>
                <c:pt idx="16">
                  <c:v>4.0</c:v>
                </c:pt>
                <c:pt idx="17">
                  <c:v>3.0</c:v>
                </c:pt>
                <c:pt idx="18">
                  <c:v>3.0</c:v>
                </c:pt>
                <c:pt idx="19">
                  <c:v>4.0</c:v>
                </c:pt>
                <c:pt idx="20">
                  <c:v>1.0</c:v>
                </c:pt>
                <c:pt idx="21">
                  <c:v>2.0</c:v>
                </c:pt>
                <c:pt idx="22">
                  <c:v>2.0</c:v>
                </c:pt>
                <c:pt idx="23">
                  <c:v>0.0</c:v>
                </c:pt>
                <c:pt idx="24">
                  <c:v>2.0</c:v>
                </c:pt>
                <c:pt idx="25">
                  <c:v>1.0</c:v>
                </c:pt>
                <c:pt idx="26">
                  <c:v>3.0</c:v>
                </c:pt>
                <c:pt idx="27">
                  <c:v>0.0</c:v>
                </c:pt>
                <c:pt idx="28">
                  <c:v>0.0</c:v>
                </c:pt>
                <c:pt idx="29">
                  <c:v>2.0</c:v>
                </c:pt>
                <c:pt idx="30">
                  <c:v>23.0</c:v>
                </c:pt>
                <c:pt idx="31">
                  <c:v>14.0</c:v>
                </c:pt>
                <c:pt idx="32">
                  <c:v>4.0</c:v>
                </c:pt>
                <c:pt idx="33">
                  <c:v>18.0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414819584"/>
        <c:axId val="-1414583952"/>
      </c:barChart>
      <c:catAx>
        <c:axId val="-141481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4583952"/>
        <c:crosses val="autoZero"/>
        <c:auto val="1"/>
        <c:lblAlgn val="ctr"/>
        <c:lblOffset val="100"/>
        <c:noMultiLvlLbl val="0"/>
      </c:catAx>
      <c:valAx>
        <c:axId val="-14145839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48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'Weeks to Months'!$A$2:$A$11</c:f>
              <c:strCache>
                <c:ptCount val="10"/>
                <c:pt idx="0">
                  <c:v>7 days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2 months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&gt; 180 Days</c:v>
                </c:pt>
              </c:strCache>
            </c:strRef>
          </c:cat>
          <c:val>
            <c:numRef>
              <c:f>'Weeks to Months'!$B$2:$B$11</c:f>
              <c:numCache>
                <c:formatCode>General</c:formatCode>
                <c:ptCount val="10"/>
                <c:pt idx="0">
                  <c:v>59.0</c:v>
                </c:pt>
                <c:pt idx="1">
                  <c:v>30.0</c:v>
                </c:pt>
                <c:pt idx="2">
                  <c:v>23.0</c:v>
                </c:pt>
                <c:pt idx="3">
                  <c:v>10.0</c:v>
                </c:pt>
                <c:pt idx="4">
                  <c:v>25.0</c:v>
                </c:pt>
                <c:pt idx="5">
                  <c:v>14.0</c:v>
                </c:pt>
                <c:pt idx="6">
                  <c:v>4.0</c:v>
                </c:pt>
                <c:pt idx="7">
                  <c:v>8.0</c:v>
                </c:pt>
                <c:pt idx="8">
                  <c:v>1.0</c:v>
                </c:pt>
                <c:pt idx="9">
                  <c:v>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415430352"/>
        <c:axId val="-1415428032"/>
      </c:barChart>
      <c:catAx>
        <c:axId val="-14154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5428032"/>
        <c:crosses val="autoZero"/>
        <c:auto val="1"/>
        <c:lblAlgn val="ctr"/>
        <c:lblOffset val="100"/>
        <c:noMultiLvlLbl val="0"/>
      </c:catAx>
      <c:valAx>
        <c:axId val="-14154280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alpha val="1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543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21326525019639"/>
          <c:y val="0.0534662422516334"/>
          <c:w val="0.906569139704405"/>
          <c:h val="0.738539118780365"/>
        </c:manualLayout>
      </c:layout>
      <c:areaChart>
        <c:grouping val="standard"/>
        <c:varyColors val="0"/>
        <c:ser>
          <c:idx val="0"/>
          <c:order val="0"/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0.00220313548250419"/>
                  <c:y val="-0.2304964539007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3.90169838635641E-5"/>
                  <c:y val="-0.3652482269503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8.50724897798104E-17"/>
                  <c:y val="-0.4007092198581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-0.00224215246636771"/>
                  <c:y val="-0.3971631205673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'Days to Weeks to Months'!$A$31:$A$50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14</c:v>
                </c:pt>
                <c:pt idx="8">
                  <c:v>21</c:v>
                </c:pt>
                <c:pt idx="9">
                  <c:v>28</c:v>
                </c:pt>
                <c:pt idx="10">
                  <c:v>30</c:v>
                </c:pt>
                <c:pt idx="11">
                  <c:v>60</c:v>
                </c:pt>
                <c:pt idx="12">
                  <c:v>90</c:v>
                </c:pt>
                <c:pt idx="13">
                  <c:v>120</c:v>
                </c:pt>
                <c:pt idx="14">
                  <c:v>150</c:v>
                </c:pt>
                <c:pt idx="15">
                  <c:v>180</c:v>
                </c:pt>
                <c:pt idx="16">
                  <c:v>210</c:v>
                </c:pt>
                <c:pt idx="17">
                  <c:v>240</c:v>
                </c:pt>
                <c:pt idx="18">
                  <c:v>270-365</c:v>
                </c:pt>
                <c:pt idx="19">
                  <c:v>&gt;1 year</c:v>
                </c:pt>
              </c:strCache>
            </c:strRef>
          </c:cat>
          <c:val>
            <c:numRef>
              <c:f>'Days to Weeks to Months'!$D$31:$D$50</c:f>
              <c:numCache>
                <c:formatCode>0.0%</c:formatCode>
                <c:ptCount val="20"/>
                <c:pt idx="0">
                  <c:v>0.092896174863388</c:v>
                </c:pt>
                <c:pt idx="1">
                  <c:v>0.136612021857923</c:v>
                </c:pt>
                <c:pt idx="2">
                  <c:v>0.191256830601093</c:v>
                </c:pt>
                <c:pt idx="3">
                  <c:v>0.240437158469945</c:v>
                </c:pt>
                <c:pt idx="4">
                  <c:v>0.273224043715847</c:v>
                </c:pt>
                <c:pt idx="5">
                  <c:v>0.295081967213115</c:v>
                </c:pt>
                <c:pt idx="6">
                  <c:v>0.322404371584699</c:v>
                </c:pt>
                <c:pt idx="7">
                  <c:v>0.486338797814208</c:v>
                </c:pt>
                <c:pt idx="8">
                  <c:v>0.612021857923497</c:v>
                </c:pt>
                <c:pt idx="9">
                  <c:v>0.666666666666667</c:v>
                </c:pt>
                <c:pt idx="10">
                  <c:v>0.6775956284153</c:v>
                </c:pt>
                <c:pt idx="11">
                  <c:v>0.80327868852459</c:v>
                </c:pt>
                <c:pt idx="12">
                  <c:v>0.879781420765027</c:v>
                </c:pt>
                <c:pt idx="13">
                  <c:v>0.901639344262295</c:v>
                </c:pt>
                <c:pt idx="14">
                  <c:v>0.945355191256831</c:v>
                </c:pt>
                <c:pt idx="15">
                  <c:v>0.950819672131147</c:v>
                </c:pt>
                <c:pt idx="16">
                  <c:v>0.967213114754098</c:v>
                </c:pt>
                <c:pt idx="17">
                  <c:v>0.978142076502732</c:v>
                </c:pt>
                <c:pt idx="18">
                  <c:v>0.983606557377049</c:v>
                </c:pt>
                <c:pt idx="19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5406528"/>
        <c:axId val="-1415404208"/>
      </c:areaChart>
      <c:catAx>
        <c:axId val="-141540652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5404208"/>
        <c:crosses val="autoZero"/>
        <c:auto val="1"/>
        <c:lblAlgn val="ctr"/>
        <c:lblOffset val="100"/>
        <c:noMultiLvlLbl val="0"/>
      </c:catAx>
      <c:valAx>
        <c:axId val="-1415404208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5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540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15"/>
      <c:rotY val="22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721326525019639"/>
          <c:y val="0.0534662422516334"/>
          <c:w val="0.906569139704405"/>
          <c:h val="0.738539118780365"/>
        </c:manualLayout>
      </c:layout>
      <c:area3DChart>
        <c:grouping val="standard"/>
        <c:varyColors val="0"/>
        <c:ser>
          <c:idx val="0"/>
          <c:order val="0"/>
          <c:tx>
            <c:v>2012</c:v>
          </c:tx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  <a:sp3d/>
          </c:spPr>
          <c:cat>
            <c:strRef>
              <c:f>'Y2Y Aggregate Rate'!$A$71:$A$80</c:f>
              <c:strCache>
                <c:ptCount val="1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&gt;180 days</c:v>
                </c:pt>
              </c:strCache>
            </c:strRef>
          </c:cat>
          <c:val>
            <c:numRef>
              <c:f>'Y2Y Aggregate Rate'!$D$4:$D$13</c:f>
              <c:numCache>
                <c:formatCode>0.0%</c:formatCode>
                <c:ptCount val="10"/>
                <c:pt idx="0">
                  <c:v>0.0536912751677852</c:v>
                </c:pt>
                <c:pt idx="1">
                  <c:v>0.063758389261745</c:v>
                </c:pt>
                <c:pt idx="2">
                  <c:v>0.0838926174496644</c:v>
                </c:pt>
                <c:pt idx="3">
                  <c:v>0.087248322147651</c:v>
                </c:pt>
                <c:pt idx="4">
                  <c:v>0.10738255033557</c:v>
                </c:pt>
                <c:pt idx="5">
                  <c:v>0.124161073825503</c:v>
                </c:pt>
                <c:pt idx="6">
                  <c:v>0.12751677852349</c:v>
                </c:pt>
                <c:pt idx="7">
                  <c:v>0.130872483221477</c:v>
                </c:pt>
                <c:pt idx="8">
                  <c:v>0.130872483221477</c:v>
                </c:pt>
                <c:pt idx="9">
                  <c:v>0.13758389261745</c:v>
                </c:pt>
              </c:numCache>
            </c:numRef>
          </c:val>
        </c:ser>
        <c:ser>
          <c:idx val="1"/>
          <c:order val="1"/>
          <c:tx>
            <c:v>2013</c:v>
          </c:tx>
          <c:spPr>
            <a:pattFill prst="ltUpDiag">
              <a:fgClr>
                <a:schemeClr val="accent2">
                  <a:shade val="76000"/>
                </a:schemeClr>
              </a:fgClr>
              <a:bgClr>
                <a:schemeClr val="accent2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shade val="76000"/>
                </a:schemeClr>
              </a:innerShdw>
            </a:effectLst>
            <a:sp3d/>
          </c:spPr>
          <c:cat>
            <c:strRef>
              <c:f>'Y2Y Aggregate Rate'!$A$71:$A$80</c:f>
              <c:strCache>
                <c:ptCount val="1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&gt;180 days</c:v>
                </c:pt>
              </c:strCache>
            </c:strRef>
          </c:cat>
          <c:val>
            <c:numRef>
              <c:f>'Y2Y Aggregate Rate'!$D$21:$D$30</c:f>
              <c:numCache>
                <c:formatCode>0.0%</c:formatCode>
                <c:ptCount val="10"/>
                <c:pt idx="0">
                  <c:v>0.0295358649789029</c:v>
                </c:pt>
                <c:pt idx="1">
                  <c:v>0.0548523206751055</c:v>
                </c:pt>
                <c:pt idx="2">
                  <c:v>0.0759493670886076</c:v>
                </c:pt>
                <c:pt idx="3">
                  <c:v>0.0886075949367088</c:v>
                </c:pt>
                <c:pt idx="4">
                  <c:v>0.105485232067511</c:v>
                </c:pt>
                <c:pt idx="5">
                  <c:v>0.109704641350211</c:v>
                </c:pt>
                <c:pt idx="6">
                  <c:v>0.113924050632911</c:v>
                </c:pt>
                <c:pt idx="7">
                  <c:v>0.126582278481013</c:v>
                </c:pt>
                <c:pt idx="8">
                  <c:v>0.126582278481013</c:v>
                </c:pt>
                <c:pt idx="9">
                  <c:v>0.135021097046413</c:v>
                </c:pt>
              </c:numCache>
            </c:numRef>
          </c:val>
        </c:ser>
        <c:ser>
          <c:idx val="2"/>
          <c:order val="2"/>
          <c:tx>
            <c:v>2014</c:v>
          </c:tx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  <a:sp3d/>
          </c:spPr>
          <c:cat>
            <c:strRef>
              <c:f>'Y2Y Aggregate Rate'!$A$71:$A$80</c:f>
              <c:strCache>
                <c:ptCount val="1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&gt;180 days</c:v>
                </c:pt>
              </c:strCache>
            </c:strRef>
          </c:cat>
          <c:val>
            <c:numRef>
              <c:f>'Y2Y Aggregate Rate'!$D$38:$D$47</c:f>
              <c:numCache>
                <c:formatCode>0.0%</c:formatCode>
                <c:ptCount val="10"/>
                <c:pt idx="0">
                  <c:v>0.0150375939849624</c:v>
                </c:pt>
                <c:pt idx="1">
                  <c:v>0.037593984962406</c:v>
                </c:pt>
                <c:pt idx="2">
                  <c:v>0.0451127819548872</c:v>
                </c:pt>
                <c:pt idx="3">
                  <c:v>0.0451127819548872</c:v>
                </c:pt>
                <c:pt idx="4">
                  <c:v>0.0639097744360902</c:v>
                </c:pt>
                <c:pt idx="5">
                  <c:v>0.0676691729323308</c:v>
                </c:pt>
                <c:pt idx="6">
                  <c:v>0.0676691729323308</c:v>
                </c:pt>
                <c:pt idx="7">
                  <c:v>0.075187969924812</c:v>
                </c:pt>
                <c:pt idx="8">
                  <c:v>0.075187969924812</c:v>
                </c:pt>
                <c:pt idx="9">
                  <c:v>0.0827067669172932</c:v>
                </c:pt>
              </c:numCache>
            </c:numRef>
          </c:val>
        </c:ser>
        <c:ser>
          <c:idx val="3"/>
          <c:order val="3"/>
          <c:tx>
            <c:v>2015</c:v>
          </c:tx>
          <c:spPr>
            <a:pattFill prst="ltUpDiag">
              <a:fgClr>
                <a:schemeClr val="accent2">
                  <a:tint val="77000"/>
                </a:schemeClr>
              </a:fgClr>
              <a:bgClr>
                <a:schemeClr val="accent2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tint val="77000"/>
                </a:schemeClr>
              </a:innerShdw>
            </a:effectLst>
            <a:sp3d/>
          </c:spPr>
          <c:cat>
            <c:strRef>
              <c:f>'Y2Y Aggregate Rate'!$A$71:$A$80</c:f>
              <c:strCache>
                <c:ptCount val="1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&gt;180 days</c:v>
                </c:pt>
              </c:strCache>
            </c:strRef>
          </c:cat>
          <c:val>
            <c:numRef>
              <c:f>'Y2Y Aggregate Rate'!$D$55:$D$64</c:f>
              <c:numCache>
                <c:formatCode>0.0%</c:formatCode>
                <c:ptCount val="10"/>
                <c:pt idx="0">
                  <c:v>0.028</c:v>
                </c:pt>
                <c:pt idx="1">
                  <c:v>0.052</c:v>
                </c:pt>
                <c:pt idx="2">
                  <c:v>0.06</c:v>
                </c:pt>
                <c:pt idx="3">
                  <c:v>0.072</c:v>
                </c:pt>
                <c:pt idx="4">
                  <c:v>0.076</c:v>
                </c:pt>
                <c:pt idx="5">
                  <c:v>0.076</c:v>
                </c:pt>
                <c:pt idx="6">
                  <c:v>0.076</c:v>
                </c:pt>
                <c:pt idx="7">
                  <c:v>0.084</c:v>
                </c:pt>
                <c:pt idx="8">
                  <c:v>0.088</c:v>
                </c:pt>
                <c:pt idx="9">
                  <c:v>0.092</c:v>
                </c:pt>
              </c:numCache>
            </c:numRef>
          </c:val>
        </c:ser>
        <c:ser>
          <c:idx val="4"/>
          <c:order val="4"/>
          <c:tx>
            <c:v>2016</c:v>
          </c:tx>
          <c:spPr>
            <a:pattFill prst="ltUpDiag">
              <a:fgClr>
                <a:schemeClr val="accent2">
                  <a:tint val="54000"/>
                </a:schemeClr>
              </a:fgClr>
              <a:bgClr>
                <a:schemeClr val="accent2">
                  <a:tint val="54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tint val="54000"/>
                </a:schemeClr>
              </a:innerShdw>
            </a:effectLst>
            <a:sp3d/>
          </c:spPr>
          <c:cat>
            <c:strRef>
              <c:f>'Y2Y Aggregate Rate'!$A$71:$A$80</c:f>
              <c:strCache>
                <c:ptCount val="1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&gt;180 days</c:v>
                </c:pt>
              </c:strCache>
            </c:strRef>
          </c:cat>
          <c:val>
            <c:numRef>
              <c:f>'Y2Y Aggregate Rate'!$D$71:$D$80</c:f>
              <c:numCache>
                <c:formatCode>0.0%</c:formatCode>
                <c:ptCount val="10"/>
                <c:pt idx="0">
                  <c:v>0.037914691943128</c:v>
                </c:pt>
                <c:pt idx="1">
                  <c:v>0.042654028436019</c:v>
                </c:pt>
                <c:pt idx="2">
                  <c:v>0.0521327014218009</c:v>
                </c:pt>
                <c:pt idx="3">
                  <c:v>0.0568720379146919</c:v>
                </c:pt>
                <c:pt idx="4">
                  <c:v>0.0568720379146919</c:v>
                </c:pt>
                <c:pt idx="5">
                  <c:v>0.0710900473933649</c:v>
                </c:pt>
                <c:pt idx="6">
                  <c:v>0.0710900473933649</c:v>
                </c:pt>
                <c:pt idx="7">
                  <c:v>0.0710900473933649</c:v>
                </c:pt>
                <c:pt idx="8">
                  <c:v>0.0710900473933649</c:v>
                </c:pt>
                <c:pt idx="9">
                  <c:v>0.0758293838862559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31"/>
        <c:axId val="-1410564624"/>
        <c:axId val="-1410598416"/>
        <c:axId val="-1410596096"/>
      </c:area3DChart>
      <c:catAx>
        <c:axId val="-14105646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598416"/>
        <c:crosses val="autoZero"/>
        <c:auto val="1"/>
        <c:lblAlgn val="ctr"/>
        <c:lblOffset val="100"/>
        <c:noMultiLvlLbl val="0"/>
      </c:catAx>
      <c:valAx>
        <c:axId val="-1410598416"/>
        <c:scaling>
          <c:orientation val="minMax"/>
          <c:max val="0.2"/>
        </c:scaling>
        <c:delete val="0"/>
        <c:axPos val="r"/>
        <c:majorGridlines>
          <c:spPr>
            <a:ln w="9525" cap="flat" cmpd="sng" algn="ctr">
              <a:solidFill>
                <a:schemeClr val="accent1">
                  <a:alpha val="15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564624"/>
        <c:crosses val="autoZero"/>
        <c:crossBetween val="midCat"/>
      </c:valAx>
      <c:serAx>
        <c:axId val="-1410596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10598416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165100</xdr:colOff>
      <xdr:row>1</xdr:row>
      <xdr:rowOff>25400</xdr:rowOff>
    </xdr:from>
    <xdr:to>
      <xdr:col>23</xdr:col>
      <xdr:colOff>25400</xdr:colOff>
      <xdr:row>30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413905</xdr:colOff>
      <xdr:row>36</xdr:row>
      <xdr:rowOff>110836</xdr:rowOff>
    </xdr:from>
    <xdr:to>
      <xdr:col>19</xdr:col>
      <xdr:colOff>766619</xdr:colOff>
      <xdr:row>57</xdr:row>
      <xdr:rowOff>7504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561108</xdr:colOff>
      <xdr:row>37</xdr:row>
      <xdr:rowOff>175490</xdr:rowOff>
    </xdr:from>
    <xdr:to>
      <xdr:col>39</xdr:col>
      <xdr:colOff>170295</xdr:colOff>
      <xdr:row>65</xdr:row>
      <xdr:rowOff>146627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487218</xdr:colOff>
      <xdr:row>14</xdr:row>
      <xdr:rowOff>7505</xdr:rowOff>
    </xdr:from>
    <xdr:to>
      <xdr:col>34</xdr:col>
      <xdr:colOff>709468</xdr:colOff>
      <xdr:row>42</xdr:row>
      <xdr:rowOff>43873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319232</xdr:colOff>
      <xdr:row>66</xdr:row>
      <xdr:rowOff>82165</xdr:rowOff>
    </xdr:from>
    <xdr:to>
      <xdr:col>27</xdr:col>
      <xdr:colOff>98714</xdr:colOff>
      <xdr:row>93</xdr:row>
      <xdr:rowOff>71582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8466</xdr:colOff>
      <xdr:row>99</xdr:row>
      <xdr:rowOff>16934</xdr:rowOff>
    </xdr:from>
    <xdr:to>
      <xdr:col>22</xdr:col>
      <xdr:colOff>135466</xdr:colOff>
      <xdr:row>118</xdr:row>
      <xdr:rowOff>101600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0.03477</cdr:x>
      <cdr:y>0.25521</cdr:y>
    </cdr:from>
    <cdr:to>
      <cdr:x>0.06475</cdr:x>
      <cdr:y>0.66927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482600" y="2095500"/>
          <a:ext cx="20193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#</a:t>
          </a:r>
          <a:r>
            <a:rPr lang="en-US" sz="1200" b="1" baseline="0"/>
            <a:t> of Rediscovered Vulnerabilities</a:t>
          </a:r>
          <a:endParaRPr lang="en-US" sz="1200" b="1"/>
        </a:p>
      </cdr:txBody>
    </cdr:sp>
  </cdr:relSizeAnchor>
  <cdr:relSizeAnchor xmlns:cdr="http://schemas.openxmlformats.org/drawingml/2006/chartDrawing">
    <cdr:from>
      <cdr:x>0.40887</cdr:x>
      <cdr:y>0.88021</cdr:y>
    </cdr:from>
    <cdr:to>
      <cdr:x>0.64868</cdr:x>
      <cdr:y>0.94531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330700" y="4292600"/>
          <a:ext cx="25400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/>
            <a:t>Time Elapsed</a:t>
          </a:r>
          <a:r>
            <a:rPr lang="en-US" sz="1200" b="1" baseline="0"/>
            <a:t> from Original Disclosure</a:t>
          </a:r>
          <a:endParaRPr lang="en-US" sz="12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0.40413</cdr:x>
      <cdr:y>0.90722</cdr:y>
    </cdr:from>
    <cdr:to>
      <cdr:x>0.69912</cdr:x>
      <cdr:y>0.98625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79800" y="3352800"/>
          <a:ext cx="25400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Time Elapsed from Original Disclosure</a:t>
          </a:r>
        </a:p>
      </cdr:txBody>
    </cdr:sp>
  </cdr:relSizeAnchor>
  <cdr:relSizeAnchor xmlns:cdr="http://schemas.openxmlformats.org/drawingml/2006/chartDrawing">
    <cdr:from>
      <cdr:x>0.01917</cdr:x>
      <cdr:y>0.46735</cdr:y>
    </cdr:from>
    <cdr:to>
      <cdr:x>0.05457</cdr:x>
      <cdr:y>0.6701</cdr:y>
    </cdr:to>
    <cdr:sp macro="" textlink="">
      <cdr:nvSpPr>
        <cdr:cNvPr id="3" name="TextBox 2"/>
        <cdr:cNvSpPr txBox="1"/>
      </cdr:nvSpPr>
      <cdr:spPr>
        <a:xfrm xmlns:a="http://schemas.openxmlformats.org/drawingml/2006/main" rot="16200000">
          <a:off x="-57150" y="1949450"/>
          <a:ext cx="7493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/>
            <a:t>Rediscovery</a:t>
          </a:r>
          <a:r>
            <a:rPr lang="en-US" sz="1200" b="1" baseline="0"/>
            <a:t> Rate</a:t>
          </a:r>
          <a:endParaRPr lang="en-US" sz="1200" b="1"/>
        </a:p>
      </cdr:txBody>
    </cdr:sp>
  </cdr:relSizeAnchor>
  <cdr:relSizeAnchor xmlns:cdr="http://schemas.openxmlformats.org/drawingml/2006/chartDrawing">
    <cdr:from>
      <cdr:x>0.90223</cdr:x>
      <cdr:y>0.44557</cdr:y>
    </cdr:from>
    <cdr:to>
      <cdr:x>0.97961</cdr:x>
      <cdr:y>0.52962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740072" y="1606551"/>
          <a:ext cx="663864" cy="303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Android</a:t>
          </a:r>
        </a:p>
      </cdr:txBody>
    </cdr:sp>
  </cdr:relSizeAnchor>
  <cdr:relSizeAnchor xmlns:cdr="http://schemas.openxmlformats.org/drawingml/2006/chartDrawing">
    <cdr:from>
      <cdr:x>0.90855</cdr:x>
      <cdr:y>0.72174</cdr:y>
    </cdr:from>
    <cdr:to>
      <cdr:x>0.98129</cdr:x>
      <cdr:y>0.8058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794336" y="2602346"/>
          <a:ext cx="624031" cy="303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Chrome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0.45031</cdr:x>
      <cdr:y>0.90464</cdr:y>
    </cdr:from>
    <cdr:to>
      <cdr:x>0.64817</cdr:x>
      <cdr:y>0.98367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70362" y="4457717"/>
          <a:ext cx="2535438" cy="3894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Time Elapsed from Original Disclosure</a:t>
          </a:r>
        </a:p>
      </cdr:txBody>
    </cdr:sp>
  </cdr:relSizeAnchor>
  <cdr:relSizeAnchor xmlns:cdr="http://schemas.openxmlformats.org/drawingml/2006/chartDrawing">
    <cdr:from>
      <cdr:x>0.00417</cdr:x>
      <cdr:y>0.3286</cdr:y>
    </cdr:from>
    <cdr:to>
      <cdr:x>0.03951</cdr:x>
      <cdr:y>0.61064</cdr:y>
    </cdr:to>
    <cdr:sp macro="" textlink="">
      <cdr:nvSpPr>
        <cdr:cNvPr id="3" name="TextBox 2"/>
        <cdr:cNvSpPr txBox="1"/>
      </cdr:nvSpPr>
      <cdr:spPr>
        <a:xfrm xmlns:a="http://schemas.openxmlformats.org/drawingml/2006/main" rot="16200000">
          <a:off x="-414979" y="2087655"/>
          <a:ext cx="1389780" cy="452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/>
            <a:t>Rediscovery</a:t>
          </a:r>
          <a:r>
            <a:rPr lang="en-US" sz="1200" b="1" baseline="0"/>
            <a:t> Rate</a:t>
          </a:r>
          <a:endParaRPr lang="en-US" sz="12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0.01979</cdr:x>
      <cdr:y>0.2631</cdr:y>
    </cdr:from>
    <cdr:to>
      <cdr:x>0.04977</cdr:x>
      <cdr:y>0.67716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704299" y="2141796"/>
          <a:ext cx="1998254" cy="254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#</a:t>
          </a:r>
          <a:r>
            <a:rPr lang="en-US" sz="1200" b="1" baseline="0"/>
            <a:t> of Rediscovered Vulnerabilities</a:t>
          </a:r>
          <a:endParaRPr lang="en-US" sz="1200" b="1"/>
        </a:p>
      </cdr:txBody>
    </cdr:sp>
  </cdr:relSizeAnchor>
  <cdr:relSizeAnchor xmlns:cdr="http://schemas.openxmlformats.org/drawingml/2006/chartDrawing">
    <cdr:from>
      <cdr:x>0.36992</cdr:x>
      <cdr:y>0.88021</cdr:y>
    </cdr:from>
    <cdr:to>
      <cdr:x>0.60973</cdr:x>
      <cdr:y>0.94531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35893" y="4247893"/>
          <a:ext cx="2032930" cy="314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/>
            <a:t>Time Elapsed</a:t>
          </a:r>
          <a:r>
            <a:rPr lang="en-US" sz="1200" b="1" baseline="0"/>
            <a:t> from Original Disclosure</a:t>
          </a:r>
          <a:endParaRPr lang="en-US" sz="1200" b="1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0.00595</cdr:x>
      <cdr:y>0.36716</cdr:y>
    </cdr:from>
    <cdr:to>
      <cdr:x>0.03095</cdr:x>
      <cdr:y>0.60298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46362" y="2193635"/>
          <a:ext cx="1140114" cy="303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300" b="1"/>
            <a:t>Rediscovery Rate</a:t>
          </a:r>
        </a:p>
      </cdr:txBody>
    </cdr:sp>
  </cdr:relSizeAnchor>
  <cdr:relSizeAnchor xmlns:cdr="http://schemas.openxmlformats.org/drawingml/2006/chartDrawing">
    <cdr:from>
      <cdr:x>0.503</cdr:x>
      <cdr:y>0.91797</cdr:y>
    </cdr:from>
    <cdr:to>
      <cdr:x>0.59705</cdr:x>
      <cdr:y>0.98066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097731" y="4438073"/>
          <a:ext cx="1140114" cy="303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/>
            <a:t>Year 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0.49993</cdr:x>
      <cdr:y>0.90141</cdr:y>
    </cdr:from>
    <cdr:to>
      <cdr:x>0.59898</cdr:x>
      <cdr:y>0.98995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930038" y="3434374"/>
          <a:ext cx="1174937" cy="3373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/>
            <a:t>Year </a:t>
          </a:r>
        </a:p>
      </cdr:txBody>
    </cdr:sp>
  </cdr:relSizeAnchor>
  <cdr:relSizeAnchor xmlns:cdr="http://schemas.openxmlformats.org/drawingml/2006/chartDrawing">
    <cdr:from>
      <cdr:x>0.00729</cdr:x>
      <cdr:y>0.28019</cdr:y>
    </cdr:from>
    <cdr:to>
      <cdr:x>0.03362</cdr:x>
      <cdr:y>0.61328</cdr:y>
    </cdr:to>
    <cdr:sp macro="" textlink="">
      <cdr:nvSpPr>
        <cdr:cNvPr id="3" name="TextBox 2"/>
        <cdr:cNvSpPr txBox="1"/>
      </cdr:nvSpPr>
      <cdr:spPr>
        <a:xfrm xmlns:a="http://schemas.openxmlformats.org/drawingml/2006/main" rot="16200000">
          <a:off x="-346275" y="1413075"/>
          <a:ext cx="1167522" cy="305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/>
            <a:t>Rediscovery Rate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6</xdr:row>
      <xdr:rowOff>12700</xdr:rowOff>
    </xdr:from>
    <xdr:to>
      <xdr:col>17</xdr:col>
      <xdr:colOff>190500</xdr:colOff>
      <xdr:row>32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774700</xdr:colOff>
      <xdr:row>0</xdr:row>
      <xdr:rowOff>152400</xdr:rowOff>
    </xdr:from>
    <xdr:to>
      <xdr:col>18</xdr:col>
      <xdr:colOff>177800</xdr:colOff>
      <xdr:row>24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406400</xdr:colOff>
      <xdr:row>27</xdr:row>
      <xdr:rowOff>76200</xdr:rowOff>
    </xdr:from>
    <xdr:to>
      <xdr:col>16</xdr:col>
      <xdr:colOff>406400</xdr:colOff>
      <xdr:row>54</xdr:row>
      <xdr:rowOff>101600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8</xdr:row>
      <xdr:rowOff>63500</xdr:rowOff>
    </xdr:from>
    <xdr:to>
      <xdr:col>21</xdr:col>
      <xdr:colOff>203200</xdr:colOff>
      <xdr:row>34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6</xdr:row>
      <xdr:rowOff>127000</xdr:rowOff>
    </xdr:from>
    <xdr:to>
      <xdr:col>19</xdr:col>
      <xdr:colOff>317500</xdr:colOff>
      <xdr:row>34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30</xdr:row>
      <xdr:rowOff>152400</xdr:rowOff>
    </xdr:from>
    <xdr:to>
      <xdr:col>19</xdr:col>
      <xdr:colOff>12700</xdr:colOff>
      <xdr:row>52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711200</xdr:colOff>
      <xdr:row>8</xdr:row>
      <xdr:rowOff>152400</xdr:rowOff>
    </xdr:from>
    <xdr:to>
      <xdr:col>15</xdr:col>
      <xdr:colOff>444500</xdr:colOff>
      <xdr:row>34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DengXian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DengXian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DengXian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DengXian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s://bugs.chromium.org/u/242106711/" TargetMode="External"/><Relationship Id="rId12" Type="http://schemas.openxmlformats.org/officeDocument/2006/relationships/hyperlink" Target="https://bugs.chromium.org/u/3400547136/" TargetMode="External"/><Relationship Id="rId13" Type="http://schemas.openxmlformats.org/officeDocument/2006/relationships/hyperlink" Target="https://bugs.chromium.org/u/2757933724/" TargetMode="External"/><Relationship Id="rId14" Type="http://schemas.openxmlformats.org/officeDocument/2006/relationships/hyperlink" Target="https://bugs.chromium.org/u/sebmarchand@chromium.org/" TargetMode="External"/><Relationship Id="rId1" Type="http://schemas.openxmlformats.org/officeDocument/2006/relationships/hyperlink" Target="https://bugs.chromium.org/u/2642961223/" TargetMode="External"/><Relationship Id="rId2" Type="http://schemas.openxmlformats.org/officeDocument/2006/relationships/hyperlink" Target="https://bugs.chromium.org/u/hubbe@chromium.org/" TargetMode="External"/><Relationship Id="rId3" Type="http://schemas.openxmlformats.org/officeDocument/2006/relationships/hyperlink" Target="https://bugs.chromium.org/u/2757933724/" TargetMode="External"/><Relationship Id="rId4" Type="http://schemas.openxmlformats.org/officeDocument/2006/relationships/hyperlink" Target="https://bugs.chromium.org/u/sky@chromium.org/" TargetMode="External"/><Relationship Id="rId5" Type="http://schemas.openxmlformats.org/officeDocument/2006/relationships/hyperlink" Target="https://bugs.chromium.org/u/429987805/" TargetMode="External"/><Relationship Id="rId6" Type="http://schemas.openxmlformats.org/officeDocument/2006/relationships/hyperlink" Target="https://bugs.chromium.org/u/501658404/" TargetMode="External"/><Relationship Id="rId7" Type="http://schemas.openxmlformats.org/officeDocument/2006/relationships/hyperlink" Target="https://bugs.chromium.org/u/palmer@chromium.org/" TargetMode="External"/><Relationship Id="rId8" Type="http://schemas.openxmlformats.org/officeDocument/2006/relationships/hyperlink" Target="https://bugs.chromium.org/u/3293457725/" TargetMode="External"/><Relationship Id="rId9" Type="http://schemas.openxmlformats.org/officeDocument/2006/relationships/hyperlink" Target="https://bugs.chromium.org/u/mgiuca@chromium.org/" TargetMode="External"/><Relationship Id="rId10" Type="http://schemas.openxmlformats.org/officeDocument/2006/relationships/hyperlink" Target="https://bugs.chromium.org/u/3545856583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bugs.chromium.org/u/mgiuca@chromium.org/" TargetMode="External"/><Relationship Id="rId20" Type="http://schemas.openxmlformats.org/officeDocument/2006/relationships/hyperlink" Target="https://bugs.chromium.org/p/chromium/issues/detail?id=407964" TargetMode="External"/><Relationship Id="rId21" Type="http://schemas.openxmlformats.org/officeDocument/2006/relationships/hyperlink" Target="https://bugs.chromium.org/p/chromium/issues/detail?id=449739" TargetMode="External"/><Relationship Id="rId10" Type="http://schemas.openxmlformats.org/officeDocument/2006/relationships/hyperlink" Target="https://bugs.chromium.org/u/3545856583/" TargetMode="External"/><Relationship Id="rId11" Type="http://schemas.openxmlformats.org/officeDocument/2006/relationships/hyperlink" Target="https://bugs.chromium.org/u/242106711/" TargetMode="External"/><Relationship Id="rId12" Type="http://schemas.openxmlformats.org/officeDocument/2006/relationships/hyperlink" Target="https://bugs.chromium.org/u/3400547136/" TargetMode="External"/><Relationship Id="rId13" Type="http://schemas.openxmlformats.org/officeDocument/2006/relationships/hyperlink" Target="https://bugs.chromium.org/u/2757933724/" TargetMode="External"/><Relationship Id="rId14" Type="http://schemas.openxmlformats.org/officeDocument/2006/relationships/hyperlink" Target="https://bugs.chromium.org/u/sebmarchand@chromium.org/" TargetMode="External"/><Relationship Id="rId15" Type="http://schemas.openxmlformats.org/officeDocument/2006/relationships/hyperlink" Target="https://bugs.chromium.org/p/chromium/issues/detail?id=46976" TargetMode="External"/><Relationship Id="rId16" Type="http://schemas.openxmlformats.org/officeDocument/2006/relationships/hyperlink" Target="https://bugs.chromium.org/p/chromium/issues/detail?id=72937" TargetMode="External"/><Relationship Id="rId17" Type="http://schemas.openxmlformats.org/officeDocument/2006/relationships/hyperlink" Target="https://bugs.chromium.org/p/chromium/issues/detail?id=45331" TargetMode="External"/><Relationship Id="rId18" Type="http://schemas.openxmlformats.org/officeDocument/2006/relationships/hyperlink" Target="https://bugs.chromium.org/p/chromium/issues/detail?id=68070" TargetMode="External"/><Relationship Id="rId19" Type="http://schemas.openxmlformats.org/officeDocument/2006/relationships/hyperlink" Target="https://bugs.chromium.org/p/chromium/issues/detail?id=50713" TargetMode="External"/><Relationship Id="rId1" Type="http://schemas.openxmlformats.org/officeDocument/2006/relationships/hyperlink" Target="https://bugs.chromium.org/u/2642961223/" TargetMode="External"/><Relationship Id="rId2" Type="http://schemas.openxmlformats.org/officeDocument/2006/relationships/hyperlink" Target="https://bugs.chromium.org/u/hubbe@chromium.org/" TargetMode="External"/><Relationship Id="rId3" Type="http://schemas.openxmlformats.org/officeDocument/2006/relationships/hyperlink" Target="https://bugs.chromium.org/u/2757933724/" TargetMode="External"/><Relationship Id="rId4" Type="http://schemas.openxmlformats.org/officeDocument/2006/relationships/hyperlink" Target="https://bugs.chromium.org/u/sky@chromium.org/" TargetMode="External"/><Relationship Id="rId5" Type="http://schemas.openxmlformats.org/officeDocument/2006/relationships/hyperlink" Target="https://bugs.chromium.org/u/429987805/" TargetMode="External"/><Relationship Id="rId6" Type="http://schemas.openxmlformats.org/officeDocument/2006/relationships/hyperlink" Target="https://bugs.chromium.org/u/501658404/" TargetMode="External"/><Relationship Id="rId7" Type="http://schemas.openxmlformats.org/officeDocument/2006/relationships/hyperlink" Target="https://bugs.chromium.org/u/palmer@chromium.org/" TargetMode="External"/><Relationship Id="rId8" Type="http://schemas.openxmlformats.org/officeDocument/2006/relationships/hyperlink" Target="https://bugs.chromium.org/u/3293457725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01"/>
  <sheetViews>
    <sheetView workbookViewId="0">
      <pane ySplit="1" topLeftCell="A1735" activePane="bottomLeft" state="frozen"/>
      <selection pane="bottomLeft" activeCell="O1" sqref="O1:O1048576"/>
    </sheetView>
  </sheetViews>
  <sheetFormatPr baseColWidth="10" defaultColWidth="14.5" defaultRowHeight="15.75" customHeight="1" x14ac:dyDescent="0.15"/>
  <cols>
    <col min="3" max="3" width="24.1640625" customWidth="1"/>
    <col min="9" max="9" width="25.83203125" style="17" bestFit="1" customWidth="1"/>
    <col min="10" max="10" width="32.5" bestFit="1" customWidth="1"/>
    <col min="15" max="15" width="25.83203125" style="17" bestFit="1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1">
        <v>639451</v>
      </c>
      <c r="B2" s="1">
        <v>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I2" s="16">
        <v>42601.880694444444</v>
      </c>
      <c r="J2" s="1" t="s">
        <v>17</v>
      </c>
      <c r="K2" s="1" t="s">
        <v>18</v>
      </c>
      <c r="L2" s="1" t="s">
        <v>19</v>
      </c>
    </row>
    <row r="3" spans="1:12" ht="15.75" customHeight="1" x14ac:dyDescent="0.15">
      <c r="A3" s="1">
        <v>611963</v>
      </c>
      <c r="B3" s="1">
        <v>0</v>
      </c>
      <c r="C3" s="1" t="s">
        <v>20</v>
      </c>
      <c r="D3" s="1" t="s">
        <v>13</v>
      </c>
      <c r="E3" s="1" t="s">
        <v>21</v>
      </c>
      <c r="F3" s="1" t="s">
        <v>22</v>
      </c>
      <c r="G3" s="1" t="s">
        <v>23</v>
      </c>
      <c r="I3" s="16">
        <v>42504.30572916667</v>
      </c>
      <c r="J3" s="1" t="s">
        <v>24</v>
      </c>
      <c r="K3" s="1" t="s">
        <v>18</v>
      </c>
      <c r="L3" s="1" t="s">
        <v>19</v>
      </c>
    </row>
    <row r="4" spans="1:12" ht="15.75" customHeight="1" x14ac:dyDescent="0.15">
      <c r="A4" s="1">
        <v>611962</v>
      </c>
      <c r="B4" s="1">
        <v>0</v>
      </c>
      <c r="C4" s="1" t="s">
        <v>20</v>
      </c>
      <c r="D4" s="1" t="s">
        <v>13</v>
      </c>
      <c r="E4" s="1" t="s">
        <v>25</v>
      </c>
      <c r="F4" s="1" t="s">
        <v>22</v>
      </c>
      <c r="G4" s="1" t="s">
        <v>23</v>
      </c>
      <c r="I4" s="16">
        <v>42504.304791666669</v>
      </c>
      <c r="J4" s="1" t="s">
        <v>24</v>
      </c>
      <c r="K4" s="1" t="s">
        <v>18</v>
      </c>
      <c r="L4" s="1" t="s">
        <v>19</v>
      </c>
    </row>
    <row r="5" spans="1:12" ht="15.75" customHeight="1" x14ac:dyDescent="0.15">
      <c r="A5" s="1">
        <v>44424</v>
      </c>
      <c r="B5" s="1">
        <v>0</v>
      </c>
      <c r="C5" s="1" t="s">
        <v>26</v>
      </c>
      <c r="D5" s="1" t="s">
        <v>27</v>
      </c>
      <c r="E5" s="1" t="s">
        <v>28</v>
      </c>
      <c r="F5" s="1" t="s">
        <v>29</v>
      </c>
      <c r="I5" s="16">
        <v>40316.073784722219</v>
      </c>
      <c r="J5" s="1" t="s">
        <v>30</v>
      </c>
      <c r="K5" s="1" t="s">
        <v>18</v>
      </c>
      <c r="L5" s="1" t="s">
        <v>19</v>
      </c>
    </row>
    <row r="6" spans="1:12" ht="15.75" customHeight="1" x14ac:dyDescent="0.15">
      <c r="A6" s="1">
        <v>303232</v>
      </c>
      <c r="B6" s="1">
        <v>0</v>
      </c>
      <c r="C6" s="1" t="s">
        <v>31</v>
      </c>
      <c r="D6" s="1" t="s">
        <v>27</v>
      </c>
      <c r="E6" s="1" t="s">
        <v>32</v>
      </c>
      <c r="F6" s="1" t="s">
        <v>33</v>
      </c>
      <c r="G6" s="1" t="s">
        <v>23</v>
      </c>
      <c r="I6" s="16">
        <v>41549.731030092589</v>
      </c>
      <c r="J6" s="1" t="s">
        <v>17</v>
      </c>
      <c r="K6" s="1" t="s">
        <v>18</v>
      </c>
      <c r="L6" s="1" t="s">
        <v>19</v>
      </c>
    </row>
    <row r="7" spans="1:12" ht="15.75" customHeight="1" x14ac:dyDescent="0.15">
      <c r="A7" s="1">
        <v>659516</v>
      </c>
      <c r="B7" s="1">
        <v>0</v>
      </c>
      <c r="C7" s="1" t="s">
        <v>34</v>
      </c>
      <c r="D7" s="1" t="s">
        <v>27</v>
      </c>
      <c r="E7" s="1" t="s">
        <v>35</v>
      </c>
      <c r="F7" s="1" t="s">
        <v>36</v>
      </c>
      <c r="G7" s="1" t="s">
        <v>23</v>
      </c>
      <c r="I7" s="16">
        <v>42669.373449074075</v>
      </c>
      <c r="J7" s="1" t="s">
        <v>37</v>
      </c>
      <c r="K7" s="1" t="s">
        <v>18</v>
      </c>
      <c r="L7" s="1" t="s">
        <v>19</v>
      </c>
    </row>
    <row r="8" spans="1:12" ht="15.75" customHeight="1" x14ac:dyDescent="0.15">
      <c r="A8" s="1">
        <v>67968</v>
      </c>
      <c r="B8" s="1">
        <v>0</v>
      </c>
      <c r="C8" s="1" t="s">
        <v>26</v>
      </c>
      <c r="D8" s="1" t="s">
        <v>27</v>
      </c>
      <c r="E8" s="1" t="s">
        <v>38</v>
      </c>
      <c r="F8" s="1" t="s">
        <v>39</v>
      </c>
      <c r="G8" s="1" t="s">
        <v>23</v>
      </c>
      <c r="I8" s="16">
        <v>40536.64303240741</v>
      </c>
      <c r="J8" s="1" t="s">
        <v>40</v>
      </c>
      <c r="K8" s="1" t="s">
        <v>18</v>
      </c>
      <c r="L8" s="1" t="s">
        <v>19</v>
      </c>
    </row>
    <row r="9" spans="1:12" ht="15.75" customHeight="1" x14ac:dyDescent="0.15">
      <c r="A9" s="1">
        <v>124356</v>
      </c>
      <c r="B9" s="1">
        <v>0</v>
      </c>
      <c r="C9" s="1" t="s">
        <v>41</v>
      </c>
      <c r="D9" s="1" t="s">
        <v>27</v>
      </c>
      <c r="E9" s="1" t="s">
        <v>42</v>
      </c>
      <c r="F9" s="1" t="s">
        <v>43</v>
      </c>
      <c r="G9" s="1" t="s">
        <v>23</v>
      </c>
      <c r="I9" s="16">
        <v>41019.225856481484</v>
      </c>
      <c r="J9" s="1" t="s">
        <v>44</v>
      </c>
      <c r="K9" s="1" t="s">
        <v>18</v>
      </c>
      <c r="L9" s="1" t="s">
        <v>19</v>
      </c>
    </row>
    <row r="10" spans="1:12" ht="15.75" customHeight="1" x14ac:dyDescent="0.15">
      <c r="A10" s="1">
        <v>246205</v>
      </c>
      <c r="B10" s="1">
        <v>0</v>
      </c>
      <c r="C10" s="1" t="s">
        <v>31</v>
      </c>
      <c r="D10" s="1" t="s">
        <v>27</v>
      </c>
      <c r="E10" s="1" t="s">
        <v>45</v>
      </c>
      <c r="F10" s="1" t="s">
        <v>46</v>
      </c>
      <c r="G10" s="1" t="s">
        <v>23</v>
      </c>
      <c r="I10" s="16">
        <v>41428.657465277778</v>
      </c>
      <c r="J10" s="1" t="s">
        <v>40</v>
      </c>
      <c r="K10" s="1" t="s">
        <v>18</v>
      </c>
      <c r="L10" s="1" t="s">
        <v>19</v>
      </c>
    </row>
    <row r="11" spans="1:12" ht="15.75" customHeight="1" x14ac:dyDescent="0.15">
      <c r="A11" s="1">
        <v>246203</v>
      </c>
      <c r="B11" s="1">
        <v>0</v>
      </c>
      <c r="C11" s="1" t="s">
        <v>31</v>
      </c>
      <c r="D11" s="1" t="s">
        <v>27</v>
      </c>
      <c r="E11" s="1" t="s">
        <v>47</v>
      </c>
      <c r="F11" s="1" t="s">
        <v>46</v>
      </c>
      <c r="G11" s="1" t="s">
        <v>23</v>
      </c>
      <c r="I11" s="16">
        <v>41428.654629629629</v>
      </c>
      <c r="J11" s="1" t="s">
        <v>40</v>
      </c>
      <c r="K11" s="1" t="s">
        <v>18</v>
      </c>
      <c r="L11" s="1" t="s">
        <v>19</v>
      </c>
    </row>
    <row r="12" spans="1:12" ht="15.75" customHeight="1" x14ac:dyDescent="0.15">
      <c r="A12" s="1">
        <v>122014</v>
      </c>
      <c r="B12" s="1">
        <v>0</v>
      </c>
      <c r="C12" s="1" t="s">
        <v>26</v>
      </c>
      <c r="D12" s="1" t="s">
        <v>27</v>
      </c>
      <c r="E12" s="1" t="s">
        <v>48</v>
      </c>
      <c r="F12" s="1" t="s">
        <v>49</v>
      </c>
      <c r="G12" s="1" t="s">
        <v>23</v>
      </c>
      <c r="I12" s="16">
        <v>41003.876203703701</v>
      </c>
      <c r="J12" s="1" t="s">
        <v>40</v>
      </c>
      <c r="K12" s="1" t="s">
        <v>18</v>
      </c>
      <c r="L12" s="1" t="s">
        <v>19</v>
      </c>
    </row>
    <row r="13" spans="1:12" ht="15.75" customHeight="1" x14ac:dyDescent="0.15">
      <c r="A13" s="1">
        <v>96292</v>
      </c>
      <c r="B13" s="1">
        <v>0</v>
      </c>
      <c r="C13" s="1" t="s">
        <v>50</v>
      </c>
      <c r="D13" s="1" t="s">
        <v>27</v>
      </c>
      <c r="E13" s="1" t="s">
        <v>51</v>
      </c>
      <c r="F13" s="1" t="s">
        <v>52</v>
      </c>
      <c r="G13" s="1" t="s">
        <v>23</v>
      </c>
      <c r="I13" s="16">
        <v>40798.77480324074</v>
      </c>
      <c r="J13" s="1" t="s">
        <v>40</v>
      </c>
      <c r="K13" s="1" t="s">
        <v>18</v>
      </c>
      <c r="L13" s="1" t="s">
        <v>19</v>
      </c>
    </row>
    <row r="14" spans="1:12" ht="15.75" customHeight="1" x14ac:dyDescent="0.15">
      <c r="A14" s="1">
        <v>699166</v>
      </c>
      <c r="B14" s="1">
        <v>0</v>
      </c>
      <c r="C14" s="1" t="s">
        <v>53</v>
      </c>
      <c r="D14" s="1" t="s">
        <v>27</v>
      </c>
      <c r="E14" s="1" t="s">
        <v>54</v>
      </c>
      <c r="F14" s="1" t="s">
        <v>55</v>
      </c>
      <c r="G14" s="1" t="s">
        <v>56</v>
      </c>
      <c r="I14" s="16">
        <v>42801.743090277778</v>
      </c>
      <c r="J14" s="1" t="s">
        <v>57</v>
      </c>
      <c r="K14" s="1" t="s">
        <v>18</v>
      </c>
      <c r="L14" s="1" t="s">
        <v>19</v>
      </c>
    </row>
    <row r="15" spans="1:12" ht="15.75" customHeight="1" x14ac:dyDescent="0.15">
      <c r="A15" s="1">
        <v>305904</v>
      </c>
      <c r="B15" s="1">
        <v>0</v>
      </c>
      <c r="C15" s="1" t="s">
        <v>31</v>
      </c>
      <c r="D15" s="1" t="s">
        <v>27</v>
      </c>
      <c r="E15" s="1" t="s">
        <v>58</v>
      </c>
      <c r="F15" s="1" t="s">
        <v>59</v>
      </c>
      <c r="G15" s="1" t="s">
        <v>23</v>
      </c>
      <c r="I15" s="16">
        <v>41557.127974537034</v>
      </c>
      <c r="J15" s="1" t="s">
        <v>17</v>
      </c>
      <c r="K15" s="1" t="s">
        <v>18</v>
      </c>
      <c r="L15" s="1" t="s">
        <v>19</v>
      </c>
    </row>
    <row r="16" spans="1:12" ht="15.75" customHeight="1" x14ac:dyDescent="0.15">
      <c r="A16" s="1">
        <v>89493</v>
      </c>
      <c r="B16" s="1">
        <v>0</v>
      </c>
      <c r="C16" s="1" t="s">
        <v>60</v>
      </c>
      <c r="D16" s="1" t="s">
        <v>27</v>
      </c>
      <c r="E16" s="1" t="s">
        <v>61</v>
      </c>
      <c r="F16" s="1" t="s">
        <v>62</v>
      </c>
      <c r="G16" s="1" t="s">
        <v>23</v>
      </c>
      <c r="I16" s="16">
        <v>40740.310046296298</v>
      </c>
      <c r="J16" s="1" t="s">
        <v>40</v>
      </c>
      <c r="K16" s="1" t="s">
        <v>18</v>
      </c>
      <c r="L16" s="1" t="s">
        <v>19</v>
      </c>
    </row>
    <row r="17" spans="1:16" ht="15.75" customHeight="1" x14ac:dyDescent="0.15">
      <c r="A17" s="1">
        <v>88216</v>
      </c>
      <c r="B17" s="1">
        <v>0</v>
      </c>
      <c r="C17" s="1" t="s">
        <v>26</v>
      </c>
      <c r="D17" s="1" t="s">
        <v>27</v>
      </c>
      <c r="E17" s="1" t="s">
        <v>63</v>
      </c>
      <c r="F17" s="1" t="s">
        <v>64</v>
      </c>
      <c r="G17" s="1" t="s">
        <v>23</v>
      </c>
      <c r="I17" s="16">
        <v>40725.802754629629</v>
      </c>
      <c r="J17" s="1" t="s">
        <v>44</v>
      </c>
      <c r="K17" s="1" t="s">
        <v>18</v>
      </c>
      <c r="L17" s="1" t="s">
        <v>19</v>
      </c>
    </row>
    <row r="18" spans="1:16" ht="15.75" customHeight="1" x14ac:dyDescent="0.15">
      <c r="A18" s="1">
        <v>445810</v>
      </c>
      <c r="B18" s="1">
        <v>0</v>
      </c>
      <c r="C18" s="1" t="s">
        <v>65</v>
      </c>
      <c r="D18" s="1" t="s">
        <v>27</v>
      </c>
      <c r="E18" s="1" t="s">
        <v>66</v>
      </c>
      <c r="F18" s="1" t="s">
        <v>67</v>
      </c>
      <c r="G18" s="1" t="s">
        <v>23</v>
      </c>
      <c r="I18" s="16">
        <v>42005.783796296295</v>
      </c>
      <c r="J18" s="1" t="s">
        <v>68</v>
      </c>
      <c r="K18" s="1" t="s">
        <v>18</v>
      </c>
      <c r="L18" s="1" t="s">
        <v>19</v>
      </c>
    </row>
    <row r="19" spans="1:16" ht="15.75" customHeight="1" x14ac:dyDescent="0.15">
      <c r="A19" s="1">
        <v>165864</v>
      </c>
      <c r="B19" s="1">
        <v>0</v>
      </c>
      <c r="D19" s="1" t="s">
        <v>27</v>
      </c>
      <c r="E19" s="1" t="s">
        <v>69</v>
      </c>
      <c r="F19" s="1" t="s">
        <v>70</v>
      </c>
      <c r="G19" s="1" t="s">
        <v>71</v>
      </c>
      <c r="I19" s="16">
        <v>41256.230104166665</v>
      </c>
      <c r="J19" s="1" t="s">
        <v>72</v>
      </c>
      <c r="K19" s="1" t="s">
        <v>18</v>
      </c>
      <c r="L19" s="1" t="s">
        <v>19</v>
      </c>
    </row>
    <row r="20" spans="1:16" ht="15.75" customHeight="1" x14ac:dyDescent="0.15">
      <c r="A20" s="1">
        <v>344881</v>
      </c>
      <c r="B20" s="1">
        <v>0</v>
      </c>
      <c r="C20" s="1" t="s">
        <v>73</v>
      </c>
      <c r="D20" s="1" t="s">
        <v>27</v>
      </c>
      <c r="E20" s="1" t="s">
        <v>74</v>
      </c>
      <c r="F20" s="1" t="s">
        <v>75</v>
      </c>
      <c r="G20" s="1" t="s">
        <v>23</v>
      </c>
      <c r="I20" s="16">
        <v>41689.604537037034</v>
      </c>
      <c r="J20" s="1" t="s">
        <v>76</v>
      </c>
      <c r="K20" s="1" t="s">
        <v>18</v>
      </c>
      <c r="L20" s="1" t="s">
        <v>19</v>
      </c>
    </row>
    <row r="21" spans="1:16" ht="15.75" customHeight="1" x14ac:dyDescent="0.15">
      <c r="A21" s="1">
        <v>456192</v>
      </c>
      <c r="B21" s="1">
        <v>1</v>
      </c>
      <c r="C21" s="1" t="s">
        <v>77</v>
      </c>
      <c r="D21" s="1" t="s">
        <v>27</v>
      </c>
      <c r="E21" s="1" t="s">
        <v>78</v>
      </c>
      <c r="F21" s="1" t="s">
        <v>79</v>
      </c>
      <c r="G21" s="1" t="s">
        <v>23</v>
      </c>
      <c r="I21" s="16">
        <v>42041.759108796294</v>
      </c>
      <c r="J21" s="1" t="s">
        <v>80</v>
      </c>
      <c r="K21" s="1" t="s">
        <v>18</v>
      </c>
      <c r="L21" s="1" t="s">
        <v>19</v>
      </c>
      <c r="M21" s="1">
        <v>457016</v>
      </c>
      <c r="N21" s="1" t="s">
        <v>81</v>
      </c>
      <c r="O21" s="16">
        <v>42044.977083333331</v>
      </c>
      <c r="P21" s="1" t="s">
        <v>17</v>
      </c>
    </row>
    <row r="22" spans="1:16" ht="15.75" customHeight="1" x14ac:dyDescent="0.15">
      <c r="A22" s="1">
        <v>72214</v>
      </c>
      <c r="B22" s="1">
        <v>1</v>
      </c>
      <c r="C22" s="1" t="s">
        <v>82</v>
      </c>
      <c r="D22" s="1" t="s">
        <v>27</v>
      </c>
      <c r="E22" s="1" t="s">
        <v>83</v>
      </c>
      <c r="F22" s="1" t="s">
        <v>84</v>
      </c>
      <c r="I22" s="16">
        <v>40581.813321759262</v>
      </c>
      <c r="J22" s="1" t="s">
        <v>85</v>
      </c>
      <c r="K22" s="1" t="s">
        <v>18</v>
      </c>
      <c r="L22" s="1" t="s">
        <v>19</v>
      </c>
      <c r="M22" s="1">
        <v>72303</v>
      </c>
      <c r="N22" s="1" t="s">
        <v>86</v>
      </c>
      <c r="O22" s="16">
        <v>40582.620659722219</v>
      </c>
      <c r="P22" s="1" t="s">
        <v>87</v>
      </c>
    </row>
    <row r="23" spans="1:16" ht="15.75" customHeight="1" x14ac:dyDescent="0.15">
      <c r="A23" s="1">
        <v>366694</v>
      </c>
      <c r="B23" s="1">
        <v>0</v>
      </c>
      <c r="C23" s="1" t="s">
        <v>12</v>
      </c>
      <c r="D23" s="1" t="s">
        <v>27</v>
      </c>
      <c r="E23" s="1" t="s">
        <v>88</v>
      </c>
      <c r="F23" s="1" t="s">
        <v>89</v>
      </c>
      <c r="G23" s="1" t="s">
        <v>23</v>
      </c>
      <c r="I23" s="16">
        <v>41753.665370370371</v>
      </c>
      <c r="J23" s="1" t="s">
        <v>17</v>
      </c>
      <c r="K23" s="1" t="s">
        <v>18</v>
      </c>
      <c r="L23" s="1" t="s">
        <v>19</v>
      </c>
    </row>
    <row r="24" spans="1:16" ht="15.75" customHeight="1" x14ac:dyDescent="0.15">
      <c r="A24" s="1">
        <v>88889</v>
      </c>
      <c r="B24" s="1">
        <v>0</v>
      </c>
      <c r="C24" s="1" t="s">
        <v>26</v>
      </c>
      <c r="D24" s="1" t="s">
        <v>27</v>
      </c>
      <c r="E24" s="1" t="s">
        <v>90</v>
      </c>
      <c r="F24" s="1" t="s">
        <v>91</v>
      </c>
      <c r="G24" s="1" t="s">
        <v>23</v>
      </c>
      <c r="I24" s="16">
        <v>40735.269791666666</v>
      </c>
      <c r="J24" s="1" t="s">
        <v>92</v>
      </c>
      <c r="K24" s="1" t="s">
        <v>18</v>
      </c>
      <c r="L24" s="1" t="s">
        <v>19</v>
      </c>
    </row>
    <row r="25" spans="1:16" ht="15.75" customHeight="1" x14ac:dyDescent="0.15">
      <c r="A25" s="1">
        <v>96665</v>
      </c>
      <c r="B25" s="1">
        <v>0</v>
      </c>
      <c r="C25" s="1" t="s">
        <v>26</v>
      </c>
      <c r="D25" s="1" t="s">
        <v>27</v>
      </c>
      <c r="E25" s="1" t="s">
        <v>93</v>
      </c>
      <c r="F25" s="1" t="s">
        <v>94</v>
      </c>
      <c r="G25" s="1" t="s">
        <v>23</v>
      </c>
      <c r="I25" s="16">
        <v>40801.327627314815</v>
      </c>
      <c r="J25" s="1" t="s">
        <v>40</v>
      </c>
      <c r="K25" s="1" t="s">
        <v>18</v>
      </c>
      <c r="L25" s="1" t="s">
        <v>19</v>
      </c>
    </row>
    <row r="26" spans="1:16" ht="15.75" customHeight="1" x14ac:dyDescent="0.15">
      <c r="A26" s="1">
        <v>465002</v>
      </c>
      <c r="B26" s="1">
        <v>0</v>
      </c>
      <c r="C26" s="1" t="s">
        <v>95</v>
      </c>
      <c r="D26" s="1" t="s">
        <v>27</v>
      </c>
      <c r="E26" s="1" t="s">
        <v>96</v>
      </c>
      <c r="F26" s="1" t="s">
        <v>97</v>
      </c>
      <c r="I26" s="16">
        <v>42070.682118055556</v>
      </c>
      <c r="J26" s="1" t="s">
        <v>98</v>
      </c>
      <c r="K26" s="1" t="s">
        <v>18</v>
      </c>
      <c r="L26" s="1" t="s">
        <v>19</v>
      </c>
    </row>
    <row r="27" spans="1:16" ht="15.75" customHeight="1" x14ac:dyDescent="0.15">
      <c r="A27" s="1">
        <v>486538</v>
      </c>
      <c r="B27" s="1">
        <v>0</v>
      </c>
      <c r="C27" s="1" t="s">
        <v>12</v>
      </c>
      <c r="D27" s="1" t="s">
        <v>27</v>
      </c>
      <c r="E27" s="1" t="s">
        <v>99</v>
      </c>
      <c r="F27" s="1" t="s">
        <v>100</v>
      </c>
      <c r="G27" s="1" t="s">
        <v>23</v>
      </c>
      <c r="I27" s="16">
        <v>42134.872673611113</v>
      </c>
      <c r="J27" s="1" t="s">
        <v>17</v>
      </c>
      <c r="K27" s="1" t="s">
        <v>18</v>
      </c>
      <c r="L27" s="1" t="s">
        <v>19</v>
      </c>
    </row>
    <row r="28" spans="1:16" ht="15.75" customHeight="1" x14ac:dyDescent="0.15">
      <c r="A28" s="1">
        <v>435073</v>
      </c>
      <c r="B28" s="1">
        <v>0</v>
      </c>
      <c r="C28" s="1" t="s">
        <v>101</v>
      </c>
      <c r="D28" s="1" t="s">
        <v>27</v>
      </c>
      <c r="E28" s="1" t="s">
        <v>102</v>
      </c>
      <c r="F28" s="1" t="s">
        <v>103</v>
      </c>
      <c r="G28" s="1" t="s">
        <v>23</v>
      </c>
      <c r="I28" s="16">
        <v>41963.527384259258</v>
      </c>
      <c r="J28" s="1" t="s">
        <v>17</v>
      </c>
      <c r="K28" s="1" t="s">
        <v>18</v>
      </c>
      <c r="L28" s="1" t="s">
        <v>19</v>
      </c>
    </row>
    <row r="29" spans="1:16" ht="15.75" customHeight="1" x14ac:dyDescent="0.15">
      <c r="A29" s="1">
        <v>443333</v>
      </c>
      <c r="B29" s="1">
        <v>0</v>
      </c>
      <c r="D29" s="1" t="s">
        <v>27</v>
      </c>
      <c r="E29" s="1" t="s">
        <v>104</v>
      </c>
      <c r="F29" s="1" t="s">
        <v>105</v>
      </c>
      <c r="G29" s="1" t="s">
        <v>23</v>
      </c>
      <c r="I29" s="16">
        <v>41990.897627314815</v>
      </c>
      <c r="J29" s="1" t="s">
        <v>106</v>
      </c>
      <c r="K29" s="1" t="s">
        <v>18</v>
      </c>
      <c r="L29" s="1" t="s">
        <v>19</v>
      </c>
    </row>
    <row r="30" spans="1:16" ht="15.75" customHeight="1" x14ac:dyDescent="0.15">
      <c r="A30" s="1">
        <v>609134</v>
      </c>
      <c r="B30" s="1">
        <v>0</v>
      </c>
      <c r="C30" s="1" t="s">
        <v>107</v>
      </c>
      <c r="D30" s="1" t="s">
        <v>27</v>
      </c>
      <c r="E30" s="1" t="s">
        <v>108</v>
      </c>
      <c r="F30" s="1" t="s">
        <v>109</v>
      </c>
      <c r="G30" s="1" t="s">
        <v>110</v>
      </c>
      <c r="I30" s="16">
        <v>42494.647083333337</v>
      </c>
      <c r="J30" s="1" t="s">
        <v>17</v>
      </c>
      <c r="K30" s="1" t="s">
        <v>18</v>
      </c>
      <c r="L30" s="1" t="s">
        <v>19</v>
      </c>
    </row>
    <row r="31" spans="1:16" ht="15.75" customHeight="1" x14ac:dyDescent="0.15">
      <c r="A31" s="1">
        <v>56621</v>
      </c>
      <c r="B31" s="1">
        <v>0</v>
      </c>
      <c r="C31" s="1" t="s">
        <v>26</v>
      </c>
      <c r="D31" s="1" t="s">
        <v>27</v>
      </c>
      <c r="E31" s="1" t="s">
        <v>111</v>
      </c>
      <c r="F31" s="1" t="s">
        <v>112</v>
      </c>
      <c r="G31" s="1" t="s">
        <v>23</v>
      </c>
      <c r="I31" s="16">
        <v>40444.301018518519</v>
      </c>
      <c r="J31" s="1" t="s">
        <v>40</v>
      </c>
      <c r="K31" s="1" t="s">
        <v>18</v>
      </c>
      <c r="L31" s="1" t="s">
        <v>19</v>
      </c>
    </row>
    <row r="32" spans="1:16" ht="15.75" customHeight="1" x14ac:dyDescent="0.15">
      <c r="A32" s="1">
        <v>113258</v>
      </c>
      <c r="B32" s="1">
        <v>0</v>
      </c>
      <c r="C32" s="1" t="s">
        <v>26</v>
      </c>
      <c r="D32" s="1" t="s">
        <v>27</v>
      </c>
      <c r="E32" s="1" t="s">
        <v>113</v>
      </c>
      <c r="F32" s="1" t="s">
        <v>114</v>
      </c>
      <c r="G32" s="1" t="s">
        <v>23</v>
      </c>
      <c r="I32" s="16">
        <v>40947.854074074072</v>
      </c>
      <c r="J32" s="1" t="s">
        <v>44</v>
      </c>
      <c r="K32" s="1" t="s">
        <v>18</v>
      </c>
      <c r="L32" s="1" t="s">
        <v>19</v>
      </c>
    </row>
    <row r="33" spans="1:12" ht="15.75" customHeight="1" x14ac:dyDescent="0.15">
      <c r="A33" s="1">
        <v>60013</v>
      </c>
      <c r="B33" s="1">
        <v>0</v>
      </c>
      <c r="C33" s="1" t="s">
        <v>26</v>
      </c>
      <c r="D33" s="1" t="s">
        <v>27</v>
      </c>
      <c r="E33" s="1" t="s">
        <v>115</v>
      </c>
      <c r="F33" s="1" t="s">
        <v>116</v>
      </c>
      <c r="G33" s="1" t="s">
        <v>23</v>
      </c>
      <c r="I33" s="16">
        <v>40471.927627314813</v>
      </c>
      <c r="J33" s="1" t="s">
        <v>98</v>
      </c>
      <c r="K33" s="1" t="s">
        <v>18</v>
      </c>
      <c r="L33" s="1" t="s">
        <v>19</v>
      </c>
    </row>
    <row r="34" spans="1:12" ht="15.75" customHeight="1" x14ac:dyDescent="0.15">
      <c r="A34" s="1">
        <v>164582</v>
      </c>
      <c r="B34" s="1">
        <v>0</v>
      </c>
      <c r="C34" s="1" t="s">
        <v>26</v>
      </c>
      <c r="D34" s="1" t="s">
        <v>27</v>
      </c>
      <c r="E34" s="1" t="s">
        <v>117</v>
      </c>
      <c r="F34" s="1" t="s">
        <v>118</v>
      </c>
      <c r="G34" s="1" t="s">
        <v>23</v>
      </c>
      <c r="I34" s="16">
        <v>41249.589016203703</v>
      </c>
      <c r="J34" s="1" t="s">
        <v>40</v>
      </c>
      <c r="K34" s="1" t="s">
        <v>18</v>
      </c>
      <c r="L34" s="1" t="s">
        <v>19</v>
      </c>
    </row>
    <row r="35" spans="1:12" ht="15.75" customHeight="1" x14ac:dyDescent="0.15">
      <c r="A35" s="1">
        <v>161690</v>
      </c>
      <c r="B35" s="1">
        <v>0</v>
      </c>
      <c r="C35" s="1" t="s">
        <v>26</v>
      </c>
      <c r="D35" s="1" t="s">
        <v>27</v>
      </c>
      <c r="E35" s="1" t="s">
        <v>119</v>
      </c>
      <c r="F35" s="1" t="s">
        <v>120</v>
      </c>
      <c r="G35" s="1" t="s">
        <v>23</v>
      </c>
      <c r="I35" s="16">
        <v>41231.89340277778</v>
      </c>
      <c r="J35" s="1" t="s">
        <v>40</v>
      </c>
      <c r="K35" s="1" t="s">
        <v>18</v>
      </c>
      <c r="L35" s="1" t="s">
        <v>19</v>
      </c>
    </row>
    <row r="36" spans="1:12" ht="15.75" customHeight="1" x14ac:dyDescent="0.15">
      <c r="A36" s="1">
        <v>411318</v>
      </c>
      <c r="B36" s="1">
        <v>0</v>
      </c>
      <c r="C36" s="1" t="s">
        <v>50</v>
      </c>
      <c r="D36" s="1" t="s">
        <v>27</v>
      </c>
      <c r="E36" s="1" t="s">
        <v>121</v>
      </c>
      <c r="F36" s="1" t="s">
        <v>122</v>
      </c>
      <c r="G36" s="1" t="s">
        <v>23</v>
      </c>
      <c r="I36" s="16">
        <v>41887.652511574073</v>
      </c>
      <c r="J36" s="1" t="s">
        <v>17</v>
      </c>
      <c r="K36" s="1" t="s">
        <v>18</v>
      </c>
      <c r="L36" s="1" t="s">
        <v>19</v>
      </c>
    </row>
    <row r="37" spans="1:12" ht="15.75" customHeight="1" x14ac:dyDescent="0.15">
      <c r="A37" s="1">
        <v>278908</v>
      </c>
      <c r="B37" s="1">
        <v>0</v>
      </c>
      <c r="D37" s="1" t="s">
        <v>27</v>
      </c>
      <c r="E37" s="1" t="s">
        <v>123</v>
      </c>
      <c r="F37" s="1" t="s">
        <v>124</v>
      </c>
      <c r="G37" s="1" t="s">
        <v>23</v>
      </c>
      <c r="I37" s="16">
        <v>41511.44023148148</v>
      </c>
      <c r="J37" s="1" t="s">
        <v>68</v>
      </c>
      <c r="K37" s="1" t="s">
        <v>18</v>
      </c>
      <c r="L37" s="1" t="s">
        <v>19</v>
      </c>
    </row>
    <row r="38" spans="1:12" ht="15.75" customHeight="1" x14ac:dyDescent="0.15">
      <c r="A38" s="1">
        <v>393452</v>
      </c>
      <c r="B38" s="1">
        <v>0</v>
      </c>
      <c r="D38" s="1" t="s">
        <v>27</v>
      </c>
      <c r="E38" s="1" t="s">
        <v>125</v>
      </c>
      <c r="F38" s="1" t="s">
        <v>126</v>
      </c>
      <c r="G38" s="1" t="s">
        <v>23</v>
      </c>
      <c r="I38" s="16">
        <v>41833.186342592591</v>
      </c>
      <c r="J38" s="1" t="s">
        <v>17</v>
      </c>
      <c r="K38" s="1" t="s">
        <v>18</v>
      </c>
      <c r="L38" s="1" t="s">
        <v>19</v>
      </c>
    </row>
    <row r="39" spans="1:12" ht="15.75" customHeight="1" x14ac:dyDescent="0.15">
      <c r="A39" s="1">
        <v>91801</v>
      </c>
      <c r="B39" s="1">
        <v>0</v>
      </c>
      <c r="C39" s="1" t="s">
        <v>26</v>
      </c>
      <c r="D39" s="1" t="s">
        <v>27</v>
      </c>
      <c r="E39" s="1" t="s">
        <v>127</v>
      </c>
      <c r="F39" s="1" t="s">
        <v>128</v>
      </c>
      <c r="G39" s="1" t="s">
        <v>23</v>
      </c>
      <c r="I39" s="16">
        <v>40760.593333333331</v>
      </c>
      <c r="J39" s="1" t="s">
        <v>40</v>
      </c>
      <c r="K39" s="1" t="s">
        <v>18</v>
      </c>
      <c r="L39" s="1" t="s">
        <v>19</v>
      </c>
    </row>
    <row r="40" spans="1:12" ht="15.75" customHeight="1" x14ac:dyDescent="0.15">
      <c r="A40" s="1">
        <v>446164</v>
      </c>
      <c r="B40" s="1">
        <v>0</v>
      </c>
      <c r="C40" s="1" t="s">
        <v>129</v>
      </c>
      <c r="D40" s="1" t="s">
        <v>27</v>
      </c>
      <c r="E40" s="1" t="s">
        <v>130</v>
      </c>
      <c r="F40" s="1" t="s">
        <v>131</v>
      </c>
      <c r="G40" s="1" t="s">
        <v>23</v>
      </c>
      <c r="I40" s="16">
        <v>42009.576909722222</v>
      </c>
      <c r="J40" s="1" t="s">
        <v>132</v>
      </c>
      <c r="K40" s="1" t="s">
        <v>18</v>
      </c>
      <c r="L40" s="1" t="s">
        <v>19</v>
      </c>
    </row>
    <row r="41" spans="1:12" ht="15.75" customHeight="1" x14ac:dyDescent="0.15">
      <c r="A41" s="1">
        <v>68342</v>
      </c>
      <c r="B41" s="1">
        <v>0</v>
      </c>
      <c r="C41" s="1" t="s">
        <v>133</v>
      </c>
      <c r="D41" s="1" t="s">
        <v>27</v>
      </c>
      <c r="E41" s="1" t="s">
        <v>134</v>
      </c>
      <c r="F41" s="1" t="s">
        <v>135</v>
      </c>
      <c r="I41" s="16">
        <v>40543.34746527778</v>
      </c>
      <c r="J41" s="1" t="s">
        <v>136</v>
      </c>
      <c r="K41" s="1" t="s">
        <v>18</v>
      </c>
      <c r="L41" s="1" t="s">
        <v>19</v>
      </c>
    </row>
    <row r="42" spans="1:12" ht="15.75" customHeight="1" x14ac:dyDescent="0.15">
      <c r="A42" s="1">
        <v>450198</v>
      </c>
      <c r="B42" s="1">
        <v>0</v>
      </c>
      <c r="C42" s="1" t="s">
        <v>137</v>
      </c>
      <c r="D42" s="1" t="s">
        <v>27</v>
      </c>
      <c r="E42" s="1" t="s">
        <v>138</v>
      </c>
      <c r="F42" s="1" t="s">
        <v>139</v>
      </c>
      <c r="G42" s="1" t="s">
        <v>23</v>
      </c>
      <c r="I42" s="16">
        <v>42024.48814814815</v>
      </c>
      <c r="J42" s="1" t="s">
        <v>140</v>
      </c>
      <c r="K42" s="1" t="s">
        <v>18</v>
      </c>
      <c r="L42" s="1" t="s">
        <v>19</v>
      </c>
    </row>
    <row r="43" spans="1:12" ht="15.75" customHeight="1" x14ac:dyDescent="0.15">
      <c r="A43" s="1">
        <v>76474</v>
      </c>
      <c r="B43" s="1">
        <v>0</v>
      </c>
      <c r="C43" s="1" t="s">
        <v>141</v>
      </c>
      <c r="D43" s="1" t="s">
        <v>27</v>
      </c>
      <c r="E43" s="1" t="s">
        <v>142</v>
      </c>
      <c r="F43" s="1" t="s">
        <v>143</v>
      </c>
      <c r="G43" s="1" t="s">
        <v>23</v>
      </c>
      <c r="I43" s="16">
        <v>40619.127835648149</v>
      </c>
      <c r="J43" s="1" t="s">
        <v>144</v>
      </c>
      <c r="K43" s="1" t="s">
        <v>18</v>
      </c>
      <c r="L43" s="1" t="s">
        <v>19</v>
      </c>
    </row>
    <row r="44" spans="1:12" ht="15.75" customHeight="1" x14ac:dyDescent="0.15">
      <c r="A44" s="1">
        <v>40635</v>
      </c>
      <c r="B44" s="1">
        <v>0</v>
      </c>
      <c r="C44" s="1" t="s">
        <v>145</v>
      </c>
      <c r="D44" s="1" t="s">
        <v>27</v>
      </c>
      <c r="E44" s="1" t="s">
        <v>146</v>
      </c>
      <c r="F44" s="1" t="s">
        <v>147</v>
      </c>
      <c r="I44" s="16">
        <v>40275.407581018517</v>
      </c>
      <c r="J44" s="1" t="s">
        <v>148</v>
      </c>
      <c r="K44" s="1" t="s">
        <v>18</v>
      </c>
      <c r="L44" s="1" t="s">
        <v>19</v>
      </c>
    </row>
    <row r="45" spans="1:12" ht="15.75" customHeight="1" x14ac:dyDescent="0.15">
      <c r="A45" s="1">
        <v>31307</v>
      </c>
      <c r="B45" s="1">
        <v>0</v>
      </c>
      <c r="D45" s="1" t="s">
        <v>27</v>
      </c>
      <c r="E45" s="1" t="s">
        <v>149</v>
      </c>
      <c r="F45" s="1" t="s">
        <v>150</v>
      </c>
      <c r="I45" s="16">
        <v>40177.112754629627</v>
      </c>
      <c r="J45" s="1" t="s">
        <v>151</v>
      </c>
      <c r="K45" s="1" t="s">
        <v>18</v>
      </c>
      <c r="L45" s="1" t="s">
        <v>19</v>
      </c>
    </row>
    <row r="46" spans="1:12" ht="15.75" customHeight="1" x14ac:dyDescent="0.15">
      <c r="A46" s="1">
        <v>82653</v>
      </c>
      <c r="B46" s="1">
        <v>0</v>
      </c>
      <c r="C46" s="1" t="s">
        <v>26</v>
      </c>
      <c r="D46" s="1" t="s">
        <v>27</v>
      </c>
      <c r="E46" s="1" t="s">
        <v>152</v>
      </c>
      <c r="F46" s="1" t="s">
        <v>153</v>
      </c>
      <c r="G46" s="1" t="s">
        <v>23</v>
      </c>
      <c r="I46" s="16">
        <v>40677.443425925929</v>
      </c>
      <c r="J46" s="1" t="s">
        <v>40</v>
      </c>
      <c r="K46" s="1" t="s">
        <v>18</v>
      </c>
      <c r="L46" s="1" t="s">
        <v>19</v>
      </c>
    </row>
    <row r="47" spans="1:12" ht="15.75" customHeight="1" x14ac:dyDescent="0.15">
      <c r="A47" s="1">
        <v>152585</v>
      </c>
      <c r="B47" s="1">
        <v>0</v>
      </c>
      <c r="C47" s="1" t="s">
        <v>26</v>
      </c>
      <c r="D47" s="1" t="s">
        <v>27</v>
      </c>
      <c r="E47" s="1" t="s">
        <v>154</v>
      </c>
      <c r="F47" s="1" t="s">
        <v>120</v>
      </c>
      <c r="G47" s="1" t="s">
        <v>23</v>
      </c>
      <c r="I47" s="16">
        <v>41179.043622685182</v>
      </c>
      <c r="J47" s="1" t="s">
        <v>155</v>
      </c>
      <c r="K47" s="1" t="s">
        <v>18</v>
      </c>
      <c r="L47" s="1" t="s">
        <v>19</v>
      </c>
    </row>
    <row r="48" spans="1:12" ht="15.75" customHeight="1" x14ac:dyDescent="0.15">
      <c r="A48" s="1">
        <v>399768</v>
      </c>
      <c r="B48" s="1">
        <v>0</v>
      </c>
      <c r="C48" s="1" t="s">
        <v>156</v>
      </c>
      <c r="D48" s="1" t="s">
        <v>27</v>
      </c>
      <c r="E48" s="1" t="s">
        <v>157</v>
      </c>
      <c r="F48" s="1" t="s">
        <v>158</v>
      </c>
      <c r="G48" s="1" t="s">
        <v>159</v>
      </c>
      <c r="I48" s="16">
        <v>41852.88208333333</v>
      </c>
      <c r="J48" s="1" t="s">
        <v>160</v>
      </c>
      <c r="K48" s="1" t="s">
        <v>18</v>
      </c>
      <c r="L48" s="1" t="s">
        <v>19</v>
      </c>
    </row>
    <row r="49" spans="1:16" ht="15.75" customHeight="1" x14ac:dyDescent="0.15">
      <c r="A49" s="1">
        <v>138915</v>
      </c>
      <c r="B49" s="1">
        <v>0</v>
      </c>
      <c r="C49" s="1" t="s">
        <v>26</v>
      </c>
      <c r="D49" s="1" t="s">
        <v>27</v>
      </c>
      <c r="E49" s="1" t="s">
        <v>161</v>
      </c>
      <c r="F49" s="1" t="s">
        <v>162</v>
      </c>
      <c r="G49" s="1" t="s">
        <v>23</v>
      </c>
      <c r="I49" s="16">
        <v>41115.296759259261</v>
      </c>
      <c r="J49" s="1" t="s">
        <v>40</v>
      </c>
      <c r="K49" s="1" t="s">
        <v>18</v>
      </c>
      <c r="L49" s="1" t="s">
        <v>19</v>
      </c>
    </row>
    <row r="50" spans="1:16" ht="15.75" customHeight="1" x14ac:dyDescent="0.15">
      <c r="A50" s="1">
        <v>115681</v>
      </c>
      <c r="B50" s="1">
        <v>0</v>
      </c>
      <c r="C50" s="1" t="s">
        <v>26</v>
      </c>
      <c r="D50" s="1" t="s">
        <v>27</v>
      </c>
      <c r="E50" s="1" t="s">
        <v>163</v>
      </c>
      <c r="F50" s="1" t="s">
        <v>164</v>
      </c>
      <c r="G50" s="1" t="s">
        <v>23</v>
      </c>
      <c r="I50" s="16">
        <v>40963.807164351849</v>
      </c>
      <c r="J50" s="1" t="s">
        <v>44</v>
      </c>
      <c r="K50" s="1" t="s">
        <v>18</v>
      </c>
      <c r="L50" s="1" t="s">
        <v>19</v>
      </c>
    </row>
    <row r="51" spans="1:16" ht="15.75" customHeight="1" x14ac:dyDescent="0.15">
      <c r="A51" s="1">
        <v>67234</v>
      </c>
      <c r="B51" s="1">
        <v>0</v>
      </c>
      <c r="C51" s="1" t="s">
        <v>26</v>
      </c>
      <c r="D51" s="1" t="s">
        <v>27</v>
      </c>
      <c r="E51" s="1" t="s">
        <v>165</v>
      </c>
      <c r="F51" s="1" t="s">
        <v>166</v>
      </c>
      <c r="G51" s="1" t="s">
        <v>23</v>
      </c>
      <c r="I51" s="16">
        <v>40529.035011574073</v>
      </c>
      <c r="J51" s="1" t="s">
        <v>40</v>
      </c>
      <c r="K51" s="1" t="s">
        <v>18</v>
      </c>
      <c r="L51" s="1" t="s">
        <v>19</v>
      </c>
    </row>
    <row r="52" spans="1:16" ht="15.75" customHeight="1" x14ac:dyDescent="0.15">
      <c r="A52" s="1">
        <v>430891</v>
      </c>
      <c r="B52" s="1">
        <v>1</v>
      </c>
      <c r="C52" s="1" t="s">
        <v>12</v>
      </c>
      <c r="D52" s="1" t="s">
        <v>27</v>
      </c>
      <c r="E52" s="1" t="s">
        <v>167</v>
      </c>
      <c r="F52" s="1" t="s">
        <v>168</v>
      </c>
      <c r="G52" s="1" t="s">
        <v>23</v>
      </c>
      <c r="I52" s="16">
        <v>41949.613506944443</v>
      </c>
      <c r="J52" s="1" t="s">
        <v>68</v>
      </c>
      <c r="K52" s="1" t="s">
        <v>18</v>
      </c>
      <c r="L52" s="1" t="s">
        <v>19</v>
      </c>
      <c r="M52" s="1">
        <v>467350</v>
      </c>
      <c r="N52" s="1" t="s">
        <v>169</v>
      </c>
      <c r="O52" s="16">
        <v>42077.901967592596</v>
      </c>
      <c r="P52" s="1" t="s">
        <v>17</v>
      </c>
    </row>
    <row r="53" spans="1:16" ht="15.75" customHeight="1" x14ac:dyDescent="0.15">
      <c r="A53" s="1">
        <v>86758</v>
      </c>
      <c r="B53" s="1">
        <v>0</v>
      </c>
      <c r="C53" s="1" t="s">
        <v>170</v>
      </c>
      <c r="D53" s="1" t="s">
        <v>27</v>
      </c>
      <c r="E53" s="1" t="s">
        <v>171</v>
      </c>
      <c r="F53" s="1" t="s">
        <v>172</v>
      </c>
      <c r="G53" s="1" t="s">
        <v>23</v>
      </c>
      <c r="I53" s="16">
        <v>40714.404189814813</v>
      </c>
      <c r="J53" s="1" t="s">
        <v>173</v>
      </c>
      <c r="K53" s="1" t="s">
        <v>18</v>
      </c>
      <c r="L53" s="1" t="s">
        <v>19</v>
      </c>
    </row>
    <row r="54" spans="1:16" ht="13" x14ac:dyDescent="0.15">
      <c r="A54" s="1">
        <v>174920</v>
      </c>
      <c r="B54" s="1">
        <v>0</v>
      </c>
      <c r="C54" s="1" t="s">
        <v>26</v>
      </c>
      <c r="D54" s="1" t="s">
        <v>27</v>
      </c>
      <c r="E54" s="1" t="s">
        <v>174</v>
      </c>
      <c r="F54" s="1" t="s">
        <v>175</v>
      </c>
      <c r="G54" s="1" t="s">
        <v>23</v>
      </c>
      <c r="I54" s="16">
        <v>41312.689849537041</v>
      </c>
      <c r="J54" s="1" t="s">
        <v>40</v>
      </c>
      <c r="K54" s="1" t="s">
        <v>18</v>
      </c>
      <c r="L54" s="1" t="s">
        <v>19</v>
      </c>
    </row>
    <row r="55" spans="1:16" ht="13" x14ac:dyDescent="0.15">
      <c r="A55" s="1">
        <v>19158</v>
      </c>
      <c r="B55" s="1">
        <v>0</v>
      </c>
      <c r="C55" s="1" t="s">
        <v>170</v>
      </c>
      <c r="D55" s="1" t="s">
        <v>27</v>
      </c>
      <c r="E55" s="1" t="s">
        <v>176</v>
      </c>
      <c r="F55" s="1" t="s">
        <v>177</v>
      </c>
      <c r="G55" s="1" t="s">
        <v>23</v>
      </c>
      <c r="I55" s="16">
        <v>40037.671886574077</v>
      </c>
      <c r="J55" s="1" t="s">
        <v>178</v>
      </c>
      <c r="K55" s="1" t="s">
        <v>18</v>
      </c>
      <c r="L55" s="1" t="s">
        <v>19</v>
      </c>
    </row>
    <row r="56" spans="1:16" ht="13" x14ac:dyDescent="0.15">
      <c r="A56" s="1">
        <v>397258</v>
      </c>
      <c r="B56" s="1">
        <v>0</v>
      </c>
      <c r="C56" s="1" t="s">
        <v>12</v>
      </c>
      <c r="D56" s="1" t="s">
        <v>27</v>
      </c>
      <c r="E56" s="1" t="s">
        <v>179</v>
      </c>
      <c r="F56" s="1" t="s">
        <v>180</v>
      </c>
      <c r="G56" s="1" t="s">
        <v>23</v>
      </c>
      <c r="I56" s="16">
        <v>41844.873784722222</v>
      </c>
      <c r="J56" s="1" t="s">
        <v>181</v>
      </c>
      <c r="K56" s="1" t="s">
        <v>18</v>
      </c>
      <c r="L56" s="1" t="s">
        <v>19</v>
      </c>
    </row>
    <row r="57" spans="1:16" ht="13" x14ac:dyDescent="0.15">
      <c r="A57" s="1">
        <v>425980</v>
      </c>
      <c r="B57" s="1">
        <v>0</v>
      </c>
      <c r="D57" s="1" t="s">
        <v>27</v>
      </c>
      <c r="E57" s="1" t="s">
        <v>182</v>
      </c>
      <c r="F57" s="1" t="s">
        <v>183</v>
      </c>
      <c r="G57" s="1" t="s">
        <v>23</v>
      </c>
      <c r="I57" s="16">
        <v>41934.546400462961</v>
      </c>
      <c r="J57" s="1" t="s">
        <v>17</v>
      </c>
      <c r="K57" s="1" t="s">
        <v>18</v>
      </c>
      <c r="L57" s="1" t="s">
        <v>19</v>
      </c>
    </row>
    <row r="58" spans="1:16" ht="13" x14ac:dyDescent="0.15">
      <c r="A58" s="1">
        <v>282925</v>
      </c>
      <c r="B58" s="1">
        <v>1</v>
      </c>
      <c r="C58" s="1" t="s">
        <v>31</v>
      </c>
      <c r="D58" s="1" t="s">
        <v>27</v>
      </c>
      <c r="E58" s="1" t="s">
        <v>184</v>
      </c>
      <c r="F58" s="1" t="s">
        <v>185</v>
      </c>
      <c r="G58" s="1" t="s">
        <v>23</v>
      </c>
      <c r="I58" s="16">
        <v>41517.633310185185</v>
      </c>
      <c r="J58" s="1" t="s">
        <v>17</v>
      </c>
      <c r="K58" s="1" t="s">
        <v>18</v>
      </c>
      <c r="L58" s="1" t="s">
        <v>19</v>
      </c>
      <c r="M58" s="1">
        <v>294237</v>
      </c>
      <c r="N58" s="1" t="s">
        <v>186</v>
      </c>
      <c r="O58" s="16">
        <v>41535.720694444448</v>
      </c>
      <c r="P58" s="1" t="s">
        <v>187</v>
      </c>
    </row>
    <row r="59" spans="1:16" ht="13" x14ac:dyDescent="0.15">
      <c r="A59" s="1">
        <v>91665</v>
      </c>
      <c r="B59" s="1">
        <v>0</v>
      </c>
      <c r="D59" s="1" t="s">
        <v>27</v>
      </c>
      <c r="E59" s="1" t="s">
        <v>188</v>
      </c>
      <c r="F59" s="1" t="s">
        <v>189</v>
      </c>
      <c r="I59" s="16">
        <v>40759.57916666667</v>
      </c>
      <c r="J59" s="1" t="s">
        <v>190</v>
      </c>
      <c r="K59" s="1" t="s">
        <v>18</v>
      </c>
      <c r="L59" s="1" t="s">
        <v>19</v>
      </c>
    </row>
    <row r="60" spans="1:16" ht="13" x14ac:dyDescent="0.15">
      <c r="A60" s="1">
        <v>244415</v>
      </c>
      <c r="B60" s="1">
        <v>0</v>
      </c>
      <c r="C60" s="1" t="s">
        <v>50</v>
      </c>
      <c r="D60" s="1" t="s">
        <v>27</v>
      </c>
      <c r="E60" s="1" t="s">
        <v>191</v>
      </c>
      <c r="F60" s="1" t="s">
        <v>192</v>
      </c>
      <c r="G60" s="1" t="s">
        <v>23</v>
      </c>
      <c r="I60" s="16">
        <v>41422.591006944444</v>
      </c>
      <c r="J60" s="1" t="s">
        <v>193</v>
      </c>
      <c r="K60" s="1" t="s">
        <v>18</v>
      </c>
      <c r="L60" s="1" t="s">
        <v>19</v>
      </c>
    </row>
    <row r="61" spans="1:16" ht="13" x14ac:dyDescent="0.15">
      <c r="A61" s="1">
        <v>159429</v>
      </c>
      <c r="B61" s="1">
        <v>0</v>
      </c>
      <c r="C61" s="1" t="s">
        <v>194</v>
      </c>
      <c r="D61" s="1" t="s">
        <v>27</v>
      </c>
      <c r="E61" s="1" t="s">
        <v>195</v>
      </c>
      <c r="F61" s="1" t="s">
        <v>196</v>
      </c>
      <c r="G61" s="1" t="s">
        <v>23</v>
      </c>
      <c r="I61" s="16">
        <v>41218.698761574073</v>
      </c>
      <c r="J61" s="1" t="s">
        <v>76</v>
      </c>
      <c r="K61" s="1" t="s">
        <v>18</v>
      </c>
      <c r="L61" s="1" t="s">
        <v>19</v>
      </c>
    </row>
    <row r="62" spans="1:16" ht="13" x14ac:dyDescent="0.15">
      <c r="A62" s="1">
        <v>42228</v>
      </c>
      <c r="B62" s="1">
        <v>0</v>
      </c>
      <c r="D62" s="1" t="s">
        <v>27</v>
      </c>
      <c r="E62" s="1" t="s">
        <v>197</v>
      </c>
      <c r="F62" s="1" t="s">
        <v>198</v>
      </c>
      <c r="I62" s="16">
        <v>40289.795960648145</v>
      </c>
      <c r="J62" s="1" t="s">
        <v>199</v>
      </c>
      <c r="K62" s="1" t="s">
        <v>18</v>
      </c>
      <c r="L62" s="1" t="s">
        <v>19</v>
      </c>
    </row>
    <row r="63" spans="1:16" ht="13" x14ac:dyDescent="0.15">
      <c r="A63" s="1">
        <v>162835</v>
      </c>
      <c r="B63" s="1">
        <v>0</v>
      </c>
      <c r="C63" s="1" t="s">
        <v>200</v>
      </c>
      <c r="D63" s="1" t="s">
        <v>27</v>
      </c>
      <c r="E63" s="1" t="s">
        <v>201</v>
      </c>
      <c r="F63" s="1" t="s">
        <v>202</v>
      </c>
      <c r="G63" s="1" t="s">
        <v>23</v>
      </c>
      <c r="I63" s="16">
        <v>41240.513715277775</v>
      </c>
      <c r="J63" s="1" t="s">
        <v>151</v>
      </c>
      <c r="K63" s="1" t="s">
        <v>18</v>
      </c>
      <c r="L63" s="1" t="s">
        <v>19</v>
      </c>
    </row>
    <row r="64" spans="1:16" ht="13" x14ac:dyDescent="0.15">
      <c r="A64" s="1">
        <v>622634</v>
      </c>
      <c r="B64" s="1">
        <v>0</v>
      </c>
      <c r="C64" s="1" t="s">
        <v>137</v>
      </c>
      <c r="D64" s="1" t="s">
        <v>27</v>
      </c>
      <c r="E64" s="1" t="s">
        <v>203</v>
      </c>
      <c r="F64" s="1" t="s">
        <v>204</v>
      </c>
      <c r="G64" s="1" t="s">
        <v>23</v>
      </c>
      <c r="I64" s="16">
        <v>42544.401759259257</v>
      </c>
      <c r="J64" s="1" t="s">
        <v>205</v>
      </c>
      <c r="K64" s="1" t="s">
        <v>18</v>
      </c>
      <c r="L64" s="1" t="s">
        <v>19</v>
      </c>
    </row>
    <row r="65" spans="1:16" ht="13" x14ac:dyDescent="0.15">
      <c r="A65" s="1">
        <v>129890</v>
      </c>
      <c r="B65" s="1">
        <v>0</v>
      </c>
      <c r="C65" s="1" t="s">
        <v>26</v>
      </c>
      <c r="D65" s="1" t="s">
        <v>27</v>
      </c>
      <c r="E65" s="1" t="s">
        <v>206</v>
      </c>
      <c r="F65" s="1" t="s">
        <v>207</v>
      </c>
      <c r="G65" s="1" t="s">
        <v>23</v>
      </c>
      <c r="I65" s="16">
        <v>41055.675000000003</v>
      </c>
      <c r="J65" s="1" t="s">
        <v>208</v>
      </c>
      <c r="K65" s="1" t="s">
        <v>18</v>
      </c>
      <c r="L65" s="1" t="s">
        <v>19</v>
      </c>
    </row>
    <row r="66" spans="1:16" ht="13" x14ac:dyDescent="0.15">
      <c r="A66" s="1">
        <v>129898</v>
      </c>
      <c r="B66" s="1">
        <v>0</v>
      </c>
      <c r="C66" s="1" t="s">
        <v>26</v>
      </c>
      <c r="D66" s="1" t="s">
        <v>27</v>
      </c>
      <c r="E66" s="1" t="s">
        <v>209</v>
      </c>
      <c r="F66" s="1" t="s">
        <v>210</v>
      </c>
      <c r="G66" s="1" t="s">
        <v>23</v>
      </c>
      <c r="I66" s="16">
        <v>41055.804467592592</v>
      </c>
      <c r="J66" s="1" t="s">
        <v>44</v>
      </c>
      <c r="K66" s="1" t="s">
        <v>18</v>
      </c>
      <c r="L66" s="1" t="s">
        <v>19</v>
      </c>
    </row>
    <row r="67" spans="1:16" ht="13" x14ac:dyDescent="0.15">
      <c r="A67" s="1">
        <v>120711</v>
      </c>
      <c r="B67" s="1">
        <v>1</v>
      </c>
      <c r="C67" s="1" t="s">
        <v>26</v>
      </c>
      <c r="D67" s="1" t="s">
        <v>27</v>
      </c>
      <c r="E67" s="1" t="s">
        <v>211</v>
      </c>
      <c r="F67" s="1" t="s">
        <v>212</v>
      </c>
      <c r="G67" s="1" t="s">
        <v>23</v>
      </c>
      <c r="I67" s="16">
        <v>40996.775543981479</v>
      </c>
      <c r="J67" s="1" t="s">
        <v>44</v>
      </c>
      <c r="K67" s="1" t="s">
        <v>18</v>
      </c>
      <c r="L67" s="1" t="s">
        <v>19</v>
      </c>
      <c r="M67" s="1">
        <v>121861</v>
      </c>
      <c r="N67" s="1" t="s">
        <v>213</v>
      </c>
      <c r="O67" s="16">
        <v>41003.379618055558</v>
      </c>
      <c r="P67" s="1" t="s">
        <v>148</v>
      </c>
    </row>
    <row r="68" spans="1:16" ht="13" x14ac:dyDescent="0.15">
      <c r="A68" s="1">
        <v>88723</v>
      </c>
      <c r="B68" s="1">
        <v>0</v>
      </c>
      <c r="C68" s="1" t="s">
        <v>133</v>
      </c>
      <c r="D68" s="1" t="s">
        <v>27</v>
      </c>
      <c r="E68" s="1" t="s">
        <v>214</v>
      </c>
      <c r="F68" s="1" t="s">
        <v>215</v>
      </c>
      <c r="G68" s="1" t="s">
        <v>23</v>
      </c>
      <c r="I68" s="16">
        <v>40732.039641203701</v>
      </c>
      <c r="J68" s="1" t="s">
        <v>216</v>
      </c>
      <c r="K68" s="1" t="s">
        <v>18</v>
      </c>
      <c r="L68" s="1" t="s">
        <v>19</v>
      </c>
    </row>
    <row r="69" spans="1:16" ht="13" x14ac:dyDescent="0.15">
      <c r="A69" s="1">
        <v>448299</v>
      </c>
      <c r="B69" s="1">
        <v>0</v>
      </c>
      <c r="C69" s="1" t="s">
        <v>65</v>
      </c>
      <c r="D69" s="1" t="s">
        <v>27</v>
      </c>
      <c r="E69" s="1" t="s">
        <v>217</v>
      </c>
      <c r="F69" s="1" t="s">
        <v>218</v>
      </c>
      <c r="G69" s="1" t="s">
        <v>23</v>
      </c>
      <c r="I69" s="16">
        <v>42017.301539351851</v>
      </c>
      <c r="J69" s="1" t="s">
        <v>17</v>
      </c>
      <c r="K69" s="1" t="s">
        <v>18</v>
      </c>
      <c r="L69" s="1" t="s">
        <v>19</v>
      </c>
    </row>
    <row r="70" spans="1:16" ht="13" x14ac:dyDescent="0.15">
      <c r="A70" s="1">
        <v>338561</v>
      </c>
      <c r="B70" s="1">
        <v>0</v>
      </c>
      <c r="C70" s="1" t="s">
        <v>50</v>
      </c>
      <c r="D70" s="1" t="s">
        <v>27</v>
      </c>
      <c r="E70" s="1" t="s">
        <v>219</v>
      </c>
      <c r="F70" s="1" t="s">
        <v>220</v>
      </c>
      <c r="G70" s="1" t="s">
        <v>23</v>
      </c>
      <c r="I70" s="16">
        <v>41667.040266203701</v>
      </c>
      <c r="J70" s="1" t="s">
        <v>17</v>
      </c>
      <c r="K70" s="1" t="s">
        <v>18</v>
      </c>
      <c r="L70" s="1" t="s">
        <v>19</v>
      </c>
    </row>
    <row r="71" spans="1:16" ht="13" x14ac:dyDescent="0.15">
      <c r="A71" s="1">
        <v>595259</v>
      </c>
      <c r="B71" s="1">
        <v>1</v>
      </c>
      <c r="C71" s="1" t="s">
        <v>101</v>
      </c>
      <c r="D71" s="1" t="s">
        <v>27</v>
      </c>
      <c r="E71" s="1" t="s">
        <v>221</v>
      </c>
      <c r="F71" s="1" t="s">
        <v>222</v>
      </c>
      <c r="G71" s="1" t="s">
        <v>16</v>
      </c>
      <c r="I71" s="16">
        <v>42445.361064814817</v>
      </c>
      <c r="J71" s="1" t="s">
        <v>17</v>
      </c>
      <c r="K71" s="1" t="s">
        <v>18</v>
      </c>
      <c r="L71" s="1" t="s">
        <v>19</v>
      </c>
      <c r="M71" s="1">
        <v>594912</v>
      </c>
      <c r="N71" s="1" t="s">
        <v>223</v>
      </c>
      <c r="O71" s="16">
        <v>42444.3516087963</v>
      </c>
      <c r="P71" s="1" t="s">
        <v>224</v>
      </c>
    </row>
    <row r="72" spans="1:16" ht="13" x14ac:dyDescent="0.15">
      <c r="A72" s="1">
        <v>317999</v>
      </c>
      <c r="B72" s="1">
        <v>0</v>
      </c>
      <c r="C72" s="1" t="s">
        <v>225</v>
      </c>
      <c r="D72" s="1" t="s">
        <v>27</v>
      </c>
      <c r="E72" s="1" t="s">
        <v>226</v>
      </c>
      <c r="F72" s="1" t="s">
        <v>227</v>
      </c>
      <c r="G72" s="1" t="s">
        <v>23</v>
      </c>
      <c r="I72" s="16">
        <v>41590.220486111109</v>
      </c>
      <c r="J72" s="1" t="s">
        <v>228</v>
      </c>
      <c r="K72" s="1" t="s">
        <v>18</v>
      </c>
      <c r="L72" s="1" t="s">
        <v>19</v>
      </c>
    </row>
    <row r="73" spans="1:16" ht="13" x14ac:dyDescent="0.15">
      <c r="A73" s="1">
        <v>559541</v>
      </c>
      <c r="B73" s="1">
        <v>0</v>
      </c>
      <c r="C73" s="1" t="s">
        <v>137</v>
      </c>
      <c r="D73" s="1" t="s">
        <v>27</v>
      </c>
      <c r="E73" s="1" t="s">
        <v>229</v>
      </c>
      <c r="F73" s="1" t="s">
        <v>230</v>
      </c>
      <c r="G73" s="1" t="s">
        <v>159</v>
      </c>
      <c r="I73" s="16">
        <v>42329.289814814816</v>
      </c>
      <c r="J73" s="1" t="s">
        <v>231</v>
      </c>
      <c r="K73" s="1" t="s">
        <v>18</v>
      </c>
      <c r="L73" s="1" t="s">
        <v>19</v>
      </c>
    </row>
    <row r="74" spans="1:16" ht="13" x14ac:dyDescent="0.15">
      <c r="A74" s="1">
        <v>84355</v>
      </c>
      <c r="B74" s="1">
        <v>0</v>
      </c>
      <c r="C74" s="1" t="s">
        <v>26</v>
      </c>
      <c r="D74" s="1" t="s">
        <v>27</v>
      </c>
      <c r="E74" s="1" t="s">
        <v>232</v>
      </c>
      <c r="F74" s="1" t="s">
        <v>233</v>
      </c>
      <c r="G74" s="1" t="s">
        <v>23</v>
      </c>
      <c r="I74" s="16">
        <v>40692.366863425923</v>
      </c>
      <c r="J74" s="1" t="s">
        <v>44</v>
      </c>
      <c r="K74" s="1" t="s">
        <v>18</v>
      </c>
      <c r="L74" s="1" t="s">
        <v>19</v>
      </c>
    </row>
    <row r="75" spans="1:16" ht="13" x14ac:dyDescent="0.15">
      <c r="A75" s="1">
        <v>285380</v>
      </c>
      <c r="B75" s="1">
        <v>0</v>
      </c>
      <c r="C75" s="1" t="s">
        <v>31</v>
      </c>
      <c r="D75" s="1" t="s">
        <v>27</v>
      </c>
      <c r="E75" s="1" t="s">
        <v>234</v>
      </c>
      <c r="F75" s="1" t="s">
        <v>235</v>
      </c>
      <c r="G75" s="1" t="s">
        <v>23</v>
      </c>
      <c r="I75" s="16">
        <v>41521.881157407406</v>
      </c>
      <c r="J75" s="1" t="s">
        <v>17</v>
      </c>
      <c r="K75" s="1" t="s">
        <v>18</v>
      </c>
      <c r="L75" s="1" t="s">
        <v>19</v>
      </c>
    </row>
    <row r="76" spans="1:16" ht="13" x14ac:dyDescent="0.15">
      <c r="A76" s="1">
        <v>634394</v>
      </c>
      <c r="B76" s="1">
        <v>0</v>
      </c>
      <c r="C76" s="1" t="s">
        <v>12</v>
      </c>
      <c r="D76" s="1" t="s">
        <v>27</v>
      </c>
      <c r="E76" s="1" t="s">
        <v>236</v>
      </c>
      <c r="F76" s="1" t="s">
        <v>237</v>
      </c>
      <c r="G76" s="1" t="s">
        <v>23</v>
      </c>
      <c r="I76" s="16">
        <v>42586.752824074072</v>
      </c>
      <c r="J76" s="1" t="s">
        <v>238</v>
      </c>
      <c r="K76" s="1" t="s">
        <v>18</v>
      </c>
      <c r="L76" s="1" t="s">
        <v>19</v>
      </c>
    </row>
    <row r="77" spans="1:16" ht="13" x14ac:dyDescent="0.15">
      <c r="A77" s="1">
        <v>469148</v>
      </c>
      <c r="B77" s="1">
        <v>0</v>
      </c>
      <c r="D77" s="1" t="s">
        <v>27</v>
      </c>
      <c r="E77" s="1" t="s">
        <v>239</v>
      </c>
      <c r="F77" s="1" t="s">
        <v>240</v>
      </c>
      <c r="G77" s="1" t="s">
        <v>23</v>
      </c>
      <c r="I77" s="16">
        <v>42083.57167824074</v>
      </c>
      <c r="J77" s="1" t="s">
        <v>241</v>
      </c>
      <c r="K77" s="1" t="s">
        <v>18</v>
      </c>
      <c r="L77" s="1" t="s">
        <v>19</v>
      </c>
    </row>
    <row r="78" spans="1:16" ht="13" x14ac:dyDescent="0.15">
      <c r="A78" s="1">
        <v>470777</v>
      </c>
      <c r="B78" s="1">
        <v>0</v>
      </c>
      <c r="C78" s="1" t="s">
        <v>73</v>
      </c>
      <c r="D78" s="1" t="s">
        <v>27</v>
      </c>
      <c r="E78" s="1" t="s">
        <v>242</v>
      </c>
      <c r="F78" s="1" t="s">
        <v>243</v>
      </c>
      <c r="G78" s="1" t="s">
        <v>23</v>
      </c>
      <c r="I78" s="16">
        <v>42089.232002314813</v>
      </c>
      <c r="J78" s="1" t="s">
        <v>17</v>
      </c>
      <c r="K78" s="1" t="s">
        <v>18</v>
      </c>
      <c r="L78" s="1" t="s">
        <v>19</v>
      </c>
    </row>
    <row r="79" spans="1:16" ht="13" x14ac:dyDescent="0.15">
      <c r="A79" s="1">
        <v>600182</v>
      </c>
      <c r="B79" s="1">
        <v>0</v>
      </c>
      <c r="C79" s="1" t="s">
        <v>244</v>
      </c>
      <c r="D79" s="1" t="s">
        <v>27</v>
      </c>
      <c r="E79" s="1" t="s">
        <v>245</v>
      </c>
      <c r="F79" s="1" t="s">
        <v>246</v>
      </c>
      <c r="G79" s="1" t="s">
        <v>23</v>
      </c>
      <c r="I79" s="16">
        <v>42463.302719907406</v>
      </c>
      <c r="J79" s="1" t="s">
        <v>247</v>
      </c>
      <c r="K79" s="1" t="s">
        <v>18</v>
      </c>
      <c r="L79" s="1" t="s">
        <v>19</v>
      </c>
    </row>
    <row r="80" spans="1:16" ht="13" x14ac:dyDescent="0.15">
      <c r="A80" s="1">
        <v>449049</v>
      </c>
      <c r="B80" s="1">
        <v>0</v>
      </c>
      <c r="C80" s="1" t="s">
        <v>248</v>
      </c>
      <c r="D80" s="1" t="s">
        <v>27</v>
      </c>
      <c r="E80" s="1" t="s">
        <v>249</v>
      </c>
      <c r="F80" s="1" t="s">
        <v>250</v>
      </c>
      <c r="G80" s="1" t="s">
        <v>23</v>
      </c>
      <c r="I80" s="16">
        <v>42019.238576388889</v>
      </c>
      <c r="J80" s="1" t="s">
        <v>17</v>
      </c>
      <c r="K80" s="1" t="s">
        <v>18</v>
      </c>
      <c r="L80" s="1" t="s">
        <v>19</v>
      </c>
    </row>
    <row r="81" spans="1:20" ht="13" x14ac:dyDescent="0.15">
      <c r="A81" s="1">
        <v>448314</v>
      </c>
      <c r="B81" s="1">
        <v>0</v>
      </c>
      <c r="C81" s="1" t="s">
        <v>77</v>
      </c>
      <c r="D81" s="1" t="s">
        <v>27</v>
      </c>
      <c r="E81" s="1" t="s">
        <v>251</v>
      </c>
      <c r="F81" s="1" t="s">
        <v>252</v>
      </c>
      <c r="I81" s="16">
        <v>42017.344583333332</v>
      </c>
      <c r="J81" s="1" t="s">
        <v>68</v>
      </c>
      <c r="K81" s="1" t="s">
        <v>18</v>
      </c>
      <c r="L81" s="1" t="s">
        <v>19</v>
      </c>
    </row>
    <row r="82" spans="1:20" ht="13" x14ac:dyDescent="0.15">
      <c r="A82" s="1">
        <v>40487</v>
      </c>
      <c r="B82" s="1">
        <v>0</v>
      </c>
      <c r="C82" s="1" t="s">
        <v>26</v>
      </c>
      <c r="D82" s="1" t="s">
        <v>27</v>
      </c>
      <c r="E82" s="1" t="s">
        <v>253</v>
      </c>
      <c r="F82" s="1" t="s">
        <v>254</v>
      </c>
      <c r="I82" s="16">
        <v>40273.978483796294</v>
      </c>
      <c r="J82" s="1" t="s">
        <v>255</v>
      </c>
      <c r="K82" s="1" t="s">
        <v>18</v>
      </c>
      <c r="L82" s="1" t="s">
        <v>19</v>
      </c>
    </row>
    <row r="83" spans="1:20" ht="13" x14ac:dyDescent="0.15">
      <c r="A83" s="1">
        <v>522128</v>
      </c>
      <c r="B83" s="1">
        <v>0</v>
      </c>
      <c r="C83" s="1" t="s">
        <v>77</v>
      </c>
      <c r="D83" s="1" t="s">
        <v>27</v>
      </c>
      <c r="E83" s="1" t="s">
        <v>256</v>
      </c>
      <c r="F83" s="1" t="s">
        <v>257</v>
      </c>
      <c r="G83" s="1" t="s">
        <v>23</v>
      </c>
      <c r="I83" s="16">
        <v>42234.697500000002</v>
      </c>
      <c r="J83" s="1" t="s">
        <v>258</v>
      </c>
      <c r="K83" s="1" t="s">
        <v>18</v>
      </c>
      <c r="L83" s="1" t="s">
        <v>19</v>
      </c>
    </row>
    <row r="84" spans="1:20" ht="13" x14ac:dyDescent="0.15">
      <c r="A84" s="1">
        <v>119281</v>
      </c>
      <c r="B84" s="1">
        <v>1</v>
      </c>
      <c r="C84" s="1" t="s">
        <v>26</v>
      </c>
      <c r="D84" s="1" t="s">
        <v>27</v>
      </c>
      <c r="E84" s="1" t="s">
        <v>259</v>
      </c>
      <c r="F84" s="1" t="s">
        <v>260</v>
      </c>
      <c r="G84" s="1" t="s">
        <v>23</v>
      </c>
      <c r="I84" s="16">
        <v>40989.561226851853</v>
      </c>
      <c r="J84" s="1" t="s">
        <v>261</v>
      </c>
      <c r="K84" s="1" t="s">
        <v>18</v>
      </c>
      <c r="L84" s="1" t="s">
        <v>19</v>
      </c>
      <c r="M84" s="1">
        <v>120591</v>
      </c>
      <c r="N84" s="1" t="s">
        <v>262</v>
      </c>
      <c r="O84" s="16">
        <v>40996.105162037034</v>
      </c>
      <c r="P84" s="1" t="s">
        <v>263</v>
      </c>
    </row>
    <row r="85" spans="1:20" ht="13" x14ac:dyDescent="0.15">
      <c r="A85" s="1">
        <v>414525</v>
      </c>
      <c r="B85" s="1">
        <v>0</v>
      </c>
      <c r="C85" s="1" t="s">
        <v>12</v>
      </c>
      <c r="D85" s="1" t="s">
        <v>27</v>
      </c>
      <c r="E85" s="1" t="s">
        <v>264</v>
      </c>
      <c r="F85" s="1" t="s">
        <v>265</v>
      </c>
      <c r="I85" s="16">
        <v>41898.002314814818</v>
      </c>
      <c r="J85" s="1" t="s">
        <v>68</v>
      </c>
      <c r="K85" s="1" t="s">
        <v>18</v>
      </c>
      <c r="L85" s="1" t="s">
        <v>19</v>
      </c>
    </row>
    <row r="86" spans="1:20" ht="13" x14ac:dyDescent="0.15">
      <c r="A86" s="1">
        <v>409506</v>
      </c>
      <c r="B86" s="1">
        <v>0</v>
      </c>
      <c r="D86" s="1" t="s">
        <v>27</v>
      </c>
      <c r="E86" s="1" t="s">
        <v>266</v>
      </c>
      <c r="F86" s="1" t="s">
        <v>267</v>
      </c>
      <c r="G86" s="1" t="s">
        <v>23</v>
      </c>
      <c r="I86" s="16">
        <v>41883.233136574076</v>
      </c>
      <c r="J86" s="1" t="s">
        <v>17</v>
      </c>
      <c r="K86" s="1" t="s">
        <v>18</v>
      </c>
      <c r="L86" s="1" t="s">
        <v>19</v>
      </c>
    </row>
    <row r="87" spans="1:20" ht="13" x14ac:dyDescent="0.15">
      <c r="A87" s="1">
        <v>409508</v>
      </c>
      <c r="B87" s="1">
        <v>0</v>
      </c>
      <c r="C87" s="1" t="s">
        <v>268</v>
      </c>
      <c r="D87" s="1" t="s">
        <v>27</v>
      </c>
      <c r="E87" s="1" t="s">
        <v>269</v>
      </c>
      <c r="F87" s="1" t="s">
        <v>270</v>
      </c>
      <c r="G87" s="1" t="s">
        <v>23</v>
      </c>
      <c r="I87" s="16">
        <v>41883.235115740739</v>
      </c>
      <c r="J87" s="1" t="s">
        <v>17</v>
      </c>
      <c r="K87" s="1" t="s">
        <v>18</v>
      </c>
      <c r="L87" s="1" t="s">
        <v>19</v>
      </c>
    </row>
    <row r="88" spans="1:20" ht="13" x14ac:dyDescent="0.15">
      <c r="A88" s="1">
        <v>117226</v>
      </c>
      <c r="B88" s="1">
        <v>0</v>
      </c>
      <c r="C88" s="1" t="s">
        <v>26</v>
      </c>
      <c r="D88" s="1" t="s">
        <v>27</v>
      </c>
      <c r="E88" s="1" t="s">
        <v>271</v>
      </c>
      <c r="F88" s="1" t="s">
        <v>272</v>
      </c>
      <c r="G88" s="1" t="s">
        <v>23</v>
      </c>
      <c r="I88" s="16">
        <v>40975.847754629627</v>
      </c>
      <c r="J88" s="1" t="s">
        <v>40</v>
      </c>
      <c r="K88" s="1" t="s">
        <v>18</v>
      </c>
      <c r="L88" s="1" t="s">
        <v>19</v>
      </c>
    </row>
    <row r="89" spans="1:20" ht="13" x14ac:dyDescent="0.15">
      <c r="A89" s="1">
        <v>72340</v>
      </c>
      <c r="B89" s="1">
        <v>0</v>
      </c>
      <c r="C89" s="1" t="s">
        <v>26</v>
      </c>
      <c r="D89" s="1" t="s">
        <v>27</v>
      </c>
      <c r="E89" s="1" t="s">
        <v>273</v>
      </c>
      <c r="F89" s="1" t="s">
        <v>274</v>
      </c>
      <c r="I89" s="16">
        <v>40582.871481481481</v>
      </c>
      <c r="J89" s="1" t="s">
        <v>44</v>
      </c>
      <c r="K89" s="1" t="s">
        <v>18</v>
      </c>
      <c r="L89" s="1" t="s">
        <v>19</v>
      </c>
    </row>
    <row r="90" spans="1:20" ht="13" x14ac:dyDescent="0.15">
      <c r="A90" s="1">
        <v>100322</v>
      </c>
      <c r="B90" s="1">
        <v>1</v>
      </c>
      <c r="C90" s="1" t="s">
        <v>145</v>
      </c>
      <c r="D90" s="1" t="s">
        <v>27</v>
      </c>
      <c r="E90" s="1" t="s">
        <v>275</v>
      </c>
      <c r="F90" s="1" t="s">
        <v>276</v>
      </c>
      <c r="G90" s="1" t="s">
        <v>23</v>
      </c>
      <c r="I90" s="16">
        <v>40830.531412037039</v>
      </c>
      <c r="J90" s="1" t="s">
        <v>277</v>
      </c>
      <c r="K90" s="1" t="s">
        <v>18</v>
      </c>
      <c r="L90" s="1" t="s">
        <v>19</v>
      </c>
      <c r="M90" s="1">
        <v>100601</v>
      </c>
      <c r="N90" s="1" t="s">
        <v>278</v>
      </c>
      <c r="O90" s="16">
        <v>40833.815937500003</v>
      </c>
      <c r="P90" s="1" t="s">
        <v>279</v>
      </c>
    </row>
    <row r="91" spans="1:20" ht="13" x14ac:dyDescent="0.15">
      <c r="A91" s="1">
        <v>400476</v>
      </c>
      <c r="B91" s="1">
        <v>1</v>
      </c>
      <c r="C91" s="1" t="s">
        <v>280</v>
      </c>
      <c r="D91" s="1" t="s">
        <v>27</v>
      </c>
      <c r="E91" s="1" t="s">
        <v>281</v>
      </c>
      <c r="F91" s="1" t="s">
        <v>282</v>
      </c>
      <c r="G91" s="1" t="s">
        <v>16</v>
      </c>
      <c r="I91" s="16">
        <v>41855.829386574071</v>
      </c>
      <c r="J91" s="1" t="s">
        <v>68</v>
      </c>
      <c r="K91" s="1" t="s">
        <v>18</v>
      </c>
      <c r="L91" s="1" t="s">
        <v>19</v>
      </c>
      <c r="M91" s="1">
        <v>410732</v>
      </c>
      <c r="N91" s="1" t="s">
        <v>283</v>
      </c>
      <c r="O91" s="16">
        <v>41886.371215277781</v>
      </c>
      <c r="P91" s="1" t="s">
        <v>132</v>
      </c>
    </row>
    <row r="92" spans="1:20" ht="13" x14ac:dyDescent="0.15">
      <c r="A92" s="1">
        <v>451755</v>
      </c>
      <c r="B92" s="1">
        <v>0</v>
      </c>
      <c r="D92" s="1" t="s">
        <v>27</v>
      </c>
      <c r="E92" s="1" t="s">
        <v>284</v>
      </c>
      <c r="F92" s="1" t="s">
        <v>250</v>
      </c>
      <c r="G92" s="1" t="s">
        <v>23</v>
      </c>
      <c r="I92" s="16">
        <v>42028.888460648152</v>
      </c>
      <c r="J92" s="1" t="s">
        <v>17</v>
      </c>
      <c r="K92" s="1" t="s">
        <v>18</v>
      </c>
      <c r="L92" s="1" t="s">
        <v>19</v>
      </c>
    </row>
    <row r="93" spans="1:20" ht="13" x14ac:dyDescent="0.15">
      <c r="A93" s="1">
        <v>451753</v>
      </c>
      <c r="B93" s="1">
        <v>0</v>
      </c>
      <c r="D93" s="1" t="s">
        <v>27</v>
      </c>
      <c r="E93" s="1" t="s">
        <v>285</v>
      </c>
      <c r="F93" s="1" t="s">
        <v>286</v>
      </c>
      <c r="G93" s="1" t="s">
        <v>23</v>
      </c>
      <c r="I93" s="16">
        <v>42028.887187499997</v>
      </c>
      <c r="J93" s="1" t="s">
        <v>17</v>
      </c>
      <c r="K93" s="1" t="s">
        <v>18</v>
      </c>
      <c r="L93" s="1" t="s">
        <v>19</v>
      </c>
    </row>
    <row r="94" spans="1:20" ht="13" x14ac:dyDescent="0.15">
      <c r="A94" s="1">
        <v>261609</v>
      </c>
      <c r="B94" s="1">
        <v>0</v>
      </c>
      <c r="C94" s="1" t="s">
        <v>31</v>
      </c>
      <c r="D94" s="1" t="s">
        <v>27</v>
      </c>
      <c r="E94" s="1" t="s">
        <v>287</v>
      </c>
      <c r="F94" s="1" t="s">
        <v>288</v>
      </c>
      <c r="G94" s="1" t="s">
        <v>23</v>
      </c>
      <c r="I94" s="16">
        <v>41473.656504629631</v>
      </c>
      <c r="J94" s="1" t="s">
        <v>17</v>
      </c>
      <c r="K94" s="1" t="s">
        <v>18</v>
      </c>
      <c r="L94" s="1" t="s">
        <v>19</v>
      </c>
    </row>
    <row r="95" spans="1:20" ht="13" x14ac:dyDescent="0.15">
      <c r="A95" s="1">
        <v>118273</v>
      </c>
      <c r="B95" s="1">
        <v>0</v>
      </c>
      <c r="C95" s="1" t="s">
        <v>26</v>
      </c>
      <c r="D95" s="1" t="s">
        <v>27</v>
      </c>
      <c r="E95" s="1" t="s">
        <v>289</v>
      </c>
      <c r="F95" s="1" t="s">
        <v>290</v>
      </c>
      <c r="G95" s="1" t="s">
        <v>23</v>
      </c>
      <c r="I95" s="16">
        <v>40982.935393518521</v>
      </c>
      <c r="J95" s="1" t="s">
        <v>40</v>
      </c>
      <c r="K95" s="1" t="s">
        <v>18</v>
      </c>
      <c r="L95" s="1" t="s">
        <v>19</v>
      </c>
    </row>
    <row r="96" spans="1:20" ht="13" x14ac:dyDescent="0.15">
      <c r="A96" s="1">
        <v>118853</v>
      </c>
      <c r="B96" s="1">
        <v>2</v>
      </c>
      <c r="C96" s="1" t="s">
        <v>26</v>
      </c>
      <c r="D96" s="1" t="s">
        <v>27</v>
      </c>
      <c r="E96" s="1" t="s">
        <v>291</v>
      </c>
      <c r="F96" s="1" t="s">
        <v>292</v>
      </c>
      <c r="G96" s="1" t="s">
        <v>23</v>
      </c>
      <c r="I96" s="16">
        <v>40987.120324074072</v>
      </c>
      <c r="J96" s="1" t="s">
        <v>155</v>
      </c>
      <c r="K96" s="1" t="s">
        <v>18</v>
      </c>
      <c r="L96" s="1" t="s">
        <v>19</v>
      </c>
      <c r="M96" s="1">
        <v>120605</v>
      </c>
      <c r="N96" s="1" t="s">
        <v>293</v>
      </c>
      <c r="O96" s="16">
        <v>40996.238530092596</v>
      </c>
      <c r="P96" s="1" t="s">
        <v>261</v>
      </c>
      <c r="Q96" s="1">
        <v>118805</v>
      </c>
      <c r="R96" s="1" t="s">
        <v>293</v>
      </c>
      <c r="S96" s="2">
        <v>40986.315011574072</v>
      </c>
      <c r="T96" s="1" t="s">
        <v>40</v>
      </c>
    </row>
    <row r="97" spans="1:16" ht="13" x14ac:dyDescent="0.15">
      <c r="A97" s="1">
        <v>68439</v>
      </c>
      <c r="B97" s="1">
        <v>0</v>
      </c>
      <c r="C97" s="1" t="s">
        <v>26</v>
      </c>
      <c r="D97" s="1" t="s">
        <v>27</v>
      </c>
      <c r="E97" s="1" t="s">
        <v>294</v>
      </c>
      <c r="F97" s="1" t="s">
        <v>295</v>
      </c>
      <c r="G97" s="1" t="s">
        <v>23</v>
      </c>
      <c r="I97" s="16">
        <v>40546.14739583333</v>
      </c>
      <c r="J97" s="1" t="s">
        <v>92</v>
      </c>
      <c r="K97" s="1" t="s">
        <v>18</v>
      </c>
      <c r="L97" s="1" t="s">
        <v>19</v>
      </c>
    </row>
    <row r="98" spans="1:16" ht="13" x14ac:dyDescent="0.15">
      <c r="A98" s="1">
        <v>565049</v>
      </c>
      <c r="B98" s="1">
        <v>1</v>
      </c>
      <c r="C98" s="1" t="s">
        <v>296</v>
      </c>
      <c r="D98" s="1" t="s">
        <v>27</v>
      </c>
      <c r="E98" s="1" t="s">
        <v>297</v>
      </c>
      <c r="F98" s="1" t="s">
        <v>298</v>
      </c>
      <c r="G98" s="1" t="s">
        <v>16</v>
      </c>
      <c r="I98" s="16">
        <v>42341.10597222222</v>
      </c>
      <c r="J98" s="1" t="s">
        <v>17</v>
      </c>
      <c r="K98" s="1" t="s">
        <v>18</v>
      </c>
      <c r="L98" s="1" t="s">
        <v>19</v>
      </c>
      <c r="M98" s="1">
        <v>561690</v>
      </c>
      <c r="N98" s="1" t="s">
        <v>299</v>
      </c>
      <c r="O98" s="16">
        <v>42333.862500000003</v>
      </c>
      <c r="P98" s="1" t="s">
        <v>68</v>
      </c>
    </row>
    <row r="99" spans="1:16" ht="13" x14ac:dyDescent="0.15">
      <c r="A99" s="1">
        <v>137409</v>
      </c>
      <c r="B99" s="1">
        <v>0</v>
      </c>
      <c r="C99" s="1" t="s">
        <v>26</v>
      </c>
      <c r="D99" s="1" t="s">
        <v>27</v>
      </c>
      <c r="E99" s="1" t="s">
        <v>300</v>
      </c>
      <c r="F99" s="1" t="s">
        <v>301</v>
      </c>
      <c r="G99" s="1" t="s">
        <v>23</v>
      </c>
      <c r="I99" s="16">
        <v>41105.06591435185</v>
      </c>
      <c r="J99" s="1" t="s">
        <v>40</v>
      </c>
      <c r="K99" s="1" t="s">
        <v>18</v>
      </c>
      <c r="L99" s="1" t="s">
        <v>19</v>
      </c>
    </row>
    <row r="100" spans="1:16" ht="13" x14ac:dyDescent="0.15">
      <c r="A100" s="1">
        <v>29828</v>
      </c>
      <c r="B100" s="1">
        <v>0</v>
      </c>
      <c r="D100" s="1" t="s">
        <v>27</v>
      </c>
      <c r="E100" s="1" t="s">
        <v>302</v>
      </c>
      <c r="F100" s="1" t="s">
        <v>303</v>
      </c>
      <c r="G100" s="1" t="s">
        <v>23</v>
      </c>
      <c r="I100" s="16">
        <v>40156.214039351849</v>
      </c>
      <c r="J100" s="1" t="s">
        <v>304</v>
      </c>
      <c r="K100" s="1" t="s">
        <v>18</v>
      </c>
      <c r="L100" s="1" t="s">
        <v>19</v>
      </c>
    </row>
    <row r="101" spans="1:16" ht="13" x14ac:dyDescent="0.15">
      <c r="A101" s="1">
        <v>573131</v>
      </c>
      <c r="B101" s="1">
        <v>1</v>
      </c>
      <c r="C101" s="1" t="s">
        <v>305</v>
      </c>
      <c r="D101" s="1" t="s">
        <v>27</v>
      </c>
      <c r="E101" s="1" t="s">
        <v>306</v>
      </c>
      <c r="F101" s="1" t="s">
        <v>307</v>
      </c>
      <c r="G101" s="1" t="s">
        <v>308</v>
      </c>
      <c r="I101" s="16">
        <v>42368.24927083333</v>
      </c>
      <c r="J101" s="1" t="s">
        <v>309</v>
      </c>
      <c r="K101" s="1" t="s">
        <v>18</v>
      </c>
      <c r="L101" s="1" t="s">
        <v>19</v>
      </c>
      <c r="M101" s="1">
        <v>631348</v>
      </c>
      <c r="N101" s="1" t="s">
        <v>310</v>
      </c>
      <c r="O101" s="16">
        <v>42577.324618055558</v>
      </c>
      <c r="P101" s="1" t="s">
        <v>311</v>
      </c>
    </row>
    <row r="102" spans="1:16" ht="13" x14ac:dyDescent="0.15">
      <c r="A102" s="1">
        <v>115028</v>
      </c>
      <c r="B102" s="1">
        <v>0</v>
      </c>
      <c r="C102" s="1" t="s">
        <v>26</v>
      </c>
      <c r="D102" s="1" t="s">
        <v>27</v>
      </c>
      <c r="E102" s="1" t="s">
        <v>312</v>
      </c>
      <c r="F102" s="1" t="s">
        <v>313</v>
      </c>
      <c r="G102" s="1" t="s">
        <v>23</v>
      </c>
      <c r="I102" s="16">
        <v>40959.830405092594</v>
      </c>
      <c r="J102" s="1" t="s">
        <v>44</v>
      </c>
      <c r="K102" s="1" t="s">
        <v>18</v>
      </c>
      <c r="L102" s="1" t="s">
        <v>19</v>
      </c>
    </row>
    <row r="103" spans="1:16" ht="13" x14ac:dyDescent="0.15">
      <c r="A103" s="1">
        <v>55114</v>
      </c>
      <c r="B103" s="1">
        <v>0</v>
      </c>
      <c r="C103" s="1" t="s">
        <v>26</v>
      </c>
      <c r="D103" s="1" t="s">
        <v>27</v>
      </c>
      <c r="E103" s="1" t="s">
        <v>314</v>
      </c>
      <c r="F103" s="1" t="s">
        <v>315</v>
      </c>
      <c r="G103" s="1" t="s">
        <v>23</v>
      </c>
      <c r="I103" s="16">
        <v>40431.690844907411</v>
      </c>
      <c r="J103" s="1" t="s">
        <v>30</v>
      </c>
      <c r="K103" s="1" t="s">
        <v>18</v>
      </c>
      <c r="L103" s="1" t="s">
        <v>19</v>
      </c>
    </row>
    <row r="104" spans="1:16" ht="13" x14ac:dyDescent="0.15">
      <c r="A104" s="1">
        <v>599067</v>
      </c>
      <c r="B104" s="1">
        <v>0</v>
      </c>
      <c r="C104" s="1" t="s">
        <v>101</v>
      </c>
      <c r="D104" s="1" t="s">
        <v>27</v>
      </c>
      <c r="E104" s="1" t="s">
        <v>316</v>
      </c>
      <c r="F104" s="1" t="s">
        <v>317</v>
      </c>
      <c r="G104" s="1" t="s">
        <v>16</v>
      </c>
      <c r="I104" s="16">
        <v>42459.464456018519</v>
      </c>
      <c r="J104" s="1" t="s">
        <v>17</v>
      </c>
      <c r="K104" s="1" t="s">
        <v>18</v>
      </c>
      <c r="L104" s="1" t="s">
        <v>19</v>
      </c>
    </row>
    <row r="105" spans="1:16" ht="13" x14ac:dyDescent="0.15">
      <c r="A105" s="1">
        <v>294023</v>
      </c>
      <c r="B105" s="1">
        <v>0</v>
      </c>
      <c r="C105" s="1" t="s">
        <v>26</v>
      </c>
      <c r="D105" s="1" t="s">
        <v>27</v>
      </c>
      <c r="E105" s="1" t="s">
        <v>318</v>
      </c>
      <c r="F105" s="1" t="s">
        <v>319</v>
      </c>
      <c r="G105" s="1" t="s">
        <v>23</v>
      </c>
      <c r="I105" s="16">
        <v>41535.376342592594</v>
      </c>
      <c r="J105" s="1" t="s">
        <v>320</v>
      </c>
      <c r="K105" s="1" t="s">
        <v>18</v>
      </c>
      <c r="L105" s="1" t="s">
        <v>19</v>
      </c>
    </row>
    <row r="106" spans="1:16" ht="13" x14ac:dyDescent="0.15">
      <c r="A106" s="1">
        <v>558840</v>
      </c>
      <c r="B106" s="1">
        <v>0</v>
      </c>
      <c r="C106" s="1" t="s">
        <v>12</v>
      </c>
      <c r="D106" s="1" t="s">
        <v>27</v>
      </c>
      <c r="E106" s="1" t="s">
        <v>321</v>
      </c>
      <c r="F106" s="1" t="s">
        <v>322</v>
      </c>
      <c r="G106" s="1" t="s">
        <v>16</v>
      </c>
      <c r="I106" s="16">
        <v>42328.092986111114</v>
      </c>
      <c r="J106" s="1" t="s">
        <v>17</v>
      </c>
      <c r="K106" s="1" t="s">
        <v>18</v>
      </c>
      <c r="L106" s="1" t="s">
        <v>19</v>
      </c>
    </row>
    <row r="107" spans="1:16" ht="13" x14ac:dyDescent="0.15">
      <c r="A107" s="1">
        <v>68170</v>
      </c>
      <c r="B107" s="1">
        <v>0</v>
      </c>
      <c r="C107" s="1" t="s">
        <v>194</v>
      </c>
      <c r="D107" s="1" t="s">
        <v>27</v>
      </c>
      <c r="E107" s="1" t="s">
        <v>323</v>
      </c>
      <c r="F107" s="1" t="s">
        <v>295</v>
      </c>
      <c r="G107" s="1" t="s">
        <v>23</v>
      </c>
      <c r="I107" s="16">
        <v>40540.783460648148</v>
      </c>
      <c r="J107" s="1" t="s">
        <v>190</v>
      </c>
      <c r="K107" s="1" t="s">
        <v>18</v>
      </c>
      <c r="L107" s="1" t="s">
        <v>19</v>
      </c>
    </row>
    <row r="108" spans="1:16" ht="13" x14ac:dyDescent="0.15">
      <c r="A108" s="1">
        <v>77346</v>
      </c>
      <c r="B108" s="1">
        <v>0</v>
      </c>
      <c r="C108" s="1" t="s">
        <v>26</v>
      </c>
      <c r="D108" s="1" t="s">
        <v>27</v>
      </c>
      <c r="E108" s="1" t="s">
        <v>324</v>
      </c>
      <c r="F108" s="1" t="s">
        <v>325</v>
      </c>
      <c r="G108" s="1" t="s">
        <v>23</v>
      </c>
      <c r="I108" s="16">
        <v>40627.06212962963</v>
      </c>
      <c r="J108" s="1" t="s">
        <v>326</v>
      </c>
      <c r="K108" s="1" t="s">
        <v>18</v>
      </c>
      <c r="L108" s="1" t="s">
        <v>19</v>
      </c>
    </row>
    <row r="109" spans="1:16" ht="13" x14ac:dyDescent="0.15">
      <c r="A109" s="1">
        <v>260138</v>
      </c>
      <c r="B109" s="1">
        <v>1</v>
      </c>
      <c r="C109" s="1" t="s">
        <v>31</v>
      </c>
      <c r="D109" s="1" t="s">
        <v>27</v>
      </c>
      <c r="E109" s="1" t="s">
        <v>327</v>
      </c>
      <c r="F109" s="1" t="s">
        <v>328</v>
      </c>
      <c r="G109" s="1" t="s">
        <v>23</v>
      </c>
      <c r="I109" s="16">
        <v>41469.197071759256</v>
      </c>
      <c r="J109" s="1" t="s">
        <v>17</v>
      </c>
      <c r="K109" s="1" t="s">
        <v>18</v>
      </c>
      <c r="L109" s="1" t="s">
        <v>19</v>
      </c>
      <c r="M109" s="1">
        <v>268511</v>
      </c>
      <c r="N109" s="1" t="s">
        <v>329</v>
      </c>
      <c r="O109" s="16">
        <v>41491.849976851852</v>
      </c>
      <c r="P109" s="1" t="s">
        <v>330</v>
      </c>
    </row>
    <row r="110" spans="1:16" ht="13" x14ac:dyDescent="0.15">
      <c r="A110" s="1">
        <v>78841</v>
      </c>
      <c r="B110" s="1">
        <v>1</v>
      </c>
      <c r="C110" s="1" t="s">
        <v>26</v>
      </c>
      <c r="D110" s="1" t="s">
        <v>27</v>
      </c>
      <c r="E110" s="1" t="s">
        <v>331</v>
      </c>
      <c r="F110" s="1" t="s">
        <v>332</v>
      </c>
      <c r="G110" s="1" t="s">
        <v>23</v>
      </c>
      <c r="I110" s="16">
        <v>40641.814629629633</v>
      </c>
      <c r="J110" s="1" t="s">
        <v>44</v>
      </c>
      <c r="K110" s="1" t="s">
        <v>18</v>
      </c>
      <c r="L110" s="1" t="s">
        <v>19</v>
      </c>
      <c r="M110" s="1">
        <v>82354</v>
      </c>
      <c r="N110" s="1" t="s">
        <v>333</v>
      </c>
      <c r="O110" s="16">
        <v>40674.981666666667</v>
      </c>
      <c r="P110" s="1" t="s">
        <v>92</v>
      </c>
    </row>
    <row r="111" spans="1:16" ht="13" x14ac:dyDescent="0.15">
      <c r="A111" s="1">
        <v>108461</v>
      </c>
      <c r="B111" s="1">
        <v>1</v>
      </c>
      <c r="C111" s="1" t="s">
        <v>26</v>
      </c>
      <c r="D111" s="1" t="s">
        <v>27</v>
      </c>
      <c r="E111" s="1" t="s">
        <v>334</v>
      </c>
      <c r="F111" s="1" t="s">
        <v>335</v>
      </c>
      <c r="G111" s="1" t="s">
        <v>23</v>
      </c>
      <c r="I111" s="16">
        <v>40899.818368055552</v>
      </c>
      <c r="J111" s="1" t="s">
        <v>40</v>
      </c>
      <c r="K111" s="1" t="s">
        <v>18</v>
      </c>
      <c r="L111" s="1" t="s">
        <v>19</v>
      </c>
      <c r="M111" s="1">
        <v>109537</v>
      </c>
      <c r="N111" s="1" t="s">
        <v>336</v>
      </c>
      <c r="O111" s="16">
        <v>40915.978541666664</v>
      </c>
      <c r="P111" s="1" t="s">
        <v>190</v>
      </c>
    </row>
    <row r="112" spans="1:16" ht="13" x14ac:dyDescent="0.15">
      <c r="A112" s="1">
        <v>31542</v>
      </c>
      <c r="B112" s="1">
        <v>0</v>
      </c>
      <c r="C112" s="1" t="s">
        <v>26</v>
      </c>
      <c r="D112" s="1" t="s">
        <v>27</v>
      </c>
      <c r="E112" s="1" t="s">
        <v>337</v>
      </c>
      <c r="F112" s="1" t="s">
        <v>338</v>
      </c>
      <c r="I112" s="16">
        <v>40182.863993055558</v>
      </c>
      <c r="J112" s="1" t="s">
        <v>339</v>
      </c>
      <c r="K112" s="1" t="s">
        <v>18</v>
      </c>
      <c r="L112" s="1" t="s">
        <v>19</v>
      </c>
    </row>
    <row r="113" spans="1:16" ht="13" x14ac:dyDescent="0.15">
      <c r="A113" s="1">
        <v>462300</v>
      </c>
      <c r="B113" s="1">
        <v>0</v>
      </c>
      <c r="C113" s="1" t="s">
        <v>340</v>
      </c>
      <c r="D113" s="1" t="s">
        <v>27</v>
      </c>
      <c r="E113" s="1" t="s">
        <v>341</v>
      </c>
      <c r="F113" s="1" t="s">
        <v>342</v>
      </c>
      <c r="G113" s="1" t="s">
        <v>23</v>
      </c>
      <c r="I113" s="16">
        <v>42061.791458333333</v>
      </c>
      <c r="J113" s="1" t="s">
        <v>17</v>
      </c>
      <c r="K113" s="1" t="s">
        <v>18</v>
      </c>
      <c r="L113" s="1" t="s">
        <v>19</v>
      </c>
    </row>
    <row r="114" spans="1:16" ht="13" x14ac:dyDescent="0.15">
      <c r="A114" s="1">
        <v>490506</v>
      </c>
      <c r="B114" s="1">
        <v>0</v>
      </c>
      <c r="C114" s="1" t="s">
        <v>101</v>
      </c>
      <c r="D114" s="1" t="s">
        <v>27</v>
      </c>
      <c r="E114" s="1" t="s">
        <v>343</v>
      </c>
      <c r="F114" s="1" t="s">
        <v>344</v>
      </c>
      <c r="G114" s="1" t="s">
        <v>23</v>
      </c>
      <c r="I114" s="16">
        <v>42145.192881944444</v>
      </c>
      <c r="J114" s="1" t="s">
        <v>17</v>
      </c>
      <c r="K114" s="1" t="s">
        <v>18</v>
      </c>
      <c r="L114" s="1" t="s">
        <v>19</v>
      </c>
    </row>
    <row r="115" spans="1:16" ht="13" x14ac:dyDescent="0.15">
      <c r="A115" s="1">
        <v>78576</v>
      </c>
      <c r="B115" s="1">
        <v>0</v>
      </c>
      <c r="C115" s="1" t="s">
        <v>133</v>
      </c>
      <c r="D115" s="1" t="s">
        <v>27</v>
      </c>
      <c r="E115" s="1" t="s">
        <v>345</v>
      </c>
      <c r="F115" s="1" t="s">
        <v>346</v>
      </c>
      <c r="G115" s="1" t="s">
        <v>23</v>
      </c>
      <c r="I115" s="16">
        <v>40639.405162037037</v>
      </c>
      <c r="J115" s="1" t="s">
        <v>148</v>
      </c>
      <c r="K115" s="1" t="s">
        <v>18</v>
      </c>
      <c r="L115" s="1" t="s">
        <v>19</v>
      </c>
    </row>
    <row r="116" spans="1:16" ht="13" x14ac:dyDescent="0.15">
      <c r="A116" s="1">
        <v>78572</v>
      </c>
      <c r="B116" s="1">
        <v>0</v>
      </c>
      <c r="C116" s="1" t="s">
        <v>133</v>
      </c>
      <c r="D116" s="1" t="s">
        <v>27</v>
      </c>
      <c r="E116" s="1" t="s">
        <v>347</v>
      </c>
      <c r="F116" s="1" t="s">
        <v>348</v>
      </c>
      <c r="G116" s="1" t="s">
        <v>23</v>
      </c>
      <c r="I116" s="16">
        <v>40639.358854166669</v>
      </c>
      <c r="J116" s="1" t="s">
        <v>148</v>
      </c>
      <c r="K116" s="1" t="s">
        <v>18</v>
      </c>
      <c r="L116" s="1" t="s">
        <v>19</v>
      </c>
    </row>
    <row r="117" spans="1:16" ht="13" x14ac:dyDescent="0.15">
      <c r="A117" s="1">
        <v>345820</v>
      </c>
      <c r="B117" s="1">
        <v>0</v>
      </c>
      <c r="C117" s="1" t="s">
        <v>101</v>
      </c>
      <c r="D117" s="1" t="s">
        <v>27</v>
      </c>
      <c r="E117" s="1" t="s">
        <v>349</v>
      </c>
      <c r="F117" s="1" t="s">
        <v>350</v>
      </c>
      <c r="G117" s="1" t="s">
        <v>23</v>
      </c>
      <c r="I117" s="16">
        <v>41691.891747685186</v>
      </c>
      <c r="J117" s="1" t="s">
        <v>17</v>
      </c>
      <c r="K117" s="1" t="s">
        <v>18</v>
      </c>
      <c r="L117" s="1" t="s">
        <v>19</v>
      </c>
    </row>
    <row r="118" spans="1:16" ht="13" x14ac:dyDescent="0.15">
      <c r="A118" s="1">
        <v>406879</v>
      </c>
      <c r="B118" s="1">
        <v>0</v>
      </c>
      <c r="D118" s="1" t="s">
        <v>27</v>
      </c>
      <c r="E118" s="1" t="s">
        <v>351</v>
      </c>
      <c r="F118" s="1" t="s">
        <v>352</v>
      </c>
      <c r="G118" s="1" t="s">
        <v>353</v>
      </c>
      <c r="I118" s="16">
        <v>41875.001666666663</v>
      </c>
      <c r="J118" s="1" t="s">
        <v>17</v>
      </c>
      <c r="K118" s="1" t="s">
        <v>18</v>
      </c>
      <c r="L118" s="1" t="s">
        <v>19</v>
      </c>
    </row>
    <row r="119" spans="1:16" ht="13" x14ac:dyDescent="0.15">
      <c r="A119" s="1">
        <v>39660</v>
      </c>
      <c r="B119" s="1">
        <v>0</v>
      </c>
      <c r="D119" s="1" t="s">
        <v>27</v>
      </c>
      <c r="E119" s="1" t="s">
        <v>354</v>
      </c>
      <c r="F119" s="1" t="s">
        <v>355</v>
      </c>
      <c r="I119" s="16">
        <v>40266.188101851854</v>
      </c>
      <c r="J119" s="1" t="s">
        <v>151</v>
      </c>
      <c r="K119" s="1" t="s">
        <v>18</v>
      </c>
      <c r="L119" s="1" t="s">
        <v>19</v>
      </c>
    </row>
    <row r="120" spans="1:16" ht="13" x14ac:dyDescent="0.15">
      <c r="A120" s="1">
        <v>120037</v>
      </c>
      <c r="B120" s="1">
        <v>0</v>
      </c>
      <c r="C120" s="1" t="s">
        <v>26</v>
      </c>
      <c r="D120" s="1" t="s">
        <v>27</v>
      </c>
      <c r="E120" s="1" t="s">
        <v>356</v>
      </c>
      <c r="F120" s="1" t="s">
        <v>357</v>
      </c>
      <c r="G120" s="1" t="s">
        <v>23</v>
      </c>
      <c r="I120" s="16">
        <v>40993.800613425927</v>
      </c>
      <c r="J120" s="1" t="s">
        <v>44</v>
      </c>
      <c r="K120" s="1" t="s">
        <v>18</v>
      </c>
      <c r="L120" s="1" t="s">
        <v>19</v>
      </c>
    </row>
    <row r="121" spans="1:16" ht="13" x14ac:dyDescent="0.15">
      <c r="A121" s="1">
        <v>94809</v>
      </c>
      <c r="B121" s="1">
        <v>0</v>
      </c>
      <c r="C121" s="1" t="s">
        <v>26</v>
      </c>
      <c r="D121" s="1" t="s">
        <v>27</v>
      </c>
      <c r="E121" s="1" t="s">
        <v>358</v>
      </c>
      <c r="F121" s="1" t="s">
        <v>359</v>
      </c>
      <c r="G121" s="1" t="s">
        <v>23</v>
      </c>
      <c r="I121" s="16">
        <v>40785.915000000001</v>
      </c>
      <c r="J121" s="1" t="s">
        <v>40</v>
      </c>
      <c r="K121" s="1" t="s">
        <v>18</v>
      </c>
      <c r="L121" s="1" t="s">
        <v>19</v>
      </c>
    </row>
    <row r="122" spans="1:16" ht="13" x14ac:dyDescent="0.15">
      <c r="A122" s="1">
        <v>350863</v>
      </c>
      <c r="B122" s="1">
        <v>0</v>
      </c>
      <c r="C122" s="1" t="s">
        <v>101</v>
      </c>
      <c r="D122" s="1" t="s">
        <v>27</v>
      </c>
      <c r="E122" s="1" t="s">
        <v>360</v>
      </c>
      <c r="F122" s="1" t="s">
        <v>361</v>
      </c>
      <c r="G122" s="1" t="s">
        <v>23</v>
      </c>
      <c r="I122" s="16">
        <v>41708.447523148148</v>
      </c>
      <c r="J122" s="1" t="s">
        <v>17</v>
      </c>
      <c r="K122" s="1" t="s">
        <v>18</v>
      </c>
      <c r="L122" s="1" t="s">
        <v>19</v>
      </c>
    </row>
    <row r="123" spans="1:16" ht="13" x14ac:dyDescent="0.15">
      <c r="A123" s="1">
        <v>99016</v>
      </c>
      <c r="B123" s="1">
        <v>1</v>
      </c>
      <c r="C123" s="1" t="s">
        <v>170</v>
      </c>
      <c r="D123" s="1" t="s">
        <v>27</v>
      </c>
      <c r="E123" s="1" t="s">
        <v>362</v>
      </c>
      <c r="F123" s="1" t="s">
        <v>363</v>
      </c>
      <c r="G123" s="1" t="s">
        <v>23</v>
      </c>
      <c r="I123" s="16">
        <v>40820.550995370373</v>
      </c>
      <c r="J123" s="1" t="s">
        <v>364</v>
      </c>
      <c r="K123" s="1" t="s">
        <v>18</v>
      </c>
      <c r="L123" s="1" t="s">
        <v>19</v>
      </c>
      <c r="M123" s="1">
        <v>75559</v>
      </c>
      <c r="N123" s="1" t="s">
        <v>365</v>
      </c>
      <c r="O123" s="16">
        <v>40612.170983796299</v>
      </c>
      <c r="P123" s="1" t="s">
        <v>366</v>
      </c>
    </row>
    <row r="124" spans="1:16" ht="13" x14ac:dyDescent="0.15">
      <c r="A124" s="1">
        <v>50712</v>
      </c>
      <c r="B124" s="1">
        <v>0</v>
      </c>
      <c r="C124" s="1" t="s">
        <v>26</v>
      </c>
      <c r="D124" s="1" t="s">
        <v>27</v>
      </c>
      <c r="E124" s="1" t="s">
        <v>367</v>
      </c>
      <c r="F124" s="1" t="s">
        <v>368</v>
      </c>
      <c r="G124" s="1" t="s">
        <v>23</v>
      </c>
      <c r="I124" s="16">
        <v>40389.127638888887</v>
      </c>
      <c r="J124" s="1" t="s">
        <v>263</v>
      </c>
      <c r="K124" s="1" t="s">
        <v>18</v>
      </c>
      <c r="L124" s="1" t="s">
        <v>19</v>
      </c>
    </row>
    <row r="125" spans="1:16" ht="13" x14ac:dyDescent="0.15">
      <c r="A125" s="1">
        <v>658535</v>
      </c>
      <c r="B125" s="1">
        <v>0</v>
      </c>
      <c r="C125" s="1" t="s">
        <v>369</v>
      </c>
      <c r="D125" s="1" t="s">
        <v>27</v>
      </c>
      <c r="E125" s="1" t="s">
        <v>370</v>
      </c>
      <c r="F125" s="1" t="s">
        <v>371</v>
      </c>
      <c r="G125" s="1" t="s">
        <v>372</v>
      </c>
      <c r="I125" s="16">
        <v>42665.756782407407</v>
      </c>
      <c r="J125" s="1" t="s">
        <v>247</v>
      </c>
      <c r="K125" s="1" t="s">
        <v>18</v>
      </c>
      <c r="L125" s="1" t="s">
        <v>19</v>
      </c>
    </row>
    <row r="126" spans="1:16" ht="13" x14ac:dyDescent="0.15">
      <c r="A126" s="1">
        <v>132779</v>
      </c>
      <c r="B126" s="1">
        <v>0</v>
      </c>
      <c r="C126" s="1" t="s">
        <v>373</v>
      </c>
      <c r="D126" s="1" t="s">
        <v>27</v>
      </c>
      <c r="E126" s="1" t="s">
        <v>374</v>
      </c>
      <c r="F126" s="1" t="s">
        <v>375</v>
      </c>
      <c r="I126" s="16">
        <v>41074.714814814812</v>
      </c>
      <c r="J126" s="1" t="s">
        <v>376</v>
      </c>
      <c r="K126" s="1" t="s">
        <v>18</v>
      </c>
      <c r="L126" s="1" t="s">
        <v>19</v>
      </c>
    </row>
    <row r="127" spans="1:16" ht="13" x14ac:dyDescent="0.15">
      <c r="A127" s="1">
        <v>654183</v>
      </c>
      <c r="B127" s="1">
        <v>0</v>
      </c>
      <c r="C127" s="1" t="s">
        <v>12</v>
      </c>
      <c r="D127" s="1" t="s">
        <v>27</v>
      </c>
      <c r="E127" s="1" t="s">
        <v>377</v>
      </c>
      <c r="F127" s="1" t="s">
        <v>378</v>
      </c>
      <c r="G127" s="1" t="s">
        <v>23</v>
      </c>
      <c r="I127" s="16">
        <v>42651.317569444444</v>
      </c>
      <c r="J127" s="1" t="s">
        <v>379</v>
      </c>
      <c r="K127" s="1" t="s">
        <v>18</v>
      </c>
      <c r="L127" s="1" t="s">
        <v>19</v>
      </c>
    </row>
    <row r="128" spans="1:16" ht="13" x14ac:dyDescent="0.15">
      <c r="A128" s="1">
        <v>133418</v>
      </c>
      <c r="B128" s="1">
        <v>1</v>
      </c>
      <c r="C128" s="1" t="s">
        <v>26</v>
      </c>
      <c r="D128" s="1" t="s">
        <v>27</v>
      </c>
      <c r="E128" s="1" t="s">
        <v>380</v>
      </c>
      <c r="F128" s="1" t="s">
        <v>381</v>
      </c>
      <c r="G128" s="1" t="s">
        <v>23</v>
      </c>
      <c r="I128" s="16">
        <v>41079.019826388889</v>
      </c>
      <c r="J128" s="1" t="s">
        <v>40</v>
      </c>
      <c r="K128" s="1" t="s">
        <v>18</v>
      </c>
      <c r="L128" s="1" t="s">
        <v>19</v>
      </c>
      <c r="M128" s="1">
        <v>131161</v>
      </c>
      <c r="N128" s="1" t="s">
        <v>382</v>
      </c>
      <c r="O128" s="16">
        <v>41065.469583333332</v>
      </c>
      <c r="P128" s="1" t="s">
        <v>155</v>
      </c>
    </row>
    <row r="129" spans="1:12" ht="13" x14ac:dyDescent="0.15">
      <c r="A129" s="1">
        <v>421090</v>
      </c>
      <c r="B129" s="1">
        <v>0</v>
      </c>
      <c r="C129" s="1" t="s">
        <v>156</v>
      </c>
      <c r="D129" s="1" t="s">
        <v>27</v>
      </c>
      <c r="E129" s="1" t="s">
        <v>383</v>
      </c>
      <c r="F129" s="1" t="s">
        <v>384</v>
      </c>
      <c r="G129" s="1" t="s">
        <v>23</v>
      </c>
      <c r="I129" s="16">
        <v>41919.64947916667</v>
      </c>
      <c r="J129" s="1" t="s">
        <v>160</v>
      </c>
      <c r="K129" s="1" t="s">
        <v>18</v>
      </c>
      <c r="L129" s="1" t="s">
        <v>19</v>
      </c>
    </row>
    <row r="130" spans="1:12" ht="13" x14ac:dyDescent="0.15">
      <c r="A130" s="1">
        <v>260105</v>
      </c>
      <c r="B130" s="1">
        <v>0</v>
      </c>
      <c r="D130" s="1" t="s">
        <v>27</v>
      </c>
      <c r="E130" s="1" t="s">
        <v>385</v>
      </c>
      <c r="F130" s="1" t="s">
        <v>386</v>
      </c>
      <c r="G130" s="1" t="s">
        <v>23</v>
      </c>
      <c r="I130" s="16">
        <v>41468.538368055553</v>
      </c>
      <c r="J130" s="1" t="s">
        <v>68</v>
      </c>
      <c r="K130" s="1" t="s">
        <v>18</v>
      </c>
      <c r="L130" s="1" t="s">
        <v>19</v>
      </c>
    </row>
    <row r="131" spans="1:12" ht="13" x14ac:dyDescent="0.15">
      <c r="A131" s="1">
        <v>94273</v>
      </c>
      <c r="B131" s="1">
        <v>0</v>
      </c>
      <c r="C131" s="1" t="s">
        <v>26</v>
      </c>
      <c r="D131" s="1" t="s">
        <v>27</v>
      </c>
      <c r="E131" s="1" t="s">
        <v>387</v>
      </c>
      <c r="F131" s="1" t="s">
        <v>388</v>
      </c>
      <c r="I131" s="16">
        <v>40780.770185185182</v>
      </c>
      <c r="J131" s="1" t="s">
        <v>389</v>
      </c>
      <c r="K131" s="1" t="s">
        <v>18</v>
      </c>
      <c r="L131" s="1" t="s">
        <v>19</v>
      </c>
    </row>
    <row r="132" spans="1:12" ht="13" x14ac:dyDescent="0.15">
      <c r="A132" s="1">
        <v>78327</v>
      </c>
      <c r="B132" s="1">
        <v>0</v>
      </c>
      <c r="C132" s="1" t="s">
        <v>26</v>
      </c>
      <c r="D132" s="1" t="s">
        <v>27</v>
      </c>
      <c r="E132" s="1" t="s">
        <v>390</v>
      </c>
      <c r="F132" s="1" t="s">
        <v>391</v>
      </c>
      <c r="G132" s="1" t="s">
        <v>23</v>
      </c>
      <c r="I132" s="16">
        <v>40637.66369212963</v>
      </c>
      <c r="J132" s="1" t="s">
        <v>40</v>
      </c>
      <c r="K132" s="1" t="s">
        <v>18</v>
      </c>
      <c r="L132" s="1" t="s">
        <v>19</v>
      </c>
    </row>
    <row r="133" spans="1:12" ht="13" x14ac:dyDescent="0.15">
      <c r="A133" s="1">
        <v>79055</v>
      </c>
      <c r="B133" s="1">
        <v>0</v>
      </c>
      <c r="C133" s="1" t="s">
        <v>26</v>
      </c>
      <c r="D133" s="1" t="s">
        <v>27</v>
      </c>
      <c r="E133" s="1" t="s">
        <v>392</v>
      </c>
      <c r="F133" s="1" t="s">
        <v>393</v>
      </c>
      <c r="G133" s="1" t="s">
        <v>23</v>
      </c>
      <c r="I133" s="16">
        <v>40644.720138888886</v>
      </c>
      <c r="J133" s="1" t="s">
        <v>40</v>
      </c>
      <c r="K133" s="1" t="s">
        <v>18</v>
      </c>
      <c r="L133" s="1" t="s">
        <v>19</v>
      </c>
    </row>
    <row r="134" spans="1:12" ht="13" x14ac:dyDescent="0.15">
      <c r="A134" s="1">
        <v>163218</v>
      </c>
      <c r="B134" s="1">
        <v>0</v>
      </c>
      <c r="C134" s="1" t="s">
        <v>26</v>
      </c>
      <c r="D134" s="1" t="s">
        <v>27</v>
      </c>
      <c r="E134" s="1" t="s">
        <v>394</v>
      </c>
      <c r="F134" s="1" t="s">
        <v>395</v>
      </c>
      <c r="G134" s="1" t="s">
        <v>23</v>
      </c>
      <c r="I134" s="16">
        <v>41241.949131944442</v>
      </c>
      <c r="J134" s="1" t="s">
        <v>40</v>
      </c>
      <c r="K134" s="1" t="s">
        <v>18</v>
      </c>
      <c r="L134" s="1" t="s">
        <v>19</v>
      </c>
    </row>
    <row r="135" spans="1:12" ht="13" x14ac:dyDescent="0.15">
      <c r="A135" s="1">
        <v>181438</v>
      </c>
      <c r="B135" s="1">
        <v>0</v>
      </c>
      <c r="C135" s="1" t="s">
        <v>170</v>
      </c>
      <c r="D135" s="1" t="s">
        <v>27</v>
      </c>
      <c r="E135" s="1" t="s">
        <v>396</v>
      </c>
      <c r="F135" s="1" t="s">
        <v>397</v>
      </c>
      <c r="G135" s="1" t="s">
        <v>159</v>
      </c>
      <c r="I135" s="16">
        <v>41343.520092592589</v>
      </c>
      <c r="J135" s="1" t="s">
        <v>398</v>
      </c>
      <c r="K135" s="1" t="s">
        <v>18</v>
      </c>
      <c r="L135" s="1" t="s">
        <v>19</v>
      </c>
    </row>
    <row r="136" spans="1:12" ht="13" x14ac:dyDescent="0.15">
      <c r="A136" s="1">
        <v>566156</v>
      </c>
      <c r="B136" s="1">
        <v>0</v>
      </c>
      <c r="C136" s="1" t="s">
        <v>399</v>
      </c>
      <c r="D136" s="1" t="s">
        <v>27</v>
      </c>
      <c r="E136" s="1" t="s">
        <v>400</v>
      </c>
      <c r="F136" s="1" t="s">
        <v>401</v>
      </c>
      <c r="G136" s="1" t="s">
        <v>23</v>
      </c>
      <c r="I136" s="16">
        <v>42342.87667824074</v>
      </c>
      <c r="J136" s="1" t="s">
        <v>402</v>
      </c>
      <c r="K136" s="1" t="s">
        <v>18</v>
      </c>
      <c r="L136" s="1" t="s">
        <v>19</v>
      </c>
    </row>
    <row r="137" spans="1:12" ht="13" x14ac:dyDescent="0.15">
      <c r="A137" s="1">
        <v>74763</v>
      </c>
      <c r="B137" s="1">
        <v>0</v>
      </c>
      <c r="C137" s="1" t="s">
        <v>170</v>
      </c>
      <c r="D137" s="1" t="s">
        <v>27</v>
      </c>
      <c r="E137" s="1" t="s">
        <v>403</v>
      </c>
      <c r="F137" s="1" t="s">
        <v>404</v>
      </c>
      <c r="G137" s="1" t="s">
        <v>16</v>
      </c>
      <c r="I137" s="16">
        <v>40605.037847222222</v>
      </c>
      <c r="J137" s="1" t="s">
        <v>405</v>
      </c>
      <c r="K137" s="1" t="s">
        <v>18</v>
      </c>
      <c r="L137" s="1" t="s">
        <v>19</v>
      </c>
    </row>
    <row r="138" spans="1:12" ht="13" x14ac:dyDescent="0.15">
      <c r="A138" s="1">
        <v>117471</v>
      </c>
      <c r="B138" s="1">
        <v>0</v>
      </c>
      <c r="C138" s="1" t="s">
        <v>41</v>
      </c>
      <c r="D138" s="1" t="s">
        <v>27</v>
      </c>
      <c r="E138" s="1" t="s">
        <v>406</v>
      </c>
      <c r="F138" s="1" t="s">
        <v>407</v>
      </c>
      <c r="G138" s="1" t="s">
        <v>23</v>
      </c>
      <c r="I138" s="16">
        <v>40976.988958333335</v>
      </c>
      <c r="J138" s="1" t="s">
        <v>408</v>
      </c>
      <c r="K138" s="1" t="s">
        <v>18</v>
      </c>
      <c r="L138" s="1" t="s">
        <v>19</v>
      </c>
    </row>
    <row r="139" spans="1:12" ht="13" x14ac:dyDescent="0.15">
      <c r="A139" s="1">
        <v>389316</v>
      </c>
      <c r="B139" s="1">
        <v>0</v>
      </c>
      <c r="C139" s="1" t="s">
        <v>409</v>
      </c>
      <c r="D139" s="1" t="s">
        <v>27</v>
      </c>
      <c r="E139" s="1" t="s">
        <v>410</v>
      </c>
      <c r="F139" s="1" t="s">
        <v>411</v>
      </c>
      <c r="G139" s="1" t="s">
        <v>23</v>
      </c>
      <c r="I139" s="16">
        <v>41816.911122685182</v>
      </c>
      <c r="J139" s="1" t="s">
        <v>17</v>
      </c>
      <c r="K139" s="1" t="s">
        <v>18</v>
      </c>
      <c r="L139" s="1" t="s">
        <v>19</v>
      </c>
    </row>
    <row r="140" spans="1:12" ht="13" x14ac:dyDescent="0.15">
      <c r="A140" s="1">
        <v>398384</v>
      </c>
      <c r="B140" s="1">
        <v>0</v>
      </c>
      <c r="C140" s="1" t="s">
        <v>12</v>
      </c>
      <c r="D140" s="1" t="s">
        <v>27</v>
      </c>
      <c r="E140" s="1" t="s">
        <v>412</v>
      </c>
      <c r="F140" s="1" t="s">
        <v>413</v>
      </c>
      <c r="G140" s="1" t="s">
        <v>23</v>
      </c>
      <c r="I140" s="16">
        <v>41849.50509259259</v>
      </c>
      <c r="J140" s="1" t="s">
        <v>68</v>
      </c>
      <c r="K140" s="1" t="s">
        <v>18</v>
      </c>
      <c r="L140" s="1" t="s">
        <v>19</v>
      </c>
    </row>
    <row r="141" spans="1:12" ht="13" x14ac:dyDescent="0.15">
      <c r="A141" s="1">
        <v>161077</v>
      </c>
      <c r="B141" s="1">
        <v>0</v>
      </c>
      <c r="C141" s="1" t="s">
        <v>414</v>
      </c>
      <c r="D141" s="1" t="s">
        <v>27</v>
      </c>
      <c r="E141" s="1" t="s">
        <v>415</v>
      </c>
      <c r="F141" s="1" t="s">
        <v>416</v>
      </c>
      <c r="G141" s="1" t="s">
        <v>23</v>
      </c>
      <c r="I141" s="16">
        <v>41227.883067129631</v>
      </c>
      <c r="J141" s="1" t="s">
        <v>408</v>
      </c>
      <c r="K141" s="1" t="s">
        <v>18</v>
      </c>
      <c r="L141" s="1" t="s">
        <v>19</v>
      </c>
    </row>
    <row r="142" spans="1:12" ht="13" x14ac:dyDescent="0.15">
      <c r="A142" s="1">
        <v>387016</v>
      </c>
      <c r="B142" s="1">
        <v>0</v>
      </c>
      <c r="C142" s="1" t="s">
        <v>73</v>
      </c>
      <c r="D142" s="1" t="s">
        <v>27</v>
      </c>
      <c r="E142" s="1" t="s">
        <v>417</v>
      </c>
      <c r="F142" s="1" t="s">
        <v>418</v>
      </c>
      <c r="G142" s="1" t="s">
        <v>23</v>
      </c>
      <c r="I142" s="16">
        <v>41810.514988425923</v>
      </c>
      <c r="J142" s="1" t="s">
        <v>17</v>
      </c>
      <c r="K142" s="1" t="s">
        <v>18</v>
      </c>
      <c r="L142" s="1" t="s">
        <v>19</v>
      </c>
    </row>
    <row r="143" spans="1:12" ht="13" x14ac:dyDescent="0.15">
      <c r="A143" s="1">
        <v>222000</v>
      </c>
      <c r="B143" s="1">
        <v>0</v>
      </c>
      <c r="C143" s="1" t="s">
        <v>419</v>
      </c>
      <c r="D143" s="1" t="s">
        <v>27</v>
      </c>
      <c r="E143" s="1" t="s">
        <v>420</v>
      </c>
      <c r="F143" s="1" t="s">
        <v>421</v>
      </c>
      <c r="G143" s="1" t="s">
        <v>23</v>
      </c>
      <c r="I143" s="16">
        <v>41352.539710648147</v>
      </c>
      <c r="J143" s="1" t="s">
        <v>98</v>
      </c>
      <c r="K143" s="1" t="s">
        <v>18</v>
      </c>
      <c r="L143" s="1" t="s">
        <v>19</v>
      </c>
    </row>
    <row r="144" spans="1:12" ht="13" x14ac:dyDescent="0.15">
      <c r="A144" s="1">
        <v>81351</v>
      </c>
      <c r="B144" s="1">
        <v>0</v>
      </c>
      <c r="C144" s="1" t="s">
        <v>26</v>
      </c>
      <c r="D144" s="1" t="s">
        <v>27</v>
      </c>
      <c r="E144" s="1" t="s">
        <v>422</v>
      </c>
      <c r="F144" s="1" t="s">
        <v>423</v>
      </c>
      <c r="G144" s="1" t="s">
        <v>23</v>
      </c>
      <c r="I144" s="16">
        <v>40666.294814814813</v>
      </c>
      <c r="J144" s="1" t="s">
        <v>40</v>
      </c>
      <c r="K144" s="1" t="s">
        <v>18</v>
      </c>
      <c r="L144" s="1" t="s">
        <v>19</v>
      </c>
    </row>
    <row r="145" spans="1:16" ht="13" x14ac:dyDescent="0.15">
      <c r="A145" s="1">
        <v>379799</v>
      </c>
      <c r="B145" s="1">
        <v>0</v>
      </c>
      <c r="C145" s="1" t="s">
        <v>424</v>
      </c>
      <c r="D145" s="1" t="s">
        <v>27</v>
      </c>
      <c r="E145" s="1" t="s">
        <v>425</v>
      </c>
      <c r="F145" s="1" t="s">
        <v>426</v>
      </c>
      <c r="G145" s="1" t="s">
        <v>23</v>
      </c>
      <c r="I145" s="16">
        <v>41792.691041666665</v>
      </c>
      <c r="J145" s="1" t="s">
        <v>17</v>
      </c>
      <c r="K145" s="1" t="s">
        <v>18</v>
      </c>
      <c r="L145" s="1" t="s">
        <v>19</v>
      </c>
    </row>
    <row r="146" spans="1:16" ht="13" x14ac:dyDescent="0.15">
      <c r="A146" s="1">
        <v>95360</v>
      </c>
      <c r="B146" s="1">
        <v>0</v>
      </c>
      <c r="C146" s="1" t="s">
        <v>26</v>
      </c>
      <c r="D146" s="1" t="s">
        <v>27</v>
      </c>
      <c r="E146" s="1" t="s">
        <v>427</v>
      </c>
      <c r="F146" s="1" t="s">
        <v>428</v>
      </c>
      <c r="G146" s="1" t="s">
        <v>23</v>
      </c>
      <c r="I146" s="16">
        <v>40790.21130787037</v>
      </c>
      <c r="J146" s="1" t="s">
        <v>40</v>
      </c>
      <c r="K146" s="1" t="s">
        <v>18</v>
      </c>
      <c r="L146" s="1" t="s">
        <v>19</v>
      </c>
    </row>
    <row r="147" spans="1:16" ht="13" x14ac:dyDescent="0.15">
      <c r="A147" s="1">
        <v>71114</v>
      </c>
      <c r="B147" s="1">
        <v>0</v>
      </c>
      <c r="C147" s="1" t="s">
        <v>26</v>
      </c>
      <c r="D147" s="1" t="s">
        <v>27</v>
      </c>
      <c r="E147" s="1" t="s">
        <v>429</v>
      </c>
      <c r="F147" s="1" t="s">
        <v>430</v>
      </c>
      <c r="G147" s="1" t="s">
        <v>23</v>
      </c>
      <c r="I147" s="16">
        <v>40570.922523148147</v>
      </c>
      <c r="J147" s="1" t="s">
        <v>92</v>
      </c>
      <c r="K147" s="1" t="s">
        <v>18</v>
      </c>
      <c r="L147" s="1" t="s">
        <v>19</v>
      </c>
    </row>
    <row r="148" spans="1:16" ht="13" x14ac:dyDescent="0.15">
      <c r="A148" s="1">
        <v>82096</v>
      </c>
      <c r="B148" s="1">
        <v>0</v>
      </c>
      <c r="C148" s="1" t="s">
        <v>26</v>
      </c>
      <c r="D148" s="1" t="s">
        <v>27</v>
      </c>
      <c r="E148" s="1" t="s">
        <v>431</v>
      </c>
      <c r="F148" s="1" t="s">
        <v>432</v>
      </c>
      <c r="G148" s="1" t="s">
        <v>23</v>
      </c>
      <c r="I148" s="16">
        <v>40673.138807870368</v>
      </c>
      <c r="J148" s="1" t="s">
        <v>40</v>
      </c>
      <c r="K148" s="1" t="s">
        <v>18</v>
      </c>
      <c r="L148" s="1" t="s">
        <v>19</v>
      </c>
    </row>
    <row r="149" spans="1:16" ht="13" x14ac:dyDescent="0.15">
      <c r="A149" s="1">
        <v>21242</v>
      </c>
      <c r="B149" s="1">
        <v>0</v>
      </c>
      <c r="C149" s="1" t="s">
        <v>26</v>
      </c>
      <c r="D149" s="1" t="s">
        <v>27</v>
      </c>
      <c r="E149" s="1" t="s">
        <v>433</v>
      </c>
      <c r="F149" s="1" t="s">
        <v>434</v>
      </c>
      <c r="G149" s="1" t="s">
        <v>23</v>
      </c>
      <c r="I149" s="16">
        <v>40064.082928240743</v>
      </c>
      <c r="J149" s="1" t="s">
        <v>435</v>
      </c>
      <c r="K149" s="1" t="s">
        <v>18</v>
      </c>
      <c r="L149" s="1" t="s">
        <v>19</v>
      </c>
    </row>
    <row r="150" spans="1:16" ht="13" x14ac:dyDescent="0.15">
      <c r="A150" s="1">
        <v>551503</v>
      </c>
      <c r="B150" s="1">
        <v>0</v>
      </c>
      <c r="C150" s="1" t="s">
        <v>12</v>
      </c>
      <c r="D150" s="1" t="s">
        <v>27</v>
      </c>
      <c r="E150" s="1" t="s">
        <v>436</v>
      </c>
      <c r="F150" s="1" t="s">
        <v>437</v>
      </c>
      <c r="G150" s="1" t="s">
        <v>16</v>
      </c>
      <c r="I150" s="16">
        <v>42312.742199074077</v>
      </c>
      <c r="J150" s="1" t="s">
        <v>17</v>
      </c>
      <c r="K150" s="1" t="s">
        <v>18</v>
      </c>
      <c r="L150" s="1" t="s">
        <v>19</v>
      </c>
    </row>
    <row r="151" spans="1:16" ht="13" x14ac:dyDescent="0.15">
      <c r="A151" s="1">
        <v>172342</v>
      </c>
      <c r="B151" s="1">
        <v>1</v>
      </c>
      <c r="C151" s="1" t="s">
        <v>26</v>
      </c>
      <c r="D151" s="1" t="s">
        <v>27</v>
      </c>
      <c r="E151" s="1" t="s">
        <v>438</v>
      </c>
      <c r="F151" s="1" t="s">
        <v>439</v>
      </c>
      <c r="G151" s="1" t="s">
        <v>23</v>
      </c>
      <c r="I151" s="16">
        <v>41299.886967592596</v>
      </c>
      <c r="J151" s="1" t="s">
        <v>408</v>
      </c>
      <c r="K151" s="1" t="s">
        <v>18</v>
      </c>
      <c r="L151" s="1" t="s">
        <v>19</v>
      </c>
      <c r="M151" s="1">
        <v>175197</v>
      </c>
      <c r="N151" s="1" t="s">
        <v>440</v>
      </c>
      <c r="O151" s="16">
        <v>41313.830937500003</v>
      </c>
      <c r="P151" s="1" t="s">
        <v>441</v>
      </c>
    </row>
    <row r="152" spans="1:16" ht="13" x14ac:dyDescent="0.15">
      <c r="A152" s="1">
        <v>85418</v>
      </c>
      <c r="B152" s="1">
        <v>1</v>
      </c>
      <c r="C152" s="1" t="s">
        <v>26</v>
      </c>
      <c r="D152" s="1" t="s">
        <v>27</v>
      </c>
      <c r="E152" s="1" t="s">
        <v>442</v>
      </c>
      <c r="F152" s="1" t="s">
        <v>443</v>
      </c>
      <c r="G152" s="1" t="s">
        <v>23</v>
      </c>
      <c r="I152" s="16">
        <v>40702.802685185183</v>
      </c>
      <c r="J152" s="1" t="s">
        <v>44</v>
      </c>
      <c r="K152" s="1" t="s">
        <v>18</v>
      </c>
      <c r="L152" s="1" t="s">
        <v>19</v>
      </c>
      <c r="M152" s="1">
        <v>84852</v>
      </c>
      <c r="N152" s="1" t="s">
        <v>444</v>
      </c>
      <c r="O152" s="16">
        <v>40697.604467592595</v>
      </c>
      <c r="P152" s="1" t="s">
        <v>445</v>
      </c>
    </row>
    <row r="153" spans="1:16" ht="13" x14ac:dyDescent="0.15">
      <c r="A153" s="1">
        <v>589848</v>
      </c>
      <c r="B153" s="1">
        <v>1</v>
      </c>
      <c r="C153" s="1" t="s">
        <v>446</v>
      </c>
      <c r="D153" s="1" t="s">
        <v>27</v>
      </c>
      <c r="E153" s="1" t="s">
        <v>447</v>
      </c>
      <c r="F153" s="1" t="s">
        <v>448</v>
      </c>
      <c r="I153" s="16">
        <v>42425.702534722222</v>
      </c>
      <c r="J153" s="1" t="s">
        <v>408</v>
      </c>
      <c r="K153" s="1" t="s">
        <v>18</v>
      </c>
      <c r="L153" s="1" t="s">
        <v>19</v>
      </c>
      <c r="M153" s="1">
        <v>590622</v>
      </c>
      <c r="N153" s="1" t="s">
        <v>449</v>
      </c>
      <c r="O153" s="16">
        <v>42429.008888888886</v>
      </c>
      <c r="P153" s="1" t="s">
        <v>17</v>
      </c>
    </row>
    <row r="154" spans="1:16" ht="13" x14ac:dyDescent="0.15">
      <c r="A154" s="1">
        <v>43487</v>
      </c>
      <c r="B154" s="1">
        <v>0</v>
      </c>
      <c r="C154" s="1" t="s">
        <v>26</v>
      </c>
      <c r="D154" s="1" t="s">
        <v>27</v>
      </c>
      <c r="E154" s="1" t="s">
        <v>450</v>
      </c>
      <c r="F154" s="1" t="s">
        <v>451</v>
      </c>
      <c r="I154" s="16">
        <v>40304.992407407408</v>
      </c>
      <c r="J154" s="1" t="s">
        <v>398</v>
      </c>
      <c r="K154" s="1" t="s">
        <v>18</v>
      </c>
      <c r="L154" s="1" t="s">
        <v>19</v>
      </c>
    </row>
    <row r="155" spans="1:16" ht="13" x14ac:dyDescent="0.15">
      <c r="A155" s="1">
        <v>622522</v>
      </c>
      <c r="B155" s="1">
        <v>0</v>
      </c>
      <c r="D155" s="1" t="s">
        <v>27</v>
      </c>
      <c r="E155" s="1" t="s">
        <v>452</v>
      </c>
      <c r="F155" s="1" t="s">
        <v>453</v>
      </c>
      <c r="G155" s="1" t="s">
        <v>23</v>
      </c>
      <c r="I155" s="16">
        <v>42543.993703703702</v>
      </c>
      <c r="J155" s="1" t="s">
        <v>454</v>
      </c>
      <c r="K155" s="1" t="s">
        <v>18</v>
      </c>
      <c r="L155" s="1" t="s">
        <v>19</v>
      </c>
    </row>
    <row r="156" spans="1:16" ht="13" x14ac:dyDescent="0.15">
      <c r="A156" s="1">
        <v>49628</v>
      </c>
      <c r="B156" s="1">
        <v>0</v>
      </c>
      <c r="C156" s="1" t="s">
        <v>26</v>
      </c>
      <c r="D156" s="1" t="s">
        <v>27</v>
      </c>
      <c r="E156" s="1" t="s">
        <v>455</v>
      </c>
      <c r="F156" s="1" t="s">
        <v>456</v>
      </c>
      <c r="G156" s="1" t="s">
        <v>23</v>
      </c>
      <c r="I156" s="16">
        <v>40379.638935185183</v>
      </c>
      <c r="J156" s="1" t="s">
        <v>40</v>
      </c>
      <c r="K156" s="1" t="s">
        <v>18</v>
      </c>
      <c r="L156" s="1" t="s">
        <v>19</v>
      </c>
    </row>
    <row r="157" spans="1:16" ht="13" x14ac:dyDescent="0.15">
      <c r="A157" s="1">
        <v>237429</v>
      </c>
      <c r="B157" s="1">
        <v>0</v>
      </c>
      <c r="C157" s="1" t="s">
        <v>31</v>
      </c>
      <c r="D157" s="1" t="s">
        <v>27</v>
      </c>
      <c r="E157" s="1" t="s">
        <v>457</v>
      </c>
      <c r="F157" s="1" t="s">
        <v>458</v>
      </c>
      <c r="G157" s="1" t="s">
        <v>23</v>
      </c>
      <c r="I157" s="16">
        <v>41396.180925925924</v>
      </c>
      <c r="J157" s="1" t="s">
        <v>40</v>
      </c>
      <c r="K157" s="1" t="s">
        <v>18</v>
      </c>
      <c r="L157" s="1" t="s">
        <v>19</v>
      </c>
    </row>
    <row r="158" spans="1:16" ht="13" x14ac:dyDescent="0.15">
      <c r="A158" s="1">
        <v>32455</v>
      </c>
      <c r="B158" s="1">
        <v>0</v>
      </c>
      <c r="D158" s="1" t="s">
        <v>27</v>
      </c>
      <c r="E158" s="1" t="s">
        <v>459</v>
      </c>
      <c r="F158" s="1" t="s">
        <v>150</v>
      </c>
      <c r="I158" s="16">
        <v>40194.31150462963</v>
      </c>
      <c r="J158" s="1" t="s">
        <v>435</v>
      </c>
      <c r="K158" s="1" t="s">
        <v>18</v>
      </c>
      <c r="L158" s="1" t="s">
        <v>19</v>
      </c>
    </row>
    <row r="159" spans="1:16" ht="13" x14ac:dyDescent="0.15">
      <c r="A159" s="1">
        <v>588548</v>
      </c>
      <c r="B159" s="1">
        <v>0</v>
      </c>
      <c r="C159" s="1" t="s">
        <v>268</v>
      </c>
      <c r="D159" s="1" t="s">
        <v>27</v>
      </c>
      <c r="E159" s="1" t="s">
        <v>460</v>
      </c>
      <c r="F159" s="1" t="s">
        <v>461</v>
      </c>
      <c r="G159" s="1" t="s">
        <v>23</v>
      </c>
      <c r="I159" s="16">
        <v>42422.223495370374</v>
      </c>
      <c r="J159" s="1" t="s">
        <v>17</v>
      </c>
      <c r="K159" s="1" t="s">
        <v>18</v>
      </c>
      <c r="L159" s="1" t="s">
        <v>19</v>
      </c>
    </row>
    <row r="160" spans="1:16" ht="13" x14ac:dyDescent="0.15">
      <c r="A160" s="1">
        <v>679641</v>
      </c>
      <c r="B160" s="1">
        <v>0</v>
      </c>
      <c r="C160" s="1" t="s">
        <v>462</v>
      </c>
      <c r="D160" s="1" t="s">
        <v>27</v>
      </c>
      <c r="E160" s="1" t="s">
        <v>463</v>
      </c>
      <c r="F160" s="1" t="s">
        <v>464</v>
      </c>
      <c r="G160" s="1" t="s">
        <v>23</v>
      </c>
      <c r="I160" s="16">
        <v>42745.325277777774</v>
      </c>
      <c r="J160" s="1" t="s">
        <v>465</v>
      </c>
      <c r="K160" s="1" t="s">
        <v>18</v>
      </c>
      <c r="L160" s="1" t="s">
        <v>19</v>
      </c>
    </row>
    <row r="161" spans="1:16" ht="13" x14ac:dyDescent="0.15">
      <c r="A161" s="1">
        <v>590284</v>
      </c>
      <c r="B161" s="1">
        <v>0</v>
      </c>
      <c r="C161" s="1" t="s">
        <v>466</v>
      </c>
      <c r="D161" s="1" t="s">
        <v>27</v>
      </c>
      <c r="E161" s="1" t="s">
        <v>467</v>
      </c>
      <c r="F161" s="1" t="s">
        <v>468</v>
      </c>
      <c r="G161" s="1" t="s">
        <v>23</v>
      </c>
      <c r="I161" s="16">
        <v>42426.792453703703</v>
      </c>
      <c r="J161" s="1" t="s">
        <v>469</v>
      </c>
      <c r="K161" s="1" t="s">
        <v>18</v>
      </c>
      <c r="L161" s="1" t="s">
        <v>19</v>
      </c>
    </row>
    <row r="162" spans="1:16" ht="13" x14ac:dyDescent="0.15">
      <c r="A162" s="1">
        <v>236631</v>
      </c>
      <c r="B162" s="1">
        <v>0</v>
      </c>
      <c r="C162" s="1" t="s">
        <v>470</v>
      </c>
      <c r="D162" s="1" t="s">
        <v>27</v>
      </c>
      <c r="E162" s="1" t="s">
        <v>471</v>
      </c>
      <c r="F162" s="1" t="s">
        <v>472</v>
      </c>
      <c r="G162" s="1" t="s">
        <v>23</v>
      </c>
      <c r="I162" s="16">
        <v>41393.929976851854</v>
      </c>
      <c r="J162" s="1" t="s">
        <v>193</v>
      </c>
      <c r="K162" s="1" t="s">
        <v>18</v>
      </c>
      <c r="L162" s="1" t="s">
        <v>19</v>
      </c>
    </row>
    <row r="163" spans="1:16" ht="13" x14ac:dyDescent="0.15">
      <c r="A163" s="1">
        <v>126723</v>
      </c>
      <c r="B163" s="1">
        <v>1</v>
      </c>
      <c r="C163" s="1" t="s">
        <v>26</v>
      </c>
      <c r="D163" s="1" t="s">
        <v>27</v>
      </c>
      <c r="E163" s="1" t="s">
        <v>473</v>
      </c>
      <c r="F163" s="1" t="s">
        <v>474</v>
      </c>
      <c r="G163" s="1" t="s">
        <v>23</v>
      </c>
      <c r="I163" s="16">
        <v>41037.577800925923</v>
      </c>
      <c r="J163" s="1" t="s">
        <v>40</v>
      </c>
      <c r="K163" s="1" t="s">
        <v>18</v>
      </c>
      <c r="L163" s="1" t="s">
        <v>19</v>
      </c>
      <c r="M163" s="1">
        <v>127503</v>
      </c>
      <c r="N163" s="1" t="s">
        <v>475</v>
      </c>
      <c r="O163" s="16">
        <v>41039.08425925926</v>
      </c>
      <c r="P163" s="1" t="s">
        <v>476</v>
      </c>
    </row>
    <row r="164" spans="1:16" ht="13" x14ac:dyDescent="0.15">
      <c r="A164" s="1">
        <v>104529</v>
      </c>
      <c r="B164" s="1">
        <v>0</v>
      </c>
      <c r="C164" s="1" t="s">
        <v>477</v>
      </c>
      <c r="D164" s="1" t="s">
        <v>27</v>
      </c>
      <c r="E164" s="1" t="s">
        <v>478</v>
      </c>
      <c r="F164" s="1" t="s">
        <v>479</v>
      </c>
      <c r="G164" s="1" t="s">
        <v>23</v>
      </c>
      <c r="I164" s="16">
        <v>40863.929675925923</v>
      </c>
      <c r="J164" s="1" t="s">
        <v>408</v>
      </c>
      <c r="K164" s="1" t="s">
        <v>18</v>
      </c>
      <c r="L164" s="1" t="s">
        <v>19</v>
      </c>
    </row>
    <row r="165" spans="1:16" ht="13" x14ac:dyDescent="0.15">
      <c r="A165" s="1">
        <v>164581</v>
      </c>
      <c r="B165" s="1">
        <v>1</v>
      </c>
      <c r="C165" s="1" t="s">
        <v>26</v>
      </c>
      <c r="D165" s="1" t="s">
        <v>27</v>
      </c>
      <c r="E165" s="1" t="s">
        <v>480</v>
      </c>
      <c r="F165" s="1" t="s">
        <v>395</v>
      </c>
      <c r="G165" s="1" t="s">
        <v>23</v>
      </c>
      <c r="I165" s="16">
        <v>41249.588541666664</v>
      </c>
      <c r="J165" s="1" t="s">
        <v>40</v>
      </c>
      <c r="K165" s="1" t="s">
        <v>18</v>
      </c>
      <c r="L165" s="1" t="s">
        <v>19</v>
      </c>
      <c r="M165" s="1">
        <v>166378</v>
      </c>
      <c r="N165" s="1" t="s">
        <v>481</v>
      </c>
      <c r="O165" s="16">
        <v>41260.23060185185</v>
      </c>
      <c r="P165" s="1" t="s">
        <v>76</v>
      </c>
    </row>
    <row r="166" spans="1:16" ht="13" x14ac:dyDescent="0.15">
      <c r="A166" s="1">
        <v>487155</v>
      </c>
      <c r="B166" s="1">
        <v>0</v>
      </c>
      <c r="C166" s="1" t="s">
        <v>482</v>
      </c>
      <c r="D166" s="1" t="s">
        <v>27</v>
      </c>
      <c r="E166" s="1" t="s">
        <v>483</v>
      </c>
      <c r="F166" s="1" t="s">
        <v>484</v>
      </c>
      <c r="G166" s="1" t="s">
        <v>23</v>
      </c>
      <c r="I166" s="16">
        <v>42136.431481481479</v>
      </c>
      <c r="J166" s="1" t="s">
        <v>485</v>
      </c>
      <c r="K166" s="1" t="s">
        <v>18</v>
      </c>
      <c r="L166" s="1" t="s">
        <v>19</v>
      </c>
    </row>
    <row r="167" spans="1:16" ht="13" x14ac:dyDescent="0.15">
      <c r="A167" s="1">
        <v>49596</v>
      </c>
      <c r="B167" s="1">
        <v>0</v>
      </c>
      <c r="C167" s="1" t="s">
        <v>26</v>
      </c>
      <c r="D167" s="1" t="s">
        <v>27</v>
      </c>
      <c r="E167" s="1" t="s">
        <v>486</v>
      </c>
      <c r="F167" s="1" t="s">
        <v>487</v>
      </c>
      <c r="G167" s="1" t="s">
        <v>23</v>
      </c>
      <c r="I167" s="16">
        <v>40379.274872685186</v>
      </c>
      <c r="J167" s="1" t="s">
        <v>30</v>
      </c>
      <c r="K167" s="1" t="s">
        <v>18</v>
      </c>
      <c r="L167" s="1" t="s">
        <v>19</v>
      </c>
    </row>
    <row r="168" spans="1:16" ht="13" x14ac:dyDescent="0.15">
      <c r="A168" s="1">
        <v>85003</v>
      </c>
      <c r="B168" s="1">
        <v>0</v>
      </c>
      <c r="C168" s="1" t="s">
        <v>26</v>
      </c>
      <c r="D168" s="1" t="s">
        <v>27</v>
      </c>
      <c r="E168" s="1" t="s">
        <v>488</v>
      </c>
      <c r="F168" s="1" t="s">
        <v>489</v>
      </c>
      <c r="G168" s="1" t="s">
        <v>23</v>
      </c>
      <c r="I168" s="16">
        <v>40699.889479166668</v>
      </c>
      <c r="J168" s="1" t="s">
        <v>44</v>
      </c>
      <c r="K168" s="1" t="s">
        <v>18</v>
      </c>
      <c r="L168" s="1" t="s">
        <v>19</v>
      </c>
    </row>
    <row r="169" spans="1:16" ht="13" x14ac:dyDescent="0.15">
      <c r="A169" s="1">
        <v>453982</v>
      </c>
      <c r="B169" s="1">
        <v>0</v>
      </c>
      <c r="C169" s="1" t="s">
        <v>490</v>
      </c>
      <c r="D169" s="1" t="s">
        <v>27</v>
      </c>
      <c r="E169" s="1" t="s">
        <v>491</v>
      </c>
      <c r="F169" s="1" t="s">
        <v>492</v>
      </c>
      <c r="G169" s="1" t="s">
        <v>23</v>
      </c>
      <c r="I169" s="16">
        <v>42034.94939814815</v>
      </c>
      <c r="J169" s="1" t="s">
        <v>405</v>
      </c>
      <c r="K169" s="1" t="s">
        <v>18</v>
      </c>
      <c r="L169" s="1" t="s">
        <v>19</v>
      </c>
    </row>
    <row r="170" spans="1:16" ht="13" x14ac:dyDescent="0.15">
      <c r="A170" s="1">
        <v>125374</v>
      </c>
      <c r="B170" s="1">
        <v>0</v>
      </c>
      <c r="C170" s="1" t="s">
        <v>41</v>
      </c>
      <c r="D170" s="1" t="s">
        <v>27</v>
      </c>
      <c r="E170" s="1" t="s">
        <v>493</v>
      </c>
      <c r="F170" s="1" t="s">
        <v>494</v>
      </c>
      <c r="G170" s="1" t="s">
        <v>23</v>
      </c>
      <c r="I170" s="16">
        <v>41026.783946759257</v>
      </c>
      <c r="J170" s="1" t="s">
        <v>44</v>
      </c>
      <c r="K170" s="1" t="s">
        <v>18</v>
      </c>
      <c r="L170" s="1" t="s">
        <v>19</v>
      </c>
    </row>
    <row r="171" spans="1:16" ht="13" x14ac:dyDescent="0.15">
      <c r="A171" s="1">
        <v>584155</v>
      </c>
      <c r="B171" s="1">
        <v>0</v>
      </c>
      <c r="C171" s="1" t="s">
        <v>495</v>
      </c>
      <c r="D171" s="1" t="s">
        <v>27</v>
      </c>
      <c r="E171" s="1" t="s">
        <v>496</v>
      </c>
      <c r="F171" s="1" t="s">
        <v>497</v>
      </c>
      <c r="G171" s="1" t="s">
        <v>23</v>
      </c>
      <c r="I171" s="16">
        <v>42404.267523148148</v>
      </c>
      <c r="J171" s="1" t="s">
        <v>498</v>
      </c>
      <c r="K171" s="1" t="s">
        <v>18</v>
      </c>
      <c r="L171" s="1" t="s">
        <v>19</v>
      </c>
    </row>
    <row r="172" spans="1:16" ht="13" x14ac:dyDescent="0.15">
      <c r="A172" s="1">
        <v>286975</v>
      </c>
      <c r="B172" s="1">
        <v>0</v>
      </c>
      <c r="D172" s="1" t="s">
        <v>27</v>
      </c>
      <c r="E172" s="1" t="s">
        <v>499</v>
      </c>
      <c r="F172" s="1" t="s">
        <v>500</v>
      </c>
      <c r="G172" s="1" t="s">
        <v>23</v>
      </c>
      <c r="I172" s="16">
        <v>41524.496724537035</v>
      </c>
      <c r="J172" s="1" t="s">
        <v>501</v>
      </c>
      <c r="K172" s="1" t="s">
        <v>18</v>
      </c>
      <c r="L172" s="1" t="s">
        <v>19</v>
      </c>
    </row>
    <row r="173" spans="1:16" ht="13" x14ac:dyDescent="0.15">
      <c r="A173" s="1">
        <v>357382</v>
      </c>
      <c r="B173" s="1">
        <v>0</v>
      </c>
      <c r="C173" s="1" t="s">
        <v>305</v>
      </c>
      <c r="D173" s="1" t="s">
        <v>27</v>
      </c>
      <c r="E173" s="1" t="s">
        <v>502</v>
      </c>
      <c r="F173" s="1" t="s">
        <v>503</v>
      </c>
      <c r="G173" s="1" t="s">
        <v>23</v>
      </c>
      <c r="I173" s="16">
        <v>41725.9687962963</v>
      </c>
      <c r="J173" s="1" t="s">
        <v>504</v>
      </c>
      <c r="K173" s="1" t="s">
        <v>18</v>
      </c>
      <c r="L173" s="1" t="s">
        <v>19</v>
      </c>
    </row>
    <row r="174" spans="1:16" ht="13" x14ac:dyDescent="0.15">
      <c r="A174" s="1">
        <v>601629</v>
      </c>
      <c r="B174" s="1">
        <v>1</v>
      </c>
      <c r="C174" s="1" t="s">
        <v>505</v>
      </c>
      <c r="D174" s="1" t="s">
        <v>27</v>
      </c>
      <c r="E174" s="1" t="s">
        <v>506</v>
      </c>
      <c r="F174" s="1" t="s">
        <v>507</v>
      </c>
      <c r="G174" s="1" t="s">
        <v>23</v>
      </c>
      <c r="I174" s="16">
        <v>42467.945543981485</v>
      </c>
      <c r="J174" s="1" t="s">
        <v>508</v>
      </c>
      <c r="K174" s="1" t="s">
        <v>18</v>
      </c>
      <c r="L174" s="1" t="s">
        <v>19</v>
      </c>
      <c r="M174" s="1">
        <v>602821</v>
      </c>
      <c r="N174" s="1" t="s">
        <v>509</v>
      </c>
      <c r="O174" s="16">
        <v>42472.973032407404</v>
      </c>
      <c r="P174" s="1" t="s">
        <v>504</v>
      </c>
    </row>
    <row r="175" spans="1:16" ht="13" x14ac:dyDescent="0.15">
      <c r="A175" s="1">
        <v>120189</v>
      </c>
      <c r="B175" s="1">
        <v>0</v>
      </c>
      <c r="C175" s="1" t="s">
        <v>26</v>
      </c>
      <c r="D175" s="1" t="s">
        <v>27</v>
      </c>
      <c r="E175" s="1" t="s">
        <v>510</v>
      </c>
      <c r="F175" s="1" t="s">
        <v>511</v>
      </c>
      <c r="G175" s="1" t="s">
        <v>23</v>
      </c>
      <c r="I175" s="16">
        <v>40994.71607638889</v>
      </c>
      <c r="J175" s="1" t="s">
        <v>40</v>
      </c>
      <c r="K175" s="1" t="s">
        <v>18</v>
      </c>
      <c r="L175" s="1" t="s">
        <v>19</v>
      </c>
    </row>
    <row r="176" spans="1:16" ht="13" x14ac:dyDescent="0.15">
      <c r="A176" s="1">
        <v>299803</v>
      </c>
      <c r="B176" s="1">
        <v>0</v>
      </c>
      <c r="C176" s="1" t="s">
        <v>31</v>
      </c>
      <c r="D176" s="1" t="s">
        <v>27</v>
      </c>
      <c r="E176" s="1" t="s">
        <v>512</v>
      </c>
      <c r="F176" s="1" t="s">
        <v>513</v>
      </c>
      <c r="G176" s="1" t="s">
        <v>23</v>
      </c>
      <c r="I176" s="16">
        <v>41544.674537037034</v>
      </c>
      <c r="J176" s="1" t="s">
        <v>17</v>
      </c>
      <c r="K176" s="1" t="s">
        <v>18</v>
      </c>
      <c r="L176" s="1" t="s">
        <v>19</v>
      </c>
    </row>
    <row r="177" spans="1:16" ht="13" x14ac:dyDescent="0.15">
      <c r="A177" s="1">
        <v>144899</v>
      </c>
      <c r="B177" s="1">
        <v>0</v>
      </c>
      <c r="C177" s="1" t="s">
        <v>514</v>
      </c>
      <c r="D177" s="1" t="s">
        <v>27</v>
      </c>
      <c r="E177" s="1" t="s">
        <v>515</v>
      </c>
      <c r="F177" s="1" t="s">
        <v>516</v>
      </c>
      <c r="G177" s="1" t="s">
        <v>23</v>
      </c>
      <c r="I177" s="16">
        <v>41147.974270833336</v>
      </c>
      <c r="J177" s="1" t="s">
        <v>261</v>
      </c>
      <c r="K177" s="1" t="s">
        <v>18</v>
      </c>
      <c r="L177" s="1" t="s">
        <v>19</v>
      </c>
    </row>
    <row r="178" spans="1:16" ht="13" x14ac:dyDescent="0.15">
      <c r="A178" s="1">
        <v>544020</v>
      </c>
      <c r="B178" s="1">
        <v>0</v>
      </c>
      <c r="C178" s="1" t="s">
        <v>369</v>
      </c>
      <c r="D178" s="1" t="s">
        <v>27</v>
      </c>
      <c r="E178" s="1" t="s">
        <v>517</v>
      </c>
      <c r="F178" s="1" t="s">
        <v>518</v>
      </c>
      <c r="G178" s="1" t="s">
        <v>23</v>
      </c>
      <c r="I178" s="16">
        <v>42293.399930555555</v>
      </c>
      <c r="J178" s="1" t="s">
        <v>519</v>
      </c>
      <c r="K178" s="1" t="s">
        <v>18</v>
      </c>
      <c r="L178" s="1" t="s">
        <v>19</v>
      </c>
    </row>
    <row r="179" spans="1:16" ht="13" x14ac:dyDescent="0.15">
      <c r="A179" s="1">
        <v>99732</v>
      </c>
      <c r="B179" s="1">
        <v>0</v>
      </c>
      <c r="C179" s="1" t="s">
        <v>26</v>
      </c>
      <c r="D179" s="1" t="s">
        <v>27</v>
      </c>
      <c r="E179" s="1" t="s">
        <v>520</v>
      </c>
      <c r="F179" s="1" t="s">
        <v>521</v>
      </c>
      <c r="G179" s="1" t="s">
        <v>23</v>
      </c>
      <c r="I179" s="16">
        <v>40826.791516203702</v>
      </c>
      <c r="J179" s="1" t="s">
        <v>40</v>
      </c>
      <c r="K179" s="1" t="s">
        <v>18</v>
      </c>
      <c r="L179" s="1" t="s">
        <v>19</v>
      </c>
    </row>
    <row r="180" spans="1:16" ht="13" x14ac:dyDescent="0.15">
      <c r="A180" s="1">
        <v>560011</v>
      </c>
      <c r="B180" s="1">
        <v>0</v>
      </c>
      <c r="C180" s="1" t="s">
        <v>522</v>
      </c>
      <c r="D180" s="1" t="s">
        <v>27</v>
      </c>
      <c r="E180" s="1" t="s">
        <v>523</v>
      </c>
      <c r="F180" s="1" t="s">
        <v>524</v>
      </c>
      <c r="I180" s="16">
        <v>42330.881006944444</v>
      </c>
      <c r="J180" s="1" t="s">
        <v>247</v>
      </c>
      <c r="K180" s="1" t="s">
        <v>18</v>
      </c>
      <c r="L180" s="1" t="s">
        <v>19</v>
      </c>
    </row>
    <row r="181" spans="1:16" ht="13" x14ac:dyDescent="0.15">
      <c r="A181" s="1">
        <v>449777</v>
      </c>
      <c r="B181" s="1">
        <v>0</v>
      </c>
      <c r="D181" s="1" t="s">
        <v>27</v>
      </c>
      <c r="E181" s="1" t="s">
        <v>284</v>
      </c>
      <c r="F181" s="1" t="s">
        <v>250</v>
      </c>
      <c r="G181" s="1" t="s">
        <v>23</v>
      </c>
      <c r="I181" s="16">
        <v>42021.688958333332</v>
      </c>
      <c r="J181" s="1" t="s">
        <v>17</v>
      </c>
      <c r="K181" s="1" t="s">
        <v>18</v>
      </c>
      <c r="L181" s="1" t="s">
        <v>19</v>
      </c>
    </row>
    <row r="182" spans="1:16" ht="13" x14ac:dyDescent="0.15">
      <c r="A182" s="1">
        <v>631052</v>
      </c>
      <c r="B182" s="1">
        <v>0</v>
      </c>
      <c r="C182" s="1" t="s">
        <v>409</v>
      </c>
      <c r="D182" s="1" t="s">
        <v>27</v>
      </c>
      <c r="E182" s="1" t="s">
        <v>525</v>
      </c>
      <c r="F182" s="1" t="s">
        <v>526</v>
      </c>
      <c r="G182" s="1" t="s">
        <v>16</v>
      </c>
      <c r="I182" s="16">
        <v>42576.639594907407</v>
      </c>
      <c r="J182" s="1" t="s">
        <v>17</v>
      </c>
      <c r="K182" s="1" t="s">
        <v>18</v>
      </c>
      <c r="L182" s="1" t="s">
        <v>19</v>
      </c>
    </row>
    <row r="183" spans="1:16" ht="13" x14ac:dyDescent="0.15">
      <c r="A183" s="1">
        <v>224920</v>
      </c>
      <c r="B183" s="1">
        <v>0</v>
      </c>
      <c r="C183" s="1" t="s">
        <v>527</v>
      </c>
      <c r="D183" s="1" t="s">
        <v>27</v>
      </c>
      <c r="E183" s="1" t="s">
        <v>528</v>
      </c>
      <c r="F183" s="1" t="s">
        <v>529</v>
      </c>
      <c r="G183" s="1" t="s">
        <v>23</v>
      </c>
      <c r="I183" s="16">
        <v>41362.654895833337</v>
      </c>
      <c r="J183" s="1" t="s">
        <v>40</v>
      </c>
      <c r="K183" s="1" t="s">
        <v>18</v>
      </c>
      <c r="L183" s="1" t="s">
        <v>19</v>
      </c>
    </row>
    <row r="184" spans="1:16" ht="13" x14ac:dyDescent="0.15">
      <c r="A184" s="1">
        <v>243991</v>
      </c>
      <c r="B184" s="1">
        <v>0</v>
      </c>
      <c r="D184" s="1" t="s">
        <v>27</v>
      </c>
      <c r="E184" s="1" t="s">
        <v>530</v>
      </c>
      <c r="F184" s="1" t="s">
        <v>531</v>
      </c>
      <c r="G184" s="1" t="s">
        <v>23</v>
      </c>
      <c r="I184" s="16">
        <v>41419.281805555554</v>
      </c>
      <c r="J184" s="1" t="s">
        <v>44</v>
      </c>
      <c r="K184" s="1" t="s">
        <v>18</v>
      </c>
      <c r="L184" s="1" t="s">
        <v>19</v>
      </c>
    </row>
    <row r="185" spans="1:16" ht="13" x14ac:dyDescent="0.15">
      <c r="A185" s="1">
        <v>458869</v>
      </c>
      <c r="B185" s="1">
        <v>0</v>
      </c>
      <c r="D185" s="1" t="s">
        <v>27</v>
      </c>
      <c r="E185" s="1" t="s">
        <v>532</v>
      </c>
      <c r="F185" s="1" t="s">
        <v>533</v>
      </c>
      <c r="G185" s="1" t="s">
        <v>23</v>
      </c>
      <c r="I185" s="16">
        <v>42050.981539351851</v>
      </c>
      <c r="J185" s="1" t="s">
        <v>17</v>
      </c>
      <c r="K185" s="1" t="s">
        <v>18</v>
      </c>
      <c r="L185" s="1" t="s">
        <v>19</v>
      </c>
    </row>
    <row r="186" spans="1:16" ht="13" x14ac:dyDescent="0.15">
      <c r="A186" s="1">
        <v>161639</v>
      </c>
      <c r="B186" s="1">
        <v>0</v>
      </c>
      <c r="C186" s="1" t="s">
        <v>340</v>
      </c>
      <c r="D186" s="1" t="s">
        <v>27</v>
      </c>
      <c r="E186" s="1" t="s">
        <v>534</v>
      </c>
      <c r="F186" s="1" t="s">
        <v>535</v>
      </c>
      <c r="I186" s="16">
        <v>41230.884722222225</v>
      </c>
      <c r="J186" s="1" t="s">
        <v>536</v>
      </c>
      <c r="K186" s="1" t="s">
        <v>18</v>
      </c>
      <c r="L186" s="1" t="s">
        <v>19</v>
      </c>
    </row>
    <row r="187" spans="1:16" ht="13" x14ac:dyDescent="0.15">
      <c r="A187" s="1">
        <v>149904</v>
      </c>
      <c r="B187" s="1">
        <v>0</v>
      </c>
      <c r="C187" s="1" t="s">
        <v>537</v>
      </c>
      <c r="D187" s="1" t="s">
        <v>27</v>
      </c>
      <c r="E187" s="1" t="s">
        <v>538</v>
      </c>
      <c r="F187" s="1" t="s">
        <v>539</v>
      </c>
      <c r="G187" s="1" t="s">
        <v>540</v>
      </c>
      <c r="I187" s="16">
        <v>41169.428587962961</v>
      </c>
      <c r="J187" s="1" t="s">
        <v>44</v>
      </c>
      <c r="K187" s="1" t="s">
        <v>18</v>
      </c>
      <c r="L187" s="1" t="s">
        <v>19</v>
      </c>
    </row>
    <row r="188" spans="1:16" ht="13" x14ac:dyDescent="0.15">
      <c r="A188" s="1">
        <v>112212</v>
      </c>
      <c r="B188" s="1">
        <v>1</v>
      </c>
      <c r="C188" s="1" t="s">
        <v>541</v>
      </c>
      <c r="D188" s="1" t="s">
        <v>27</v>
      </c>
      <c r="E188" s="1" t="s">
        <v>542</v>
      </c>
      <c r="F188" s="1" t="s">
        <v>543</v>
      </c>
      <c r="G188" s="1" t="s">
        <v>23</v>
      </c>
      <c r="I188" s="16">
        <v>40940.002476851849</v>
      </c>
      <c r="J188" s="1" t="s">
        <v>544</v>
      </c>
      <c r="K188" s="1" t="s">
        <v>18</v>
      </c>
      <c r="L188" s="1" t="s">
        <v>19</v>
      </c>
      <c r="M188" s="1">
        <v>114581</v>
      </c>
      <c r="N188" s="1" t="s">
        <v>545</v>
      </c>
      <c r="O188" s="16">
        <v>40955.584236111114</v>
      </c>
      <c r="P188" s="1" t="s">
        <v>148</v>
      </c>
    </row>
    <row r="189" spans="1:16" ht="13" x14ac:dyDescent="0.15">
      <c r="A189" s="1">
        <v>108695</v>
      </c>
      <c r="B189" s="1">
        <v>0</v>
      </c>
      <c r="C189" s="1" t="s">
        <v>26</v>
      </c>
      <c r="D189" s="1" t="s">
        <v>27</v>
      </c>
      <c r="E189" s="1" t="s">
        <v>546</v>
      </c>
      <c r="F189" s="1" t="s">
        <v>547</v>
      </c>
      <c r="G189" s="1" t="s">
        <v>23</v>
      </c>
      <c r="I189" s="16">
        <v>40904.803506944445</v>
      </c>
      <c r="J189" s="1" t="s">
        <v>44</v>
      </c>
      <c r="K189" s="1" t="s">
        <v>18</v>
      </c>
      <c r="L189" s="1" t="s">
        <v>19</v>
      </c>
    </row>
    <row r="190" spans="1:16" ht="13" x14ac:dyDescent="0.15">
      <c r="A190" s="1">
        <v>263255</v>
      </c>
      <c r="B190" s="1">
        <v>0</v>
      </c>
      <c r="C190" s="1" t="s">
        <v>31</v>
      </c>
      <c r="D190" s="1" t="s">
        <v>27</v>
      </c>
      <c r="E190" s="1" t="s">
        <v>473</v>
      </c>
      <c r="F190" s="1" t="s">
        <v>548</v>
      </c>
      <c r="G190" s="1" t="s">
        <v>23</v>
      </c>
      <c r="I190" s="16">
        <v>41478.040254629632</v>
      </c>
      <c r="J190" s="1" t="s">
        <v>17</v>
      </c>
      <c r="K190" s="1" t="s">
        <v>18</v>
      </c>
      <c r="L190" s="1" t="s">
        <v>19</v>
      </c>
    </row>
    <row r="191" spans="1:16" ht="13" x14ac:dyDescent="0.15">
      <c r="A191" s="1">
        <v>37310</v>
      </c>
      <c r="B191" s="1">
        <v>0</v>
      </c>
      <c r="C191" s="1" t="s">
        <v>549</v>
      </c>
      <c r="D191" s="1" t="s">
        <v>27</v>
      </c>
      <c r="E191" s="1" t="s">
        <v>550</v>
      </c>
      <c r="F191" s="1" t="s">
        <v>551</v>
      </c>
      <c r="G191" s="1" t="s">
        <v>23</v>
      </c>
      <c r="I191" s="16">
        <v>40240.710509259261</v>
      </c>
      <c r="J191" s="1" t="s">
        <v>552</v>
      </c>
      <c r="K191" s="1" t="s">
        <v>18</v>
      </c>
      <c r="L191" s="1" t="s">
        <v>19</v>
      </c>
    </row>
    <row r="192" spans="1:16" ht="13" x14ac:dyDescent="0.15">
      <c r="A192" s="1">
        <v>58741</v>
      </c>
      <c r="B192" s="1">
        <v>0</v>
      </c>
      <c r="C192" s="1" t="s">
        <v>133</v>
      </c>
      <c r="D192" s="1" t="s">
        <v>27</v>
      </c>
      <c r="E192" s="1" t="s">
        <v>553</v>
      </c>
      <c r="F192" s="1" t="s">
        <v>554</v>
      </c>
      <c r="I192" s="16">
        <v>40462.47488425926</v>
      </c>
      <c r="J192" s="1" t="s">
        <v>555</v>
      </c>
      <c r="K192" s="1" t="s">
        <v>18</v>
      </c>
      <c r="L192" s="1" t="s">
        <v>19</v>
      </c>
    </row>
    <row r="193" spans="1:16" ht="13" x14ac:dyDescent="0.15">
      <c r="A193" s="1">
        <v>630547</v>
      </c>
      <c r="B193" s="1">
        <v>0</v>
      </c>
      <c r="C193" s="1" t="s">
        <v>137</v>
      </c>
      <c r="D193" s="1" t="s">
        <v>27</v>
      </c>
      <c r="E193" s="1" t="s">
        <v>556</v>
      </c>
      <c r="F193" s="1" t="s">
        <v>557</v>
      </c>
      <c r="G193" s="1" t="s">
        <v>558</v>
      </c>
      <c r="I193" s="16">
        <v>42573.355370370373</v>
      </c>
      <c r="J193" s="1" t="s">
        <v>205</v>
      </c>
      <c r="K193" s="1" t="s">
        <v>18</v>
      </c>
      <c r="L193" s="1" t="s">
        <v>19</v>
      </c>
    </row>
    <row r="194" spans="1:16" ht="13" x14ac:dyDescent="0.15">
      <c r="A194" s="1">
        <v>630544</v>
      </c>
      <c r="B194" s="1">
        <v>0</v>
      </c>
      <c r="C194" s="1" t="s">
        <v>137</v>
      </c>
      <c r="D194" s="1" t="s">
        <v>27</v>
      </c>
      <c r="E194" s="1" t="s">
        <v>559</v>
      </c>
      <c r="F194" s="1" t="s">
        <v>557</v>
      </c>
      <c r="G194" s="1" t="s">
        <v>558</v>
      </c>
      <c r="I194" s="16">
        <v>42573.346921296295</v>
      </c>
      <c r="J194" s="1" t="s">
        <v>205</v>
      </c>
      <c r="K194" s="1" t="s">
        <v>18</v>
      </c>
      <c r="L194" s="1" t="s">
        <v>19</v>
      </c>
    </row>
    <row r="195" spans="1:16" ht="13" x14ac:dyDescent="0.15">
      <c r="A195" s="1">
        <v>131087</v>
      </c>
      <c r="B195" s="1">
        <v>0</v>
      </c>
      <c r="C195" s="1" t="s">
        <v>26</v>
      </c>
      <c r="D195" s="1" t="s">
        <v>27</v>
      </c>
      <c r="E195" s="1" t="s">
        <v>560</v>
      </c>
      <c r="F195" s="1" t="s">
        <v>561</v>
      </c>
      <c r="G195" s="1" t="s">
        <v>23</v>
      </c>
      <c r="I195" s="16">
        <v>41064.925983796296</v>
      </c>
      <c r="J195" s="1" t="s">
        <v>40</v>
      </c>
      <c r="K195" s="1" t="s">
        <v>18</v>
      </c>
      <c r="L195" s="1" t="s">
        <v>19</v>
      </c>
    </row>
    <row r="196" spans="1:16" ht="13" x14ac:dyDescent="0.15">
      <c r="A196" s="1">
        <v>92769</v>
      </c>
      <c r="B196" s="1">
        <v>0</v>
      </c>
      <c r="C196" s="1" t="s">
        <v>26</v>
      </c>
      <c r="D196" s="1" t="s">
        <v>27</v>
      </c>
      <c r="E196" s="1" t="s">
        <v>562</v>
      </c>
      <c r="F196" s="1" t="s">
        <v>563</v>
      </c>
      <c r="G196" s="1" t="s">
        <v>23</v>
      </c>
      <c r="I196" s="16">
        <v>40768.609027777777</v>
      </c>
      <c r="J196" s="1" t="s">
        <v>40</v>
      </c>
      <c r="K196" s="1" t="s">
        <v>18</v>
      </c>
      <c r="L196" s="1" t="s">
        <v>19</v>
      </c>
    </row>
    <row r="197" spans="1:16" ht="13" x14ac:dyDescent="0.15">
      <c r="A197" s="1">
        <v>338393</v>
      </c>
      <c r="B197" s="1">
        <v>0</v>
      </c>
      <c r="C197" s="1" t="s">
        <v>50</v>
      </c>
      <c r="D197" s="1" t="s">
        <v>27</v>
      </c>
      <c r="E197" s="1" t="s">
        <v>564</v>
      </c>
      <c r="F197" s="1" t="s">
        <v>565</v>
      </c>
      <c r="G197" s="1" t="s">
        <v>353</v>
      </c>
      <c r="I197" s="16">
        <v>41666.741412037038</v>
      </c>
      <c r="J197" s="1" t="s">
        <v>17</v>
      </c>
      <c r="K197" s="1" t="s">
        <v>18</v>
      </c>
      <c r="L197" s="1" t="s">
        <v>19</v>
      </c>
    </row>
    <row r="198" spans="1:16" ht="13" x14ac:dyDescent="0.15">
      <c r="A198" s="1">
        <v>134305</v>
      </c>
      <c r="B198" s="1">
        <v>0</v>
      </c>
      <c r="C198" s="1" t="s">
        <v>26</v>
      </c>
      <c r="D198" s="1" t="s">
        <v>27</v>
      </c>
      <c r="E198" s="1" t="s">
        <v>566</v>
      </c>
      <c r="F198" s="1" t="s">
        <v>567</v>
      </c>
      <c r="G198" s="1" t="s">
        <v>23</v>
      </c>
      <c r="I198" s="16">
        <v>41083.862615740742</v>
      </c>
      <c r="J198" s="1" t="s">
        <v>40</v>
      </c>
      <c r="K198" s="1" t="s">
        <v>18</v>
      </c>
      <c r="L198" s="1" t="s">
        <v>19</v>
      </c>
    </row>
    <row r="199" spans="1:16" ht="13" x14ac:dyDescent="0.15">
      <c r="A199" s="1">
        <v>457480</v>
      </c>
      <c r="B199" s="1">
        <v>1</v>
      </c>
      <c r="C199" s="1" t="s">
        <v>12</v>
      </c>
      <c r="D199" s="1" t="s">
        <v>27</v>
      </c>
      <c r="E199" s="1" t="s">
        <v>264</v>
      </c>
      <c r="F199" s="1" t="s">
        <v>568</v>
      </c>
      <c r="G199" s="1" t="s">
        <v>23</v>
      </c>
      <c r="I199" s="16">
        <v>42046.012743055559</v>
      </c>
      <c r="J199" s="1" t="s">
        <v>569</v>
      </c>
      <c r="K199" s="1" t="s">
        <v>18</v>
      </c>
      <c r="L199" s="1" t="s">
        <v>19</v>
      </c>
      <c r="M199" s="1">
        <v>506642</v>
      </c>
      <c r="N199" s="1" t="s">
        <v>570</v>
      </c>
      <c r="O199" s="16">
        <v>42187.755243055559</v>
      </c>
      <c r="P199" s="1" t="s">
        <v>571</v>
      </c>
    </row>
    <row r="200" spans="1:16" ht="13" x14ac:dyDescent="0.15">
      <c r="A200" s="1">
        <v>43315</v>
      </c>
      <c r="B200" s="1">
        <v>0</v>
      </c>
      <c r="D200" s="1" t="s">
        <v>27</v>
      </c>
      <c r="E200" s="1" t="s">
        <v>572</v>
      </c>
      <c r="F200" s="1" t="s">
        <v>254</v>
      </c>
      <c r="I200" s="16">
        <v>40303.600555555553</v>
      </c>
      <c r="J200" s="1" t="s">
        <v>151</v>
      </c>
      <c r="K200" s="1" t="s">
        <v>18</v>
      </c>
      <c r="L200" s="1" t="s">
        <v>19</v>
      </c>
    </row>
    <row r="201" spans="1:16" ht="13" x14ac:dyDescent="0.15">
      <c r="A201" s="1">
        <v>349079</v>
      </c>
      <c r="B201" s="1">
        <v>0</v>
      </c>
      <c r="C201" s="1" t="s">
        <v>101</v>
      </c>
      <c r="D201" s="1" t="s">
        <v>27</v>
      </c>
      <c r="E201" s="1" t="s">
        <v>349</v>
      </c>
      <c r="F201" s="1" t="s">
        <v>573</v>
      </c>
      <c r="G201" s="1" t="s">
        <v>23</v>
      </c>
      <c r="I201" s="16">
        <v>41702.789085648146</v>
      </c>
      <c r="J201" s="1" t="s">
        <v>17</v>
      </c>
      <c r="K201" s="1" t="s">
        <v>18</v>
      </c>
      <c r="L201" s="1" t="s">
        <v>19</v>
      </c>
    </row>
    <row r="202" spans="1:16" ht="13" x14ac:dyDescent="0.15">
      <c r="A202" s="1">
        <v>424999</v>
      </c>
      <c r="B202" s="1">
        <v>0</v>
      </c>
      <c r="D202" s="1" t="s">
        <v>27</v>
      </c>
      <c r="E202" s="1" t="s">
        <v>574</v>
      </c>
      <c r="F202" s="1" t="s">
        <v>575</v>
      </c>
      <c r="G202" s="1" t="s">
        <v>23</v>
      </c>
      <c r="I202" s="16">
        <v>41932.168773148151</v>
      </c>
      <c r="J202" s="1" t="s">
        <v>17</v>
      </c>
      <c r="K202" s="1" t="s">
        <v>18</v>
      </c>
      <c r="L202" s="1" t="s">
        <v>19</v>
      </c>
    </row>
    <row r="203" spans="1:16" ht="13" x14ac:dyDescent="0.15">
      <c r="A203" s="1">
        <v>571121</v>
      </c>
      <c r="B203" s="1">
        <v>0</v>
      </c>
      <c r="C203" s="1" t="s">
        <v>576</v>
      </c>
      <c r="D203" s="1" t="s">
        <v>27</v>
      </c>
      <c r="E203" s="1" t="s">
        <v>577</v>
      </c>
      <c r="F203" s="1" t="s">
        <v>578</v>
      </c>
      <c r="G203" s="1" t="s">
        <v>23</v>
      </c>
      <c r="I203" s="16">
        <v>42356.869837962964</v>
      </c>
      <c r="J203" s="1" t="s">
        <v>579</v>
      </c>
      <c r="K203" s="1" t="s">
        <v>18</v>
      </c>
      <c r="L203" s="1" t="s">
        <v>19</v>
      </c>
    </row>
    <row r="204" spans="1:16" ht="13" x14ac:dyDescent="0.15">
      <c r="A204" s="1">
        <v>146145</v>
      </c>
      <c r="B204" s="1">
        <v>0</v>
      </c>
      <c r="C204" s="1" t="s">
        <v>527</v>
      </c>
      <c r="D204" s="1" t="s">
        <v>27</v>
      </c>
      <c r="E204" s="1" t="s">
        <v>580</v>
      </c>
      <c r="F204" s="1" t="s">
        <v>581</v>
      </c>
      <c r="G204" s="1" t="s">
        <v>23</v>
      </c>
      <c r="I204" s="16">
        <v>41153.624432870369</v>
      </c>
      <c r="J204" s="1" t="s">
        <v>40</v>
      </c>
      <c r="K204" s="1" t="s">
        <v>18</v>
      </c>
      <c r="L204" s="1" t="s">
        <v>19</v>
      </c>
    </row>
    <row r="205" spans="1:16" ht="13" x14ac:dyDescent="0.15">
      <c r="A205" s="1">
        <v>312016</v>
      </c>
      <c r="B205" s="1">
        <v>0</v>
      </c>
      <c r="C205" s="1" t="s">
        <v>582</v>
      </c>
      <c r="D205" s="1" t="s">
        <v>27</v>
      </c>
      <c r="E205" s="1" t="s">
        <v>583</v>
      </c>
      <c r="F205" s="1" t="s">
        <v>584</v>
      </c>
      <c r="G205" s="1" t="s">
        <v>23</v>
      </c>
      <c r="I205" s="16">
        <v>41573.83222222222</v>
      </c>
      <c r="J205" s="1" t="s">
        <v>193</v>
      </c>
      <c r="K205" s="1" t="s">
        <v>18</v>
      </c>
      <c r="L205" s="1" t="s">
        <v>19</v>
      </c>
    </row>
    <row r="206" spans="1:16" ht="13" x14ac:dyDescent="0.15">
      <c r="A206" s="1">
        <v>100459</v>
      </c>
      <c r="B206" s="1">
        <v>0</v>
      </c>
      <c r="C206" s="1" t="s">
        <v>26</v>
      </c>
      <c r="D206" s="1" t="s">
        <v>27</v>
      </c>
      <c r="E206" s="1" t="s">
        <v>585</v>
      </c>
      <c r="F206" s="1" t="s">
        <v>586</v>
      </c>
      <c r="G206" s="1" t="s">
        <v>23</v>
      </c>
      <c r="I206" s="16">
        <v>40831.633240740739</v>
      </c>
      <c r="J206" s="1" t="s">
        <v>40</v>
      </c>
      <c r="K206" s="1" t="s">
        <v>18</v>
      </c>
      <c r="L206" s="1" t="s">
        <v>19</v>
      </c>
    </row>
    <row r="207" spans="1:16" ht="13" x14ac:dyDescent="0.15">
      <c r="A207" s="1">
        <v>260165</v>
      </c>
      <c r="B207" s="1">
        <v>0</v>
      </c>
      <c r="D207" s="1" t="s">
        <v>27</v>
      </c>
      <c r="E207" s="1" t="s">
        <v>587</v>
      </c>
      <c r="F207" s="1" t="s">
        <v>588</v>
      </c>
      <c r="G207" s="1" t="s">
        <v>23</v>
      </c>
      <c r="I207" s="16">
        <v>41469.834328703706</v>
      </c>
      <c r="J207" s="1" t="s">
        <v>68</v>
      </c>
      <c r="K207" s="1" t="s">
        <v>18</v>
      </c>
      <c r="L207" s="1" t="s">
        <v>19</v>
      </c>
    </row>
    <row r="208" spans="1:16" ht="13" x14ac:dyDescent="0.15">
      <c r="A208" s="1">
        <v>343964</v>
      </c>
      <c r="B208" s="1">
        <v>0</v>
      </c>
      <c r="C208" s="1" t="s">
        <v>101</v>
      </c>
      <c r="D208" s="1" t="s">
        <v>27</v>
      </c>
      <c r="E208" s="1" t="s">
        <v>589</v>
      </c>
      <c r="F208" s="1" t="s">
        <v>590</v>
      </c>
      <c r="G208" s="1" t="s">
        <v>23</v>
      </c>
      <c r="I208" s="16">
        <v>41684.802106481482</v>
      </c>
      <c r="J208" s="1" t="s">
        <v>17</v>
      </c>
      <c r="K208" s="1" t="s">
        <v>18</v>
      </c>
      <c r="L208" s="1" t="s">
        <v>19</v>
      </c>
    </row>
    <row r="209" spans="1:16" ht="13" x14ac:dyDescent="0.15">
      <c r="A209" s="1">
        <v>140647</v>
      </c>
      <c r="B209" s="1">
        <v>0</v>
      </c>
      <c r="C209" s="1" t="s">
        <v>26</v>
      </c>
      <c r="D209" s="1" t="s">
        <v>27</v>
      </c>
      <c r="E209" s="1" t="s">
        <v>591</v>
      </c>
      <c r="F209" s="1" t="s">
        <v>592</v>
      </c>
      <c r="G209" s="1" t="s">
        <v>23</v>
      </c>
      <c r="I209" s="16">
        <v>41125.637881944444</v>
      </c>
      <c r="J209" s="1" t="s">
        <v>40</v>
      </c>
      <c r="K209" s="1" t="s">
        <v>18</v>
      </c>
      <c r="L209" s="1" t="s">
        <v>19</v>
      </c>
    </row>
    <row r="210" spans="1:16" ht="13" x14ac:dyDescent="0.15">
      <c r="A210" s="1">
        <v>72908</v>
      </c>
      <c r="B210" s="1">
        <v>0</v>
      </c>
      <c r="C210" s="1" t="s">
        <v>26</v>
      </c>
      <c r="D210" s="1" t="s">
        <v>27</v>
      </c>
      <c r="E210" s="1" t="s">
        <v>593</v>
      </c>
      <c r="F210" s="1" t="s">
        <v>594</v>
      </c>
      <c r="G210" s="1" t="s">
        <v>540</v>
      </c>
      <c r="I210" s="16">
        <v>40588.322384259256</v>
      </c>
      <c r="J210" s="1" t="s">
        <v>40</v>
      </c>
      <c r="K210" s="1" t="s">
        <v>18</v>
      </c>
      <c r="L210" s="1" t="s">
        <v>19</v>
      </c>
    </row>
    <row r="211" spans="1:16" ht="13" x14ac:dyDescent="0.15">
      <c r="A211" s="1">
        <v>124182</v>
      </c>
      <c r="B211" s="1">
        <v>0</v>
      </c>
      <c r="C211" s="1" t="s">
        <v>194</v>
      </c>
      <c r="D211" s="1" t="s">
        <v>27</v>
      </c>
      <c r="E211" s="1" t="s">
        <v>595</v>
      </c>
      <c r="F211" s="1" t="s">
        <v>596</v>
      </c>
      <c r="I211" s="16">
        <v>41018.409571759257</v>
      </c>
      <c r="J211" s="1" t="s">
        <v>151</v>
      </c>
      <c r="K211" s="1" t="s">
        <v>18</v>
      </c>
      <c r="L211" s="1" t="s">
        <v>19</v>
      </c>
    </row>
    <row r="212" spans="1:16" ht="13" x14ac:dyDescent="0.15">
      <c r="A212" s="1">
        <v>54262</v>
      </c>
      <c r="B212" s="1">
        <v>0</v>
      </c>
      <c r="C212" s="1" t="s">
        <v>26</v>
      </c>
      <c r="D212" s="1" t="s">
        <v>27</v>
      </c>
      <c r="E212" s="1" t="s">
        <v>597</v>
      </c>
      <c r="F212" s="1" t="s">
        <v>430</v>
      </c>
      <c r="G212" s="1" t="s">
        <v>23</v>
      </c>
      <c r="I212" s="16">
        <v>40423.725555555553</v>
      </c>
      <c r="J212" s="1" t="s">
        <v>173</v>
      </c>
      <c r="K212" s="1" t="s">
        <v>18</v>
      </c>
      <c r="L212" s="1" t="s">
        <v>19</v>
      </c>
    </row>
    <row r="213" spans="1:16" ht="13" x14ac:dyDescent="0.15">
      <c r="A213" s="1">
        <v>6062</v>
      </c>
      <c r="B213" s="1">
        <v>0</v>
      </c>
      <c r="C213" s="1" t="s">
        <v>26</v>
      </c>
      <c r="D213" s="1" t="s">
        <v>27</v>
      </c>
      <c r="E213" s="1" t="s">
        <v>598</v>
      </c>
      <c r="F213" s="1" t="s">
        <v>599</v>
      </c>
      <c r="G213" s="1" t="s">
        <v>23</v>
      </c>
      <c r="I213" s="16">
        <v>39820.000092592592</v>
      </c>
      <c r="J213" s="1" t="s">
        <v>600</v>
      </c>
      <c r="K213" s="1" t="s">
        <v>18</v>
      </c>
      <c r="L213" s="1" t="s">
        <v>19</v>
      </c>
    </row>
    <row r="214" spans="1:16" ht="13" x14ac:dyDescent="0.15">
      <c r="A214" s="1">
        <v>139646</v>
      </c>
      <c r="B214" s="1">
        <v>1</v>
      </c>
      <c r="C214" s="1" t="s">
        <v>26</v>
      </c>
      <c r="D214" s="1" t="s">
        <v>27</v>
      </c>
      <c r="E214" s="1" t="s">
        <v>601</v>
      </c>
      <c r="F214" s="1" t="s">
        <v>602</v>
      </c>
      <c r="G214" s="1" t="s">
        <v>23</v>
      </c>
      <c r="I214" s="16">
        <v>41120.760798611111</v>
      </c>
      <c r="J214" s="1" t="s">
        <v>40</v>
      </c>
      <c r="K214" s="1" t="s">
        <v>18</v>
      </c>
      <c r="L214" s="1" t="s">
        <v>19</v>
      </c>
      <c r="M214" s="1">
        <v>141075</v>
      </c>
      <c r="N214" s="1" t="s">
        <v>603</v>
      </c>
      <c r="O214" s="16">
        <v>41128.451296296298</v>
      </c>
      <c r="P214" s="1" t="s">
        <v>604</v>
      </c>
    </row>
    <row r="215" spans="1:16" ht="13" x14ac:dyDescent="0.15">
      <c r="A215" s="1">
        <v>154987</v>
      </c>
      <c r="B215" s="1">
        <v>0</v>
      </c>
      <c r="C215" s="1" t="s">
        <v>41</v>
      </c>
      <c r="D215" s="1" t="s">
        <v>27</v>
      </c>
      <c r="E215" s="1" t="s">
        <v>605</v>
      </c>
      <c r="F215" s="1" t="s">
        <v>606</v>
      </c>
      <c r="I215" s="16">
        <v>41192.175034722219</v>
      </c>
      <c r="J215" s="1" t="s">
        <v>398</v>
      </c>
      <c r="K215" s="1" t="s">
        <v>18</v>
      </c>
      <c r="L215" s="1" t="s">
        <v>19</v>
      </c>
    </row>
    <row r="216" spans="1:16" ht="13" x14ac:dyDescent="0.15">
      <c r="A216" s="1">
        <v>154983</v>
      </c>
      <c r="B216" s="1">
        <v>0</v>
      </c>
      <c r="D216" s="1" t="s">
        <v>27</v>
      </c>
      <c r="E216" s="1" t="s">
        <v>607</v>
      </c>
      <c r="F216" s="1" t="s">
        <v>608</v>
      </c>
      <c r="I216" s="16">
        <v>41192.154629629629</v>
      </c>
      <c r="J216" s="1" t="s">
        <v>609</v>
      </c>
      <c r="K216" s="1" t="s">
        <v>18</v>
      </c>
      <c r="L216" s="1" t="s">
        <v>19</v>
      </c>
    </row>
    <row r="217" spans="1:16" ht="13" x14ac:dyDescent="0.15">
      <c r="A217" s="1">
        <v>279263</v>
      </c>
      <c r="B217" s="1">
        <v>0</v>
      </c>
      <c r="D217" s="1" t="s">
        <v>27</v>
      </c>
      <c r="E217" s="1" t="s">
        <v>610</v>
      </c>
      <c r="F217" s="1" t="s">
        <v>611</v>
      </c>
      <c r="G217" s="1" t="s">
        <v>159</v>
      </c>
      <c r="I217" s="16">
        <v>41512.625949074078</v>
      </c>
      <c r="J217" s="1" t="s">
        <v>98</v>
      </c>
      <c r="K217" s="1" t="s">
        <v>18</v>
      </c>
      <c r="L217" s="1" t="s">
        <v>19</v>
      </c>
    </row>
    <row r="218" spans="1:16" ht="13" x14ac:dyDescent="0.15">
      <c r="A218" s="1">
        <v>22115</v>
      </c>
      <c r="B218" s="1">
        <v>0</v>
      </c>
      <c r="C218" s="1" t="s">
        <v>26</v>
      </c>
      <c r="D218" s="1" t="s">
        <v>27</v>
      </c>
      <c r="E218" s="1" t="s">
        <v>612</v>
      </c>
      <c r="F218" s="1" t="s">
        <v>613</v>
      </c>
      <c r="G218" s="1" t="s">
        <v>23</v>
      </c>
      <c r="I218" s="16">
        <v>40073.33798611111</v>
      </c>
      <c r="J218" s="1" t="s">
        <v>614</v>
      </c>
      <c r="K218" s="1" t="s">
        <v>18</v>
      </c>
      <c r="L218" s="1" t="s">
        <v>19</v>
      </c>
    </row>
    <row r="219" spans="1:16" ht="13" x14ac:dyDescent="0.15">
      <c r="A219" s="1">
        <v>554099</v>
      </c>
      <c r="B219" s="1">
        <v>0</v>
      </c>
      <c r="C219" s="1" t="s">
        <v>12</v>
      </c>
      <c r="D219" s="1" t="s">
        <v>27</v>
      </c>
      <c r="E219" s="1" t="s">
        <v>615</v>
      </c>
      <c r="F219" s="1" t="s">
        <v>616</v>
      </c>
      <c r="G219" s="1" t="s">
        <v>16</v>
      </c>
      <c r="I219" s="16">
        <v>42318.739201388889</v>
      </c>
      <c r="J219" s="1" t="s">
        <v>17</v>
      </c>
      <c r="K219" s="1" t="s">
        <v>18</v>
      </c>
      <c r="L219" s="1" t="s">
        <v>19</v>
      </c>
    </row>
    <row r="220" spans="1:16" ht="13" x14ac:dyDescent="0.15">
      <c r="A220" s="1">
        <v>108006</v>
      </c>
      <c r="B220" s="1">
        <v>0</v>
      </c>
      <c r="C220" s="1" t="s">
        <v>170</v>
      </c>
      <c r="D220" s="1" t="s">
        <v>27</v>
      </c>
      <c r="E220" s="1" t="s">
        <v>617</v>
      </c>
      <c r="F220" s="1" t="s">
        <v>618</v>
      </c>
      <c r="G220" s="1" t="s">
        <v>23</v>
      </c>
      <c r="I220" s="16">
        <v>40896.017268518517</v>
      </c>
      <c r="J220" s="1" t="s">
        <v>40</v>
      </c>
      <c r="K220" s="1" t="s">
        <v>18</v>
      </c>
      <c r="L220" s="1" t="s">
        <v>19</v>
      </c>
    </row>
    <row r="221" spans="1:16" ht="13" x14ac:dyDescent="0.15">
      <c r="A221" s="1">
        <v>569496</v>
      </c>
      <c r="B221" s="1">
        <v>0</v>
      </c>
      <c r="C221" s="1" t="s">
        <v>619</v>
      </c>
      <c r="D221" s="1" t="s">
        <v>27</v>
      </c>
      <c r="E221" s="1" t="s">
        <v>620</v>
      </c>
      <c r="F221" s="1" t="s">
        <v>621</v>
      </c>
      <c r="I221" s="16">
        <v>42352.416377314818</v>
      </c>
      <c r="J221" s="1" t="s">
        <v>247</v>
      </c>
      <c r="K221" s="1" t="s">
        <v>18</v>
      </c>
      <c r="L221" s="1" t="s">
        <v>19</v>
      </c>
    </row>
    <row r="222" spans="1:16" ht="13" x14ac:dyDescent="0.15">
      <c r="A222" s="1">
        <v>561497</v>
      </c>
      <c r="B222" s="1">
        <v>0</v>
      </c>
      <c r="C222" s="1" t="s">
        <v>622</v>
      </c>
      <c r="D222" s="1" t="s">
        <v>27</v>
      </c>
      <c r="E222" s="1" t="s">
        <v>623</v>
      </c>
      <c r="F222" s="1" t="s">
        <v>624</v>
      </c>
      <c r="G222" s="1" t="s">
        <v>23</v>
      </c>
      <c r="I222" s="16">
        <v>42333.618425925924</v>
      </c>
      <c r="J222" s="1" t="s">
        <v>17</v>
      </c>
      <c r="K222" s="1" t="s">
        <v>18</v>
      </c>
      <c r="L222" s="1" t="s">
        <v>19</v>
      </c>
    </row>
    <row r="223" spans="1:16" ht="13" x14ac:dyDescent="0.15">
      <c r="A223" s="1">
        <v>602185</v>
      </c>
      <c r="B223" s="1">
        <v>0</v>
      </c>
      <c r="C223" s="1" t="s">
        <v>50</v>
      </c>
      <c r="D223" s="1" t="s">
        <v>27</v>
      </c>
      <c r="E223" s="1" t="s">
        <v>625</v>
      </c>
      <c r="F223" s="1" t="s">
        <v>626</v>
      </c>
      <c r="G223" s="1" t="s">
        <v>16</v>
      </c>
      <c r="I223" s="16">
        <v>42471.328240740739</v>
      </c>
      <c r="J223" s="1" t="s">
        <v>17</v>
      </c>
      <c r="K223" s="1" t="s">
        <v>18</v>
      </c>
      <c r="L223" s="1" t="s">
        <v>19</v>
      </c>
    </row>
    <row r="224" spans="1:16" ht="13" x14ac:dyDescent="0.15">
      <c r="A224" s="1">
        <v>97599</v>
      </c>
      <c r="B224" s="1">
        <v>0</v>
      </c>
      <c r="C224" s="1" t="s">
        <v>26</v>
      </c>
      <c r="D224" s="1" t="s">
        <v>27</v>
      </c>
      <c r="E224" s="1" t="s">
        <v>627</v>
      </c>
      <c r="F224" s="1" t="s">
        <v>628</v>
      </c>
      <c r="G224" s="1" t="s">
        <v>23</v>
      </c>
      <c r="I224" s="16">
        <v>40808.647673611114</v>
      </c>
      <c r="J224" s="1" t="s">
        <v>40</v>
      </c>
      <c r="K224" s="1" t="s">
        <v>18</v>
      </c>
      <c r="L224" s="1" t="s">
        <v>19</v>
      </c>
    </row>
    <row r="225" spans="1:16" ht="13" x14ac:dyDescent="0.15">
      <c r="A225" s="1">
        <v>664139</v>
      </c>
      <c r="B225" s="1">
        <v>0</v>
      </c>
      <c r="C225" s="1" t="s">
        <v>629</v>
      </c>
      <c r="D225" s="1" t="s">
        <v>27</v>
      </c>
      <c r="E225" s="1" t="s">
        <v>630</v>
      </c>
      <c r="F225" s="1" t="s">
        <v>631</v>
      </c>
      <c r="G225" s="1" t="s">
        <v>23</v>
      </c>
      <c r="I225" s="16">
        <v>42684.564050925925</v>
      </c>
      <c r="J225" s="1" t="s">
        <v>632</v>
      </c>
      <c r="K225" s="1" t="s">
        <v>18</v>
      </c>
      <c r="L225" s="1" t="s">
        <v>19</v>
      </c>
    </row>
    <row r="226" spans="1:16" ht="13" x14ac:dyDescent="0.15">
      <c r="A226" s="1">
        <v>150966</v>
      </c>
      <c r="B226" s="1">
        <v>0</v>
      </c>
      <c r="C226" s="1" t="s">
        <v>26</v>
      </c>
      <c r="D226" s="1" t="s">
        <v>27</v>
      </c>
      <c r="E226" s="1" t="s">
        <v>633</v>
      </c>
      <c r="F226" s="1" t="s">
        <v>634</v>
      </c>
      <c r="G226" s="1" t="s">
        <v>23</v>
      </c>
      <c r="I226" s="16">
        <v>41172.200914351852</v>
      </c>
      <c r="J226" s="1" t="s">
        <v>40</v>
      </c>
      <c r="K226" s="1" t="s">
        <v>18</v>
      </c>
      <c r="L226" s="1" t="s">
        <v>19</v>
      </c>
    </row>
    <row r="227" spans="1:16" ht="13" x14ac:dyDescent="0.15">
      <c r="A227" s="1">
        <v>107616</v>
      </c>
      <c r="B227" s="1">
        <v>0</v>
      </c>
      <c r="C227" s="1" t="s">
        <v>26</v>
      </c>
      <c r="D227" s="1" t="s">
        <v>27</v>
      </c>
      <c r="E227" s="1" t="s">
        <v>635</v>
      </c>
      <c r="F227" s="1" t="s">
        <v>636</v>
      </c>
      <c r="I227" s="16">
        <v>40891.941631944443</v>
      </c>
      <c r="J227" s="1" t="s">
        <v>238</v>
      </c>
      <c r="K227" s="1" t="s">
        <v>18</v>
      </c>
      <c r="L227" s="1" t="s">
        <v>19</v>
      </c>
    </row>
    <row r="228" spans="1:16" ht="13" x14ac:dyDescent="0.15">
      <c r="A228" s="1">
        <v>124625</v>
      </c>
      <c r="B228" s="1">
        <v>1</v>
      </c>
      <c r="C228" s="1" t="s">
        <v>26</v>
      </c>
      <c r="D228" s="1" t="s">
        <v>27</v>
      </c>
      <c r="E228" s="1" t="s">
        <v>637</v>
      </c>
      <c r="F228" s="1" t="s">
        <v>638</v>
      </c>
      <c r="G228" s="1" t="s">
        <v>23</v>
      </c>
      <c r="I228" s="16">
        <v>41022.55982638889</v>
      </c>
      <c r="J228" s="1" t="s">
        <v>639</v>
      </c>
      <c r="K228" s="1" t="s">
        <v>18</v>
      </c>
      <c r="L228" s="1" t="s">
        <v>19</v>
      </c>
      <c r="M228" s="1">
        <v>109878</v>
      </c>
      <c r="N228" s="1" t="s">
        <v>640</v>
      </c>
      <c r="O228" s="16">
        <v>40919.75099537037</v>
      </c>
      <c r="P228" s="1" t="s">
        <v>641</v>
      </c>
    </row>
    <row r="229" spans="1:16" ht="13" x14ac:dyDescent="0.15">
      <c r="A229" s="1">
        <v>455735</v>
      </c>
      <c r="B229" s="1">
        <v>0</v>
      </c>
      <c r="C229" s="1" t="s">
        <v>73</v>
      </c>
      <c r="D229" s="1" t="s">
        <v>27</v>
      </c>
      <c r="E229" s="1" t="s">
        <v>642</v>
      </c>
      <c r="F229" s="1" t="s">
        <v>643</v>
      </c>
      <c r="G229" s="1" t="s">
        <v>23</v>
      </c>
      <c r="I229" s="16">
        <v>42040.662141203706</v>
      </c>
      <c r="J229" s="1" t="s">
        <v>98</v>
      </c>
      <c r="K229" s="1" t="s">
        <v>18</v>
      </c>
      <c r="L229" s="1" t="s">
        <v>19</v>
      </c>
    </row>
    <row r="230" spans="1:16" ht="13" x14ac:dyDescent="0.15">
      <c r="A230" s="1">
        <v>613915</v>
      </c>
      <c r="B230" s="1">
        <v>0</v>
      </c>
      <c r="C230" s="1" t="s">
        <v>280</v>
      </c>
      <c r="D230" s="1" t="s">
        <v>27</v>
      </c>
      <c r="E230" s="1" t="s">
        <v>644</v>
      </c>
      <c r="F230" s="1" t="s">
        <v>645</v>
      </c>
      <c r="G230" s="1" t="s">
        <v>540</v>
      </c>
      <c r="I230" s="16">
        <v>42513.227800925924</v>
      </c>
      <c r="J230" s="1" t="s">
        <v>17</v>
      </c>
      <c r="K230" s="1" t="s">
        <v>18</v>
      </c>
      <c r="L230" s="1" t="s">
        <v>19</v>
      </c>
    </row>
    <row r="231" spans="1:16" ht="13" x14ac:dyDescent="0.15">
      <c r="A231" s="1">
        <v>154488</v>
      </c>
      <c r="B231" s="1">
        <v>0</v>
      </c>
      <c r="C231" s="1" t="s">
        <v>26</v>
      </c>
      <c r="D231" s="1" t="s">
        <v>27</v>
      </c>
      <c r="E231" s="1" t="s">
        <v>646</v>
      </c>
      <c r="F231" s="1" t="s">
        <v>120</v>
      </c>
      <c r="G231" s="1" t="s">
        <v>23</v>
      </c>
      <c r="I231" s="16">
        <v>41189.26934027778</v>
      </c>
      <c r="J231" s="1" t="s">
        <v>40</v>
      </c>
      <c r="K231" s="1" t="s">
        <v>18</v>
      </c>
      <c r="L231" s="1" t="s">
        <v>19</v>
      </c>
    </row>
    <row r="232" spans="1:16" ht="13" x14ac:dyDescent="0.15">
      <c r="A232" s="1">
        <v>674203</v>
      </c>
      <c r="B232" s="1">
        <v>0</v>
      </c>
      <c r="C232" s="1" t="s">
        <v>647</v>
      </c>
      <c r="D232" s="1" t="s">
        <v>27</v>
      </c>
      <c r="E232" s="1" t="s">
        <v>648</v>
      </c>
      <c r="F232" s="1" t="s">
        <v>649</v>
      </c>
      <c r="G232" s="1" t="s">
        <v>23</v>
      </c>
      <c r="I232" s="16">
        <v>42718.780682870369</v>
      </c>
      <c r="J232" s="1" t="s">
        <v>24</v>
      </c>
      <c r="K232" s="1" t="s">
        <v>18</v>
      </c>
      <c r="L232" s="1" t="s">
        <v>19</v>
      </c>
    </row>
    <row r="233" spans="1:16" ht="13" x14ac:dyDescent="0.15">
      <c r="A233" s="1">
        <v>60695</v>
      </c>
      <c r="B233" s="1">
        <v>0</v>
      </c>
      <c r="C233" s="1" t="s">
        <v>133</v>
      </c>
      <c r="D233" s="1" t="s">
        <v>27</v>
      </c>
      <c r="E233" s="1" t="s">
        <v>650</v>
      </c>
      <c r="F233" s="1" t="s">
        <v>651</v>
      </c>
      <c r="G233" s="1" t="s">
        <v>23</v>
      </c>
      <c r="I233" s="16">
        <v>40477.31758101852</v>
      </c>
      <c r="J233" s="1" t="s">
        <v>148</v>
      </c>
      <c r="K233" s="1" t="s">
        <v>18</v>
      </c>
      <c r="L233" s="1" t="s">
        <v>19</v>
      </c>
    </row>
    <row r="234" spans="1:16" ht="13" x14ac:dyDescent="0.15">
      <c r="A234" s="1">
        <v>600777</v>
      </c>
      <c r="B234" s="1">
        <v>0</v>
      </c>
      <c r="C234" s="1" t="s">
        <v>12</v>
      </c>
      <c r="D234" s="1" t="s">
        <v>27</v>
      </c>
      <c r="E234" s="1" t="s">
        <v>652</v>
      </c>
      <c r="F234" s="1" t="s">
        <v>653</v>
      </c>
      <c r="I234" s="16">
        <v>42465.770509259259</v>
      </c>
      <c r="J234" s="1" t="s">
        <v>454</v>
      </c>
      <c r="K234" s="1" t="s">
        <v>18</v>
      </c>
      <c r="L234" s="1" t="s">
        <v>19</v>
      </c>
    </row>
    <row r="235" spans="1:16" ht="13" x14ac:dyDescent="0.15">
      <c r="A235" s="1">
        <v>508009</v>
      </c>
      <c r="B235" s="1">
        <v>0</v>
      </c>
      <c r="C235" s="1" t="s">
        <v>137</v>
      </c>
      <c r="D235" s="1" t="s">
        <v>27</v>
      </c>
      <c r="E235" s="1" t="s">
        <v>654</v>
      </c>
      <c r="F235" s="1" t="s">
        <v>655</v>
      </c>
      <c r="G235" s="1" t="s">
        <v>23</v>
      </c>
      <c r="I235" s="16">
        <v>42193.378136574072</v>
      </c>
      <c r="J235" s="1" t="s">
        <v>656</v>
      </c>
      <c r="K235" s="1" t="s">
        <v>18</v>
      </c>
      <c r="L235" s="1" t="s">
        <v>19</v>
      </c>
    </row>
    <row r="236" spans="1:16" ht="13" x14ac:dyDescent="0.15">
      <c r="A236" s="1">
        <v>73134</v>
      </c>
      <c r="B236" s="1">
        <v>0</v>
      </c>
      <c r="C236" s="1" t="s">
        <v>26</v>
      </c>
      <c r="D236" s="1" t="s">
        <v>27</v>
      </c>
      <c r="E236" s="1" t="s">
        <v>657</v>
      </c>
      <c r="F236" s="1" t="s">
        <v>658</v>
      </c>
      <c r="G236" s="1" t="s">
        <v>23</v>
      </c>
      <c r="I236" s="16">
        <v>40590.30605324074</v>
      </c>
      <c r="J236" s="1" t="s">
        <v>44</v>
      </c>
      <c r="K236" s="1" t="s">
        <v>18</v>
      </c>
      <c r="L236" s="1" t="s">
        <v>19</v>
      </c>
    </row>
    <row r="237" spans="1:16" ht="13" x14ac:dyDescent="0.15">
      <c r="A237" s="1">
        <v>130356</v>
      </c>
      <c r="B237" s="1">
        <v>0</v>
      </c>
      <c r="C237" s="1" t="s">
        <v>41</v>
      </c>
      <c r="D237" s="1" t="s">
        <v>27</v>
      </c>
      <c r="E237" s="1" t="s">
        <v>659</v>
      </c>
      <c r="F237" s="1" t="s">
        <v>660</v>
      </c>
      <c r="G237" s="1" t="s">
        <v>23</v>
      </c>
      <c r="I237" s="16">
        <v>41059.81931712963</v>
      </c>
      <c r="J237" s="1" t="s">
        <v>44</v>
      </c>
      <c r="K237" s="1" t="s">
        <v>18</v>
      </c>
      <c r="L237" s="1" t="s">
        <v>19</v>
      </c>
    </row>
    <row r="238" spans="1:16" ht="13" x14ac:dyDescent="0.15">
      <c r="A238" s="1">
        <v>77690</v>
      </c>
      <c r="B238" s="1">
        <v>0</v>
      </c>
      <c r="C238" s="1" t="s">
        <v>26</v>
      </c>
      <c r="D238" s="1" t="s">
        <v>27</v>
      </c>
      <c r="E238" s="1" t="s">
        <v>661</v>
      </c>
      <c r="F238" s="1" t="s">
        <v>662</v>
      </c>
      <c r="G238" s="1" t="s">
        <v>23</v>
      </c>
      <c r="I238" s="16">
        <v>40630.922881944447</v>
      </c>
      <c r="J238" s="1" t="s">
        <v>40</v>
      </c>
      <c r="K238" s="1" t="s">
        <v>18</v>
      </c>
      <c r="L238" s="1" t="s">
        <v>19</v>
      </c>
    </row>
    <row r="239" spans="1:16" ht="13" x14ac:dyDescent="0.15">
      <c r="A239" s="1">
        <v>279286</v>
      </c>
      <c r="B239" s="1">
        <v>0</v>
      </c>
      <c r="C239" s="1" t="s">
        <v>663</v>
      </c>
      <c r="D239" s="1" t="s">
        <v>27</v>
      </c>
      <c r="E239" s="1" t="s">
        <v>664</v>
      </c>
      <c r="F239" s="1" t="s">
        <v>235</v>
      </c>
      <c r="G239" s="1" t="s">
        <v>23</v>
      </c>
      <c r="I239" s="16">
        <v>41512.680185185185</v>
      </c>
      <c r="J239" s="1" t="s">
        <v>17</v>
      </c>
      <c r="K239" s="1" t="s">
        <v>18</v>
      </c>
      <c r="L239" s="1" t="s">
        <v>19</v>
      </c>
    </row>
    <row r="240" spans="1:16" ht="13" x14ac:dyDescent="0.15">
      <c r="A240" s="1">
        <v>551028</v>
      </c>
      <c r="B240" s="1">
        <v>0</v>
      </c>
      <c r="C240" s="1" t="s">
        <v>665</v>
      </c>
      <c r="D240" s="1" t="s">
        <v>27</v>
      </c>
      <c r="E240" s="1" t="s">
        <v>666</v>
      </c>
      <c r="F240" s="1" t="s">
        <v>667</v>
      </c>
      <c r="G240" s="1" t="s">
        <v>668</v>
      </c>
      <c r="I240" s="16">
        <v>42311.770520833335</v>
      </c>
      <c r="J240" s="1" t="s">
        <v>669</v>
      </c>
      <c r="K240" s="1" t="s">
        <v>18</v>
      </c>
      <c r="L240" s="1" t="s">
        <v>19</v>
      </c>
    </row>
    <row r="241" spans="1:32" ht="13" x14ac:dyDescent="0.15">
      <c r="A241" s="1">
        <v>337746</v>
      </c>
      <c r="B241" s="1">
        <v>5</v>
      </c>
      <c r="C241" s="1" t="s">
        <v>670</v>
      </c>
      <c r="D241" s="1" t="s">
        <v>27</v>
      </c>
      <c r="E241" s="1" t="s">
        <v>671</v>
      </c>
      <c r="F241" s="1" t="s">
        <v>672</v>
      </c>
      <c r="G241" s="1" t="s">
        <v>23</v>
      </c>
      <c r="I241" s="16">
        <v>41663.241944444446</v>
      </c>
      <c r="J241" s="1" t="s">
        <v>673</v>
      </c>
      <c r="K241" s="1" t="s">
        <v>18</v>
      </c>
      <c r="L241" s="1" t="s">
        <v>19</v>
      </c>
      <c r="M241" s="1">
        <v>351536</v>
      </c>
      <c r="N241" s="1" t="s">
        <v>674</v>
      </c>
      <c r="O241" s="16">
        <v>41709.964629629627</v>
      </c>
      <c r="P241" s="1" t="s">
        <v>675</v>
      </c>
      <c r="Q241" s="1">
        <v>265346</v>
      </c>
      <c r="R241" s="1" t="s">
        <v>674</v>
      </c>
      <c r="S241" s="2">
        <v>41484.314988425926</v>
      </c>
      <c r="T241" s="1" t="s">
        <v>676</v>
      </c>
      <c r="U241" s="1">
        <v>86484</v>
      </c>
      <c r="V241" s="1" t="s">
        <v>677</v>
      </c>
      <c r="W241" s="2">
        <v>40711.527199074073</v>
      </c>
      <c r="X241" s="1" t="s">
        <v>678</v>
      </c>
      <c r="Y241" s="1">
        <v>170348</v>
      </c>
      <c r="Z241" s="1" t="s">
        <v>679</v>
      </c>
      <c r="AA241" s="2">
        <v>41290.574872685182</v>
      </c>
      <c r="AB241" s="1" t="s">
        <v>680</v>
      </c>
      <c r="AC241" s="1">
        <v>166274</v>
      </c>
      <c r="AD241" s="1" t="s">
        <v>679</v>
      </c>
      <c r="AE241" s="2">
        <v>41257.997916666667</v>
      </c>
      <c r="AF241" s="1" t="s">
        <v>681</v>
      </c>
    </row>
    <row r="242" spans="1:32" ht="13" x14ac:dyDescent="0.15">
      <c r="A242" s="1">
        <v>72437</v>
      </c>
      <c r="B242" s="1">
        <v>1</v>
      </c>
      <c r="C242" s="1" t="s">
        <v>682</v>
      </c>
      <c r="D242" s="1" t="s">
        <v>27</v>
      </c>
      <c r="E242" s="1" t="s">
        <v>683</v>
      </c>
      <c r="F242" s="1" t="s">
        <v>684</v>
      </c>
      <c r="I242" s="16">
        <v>40583.656747685185</v>
      </c>
      <c r="J242" s="1" t="s">
        <v>76</v>
      </c>
      <c r="K242" s="1" t="s">
        <v>18</v>
      </c>
      <c r="L242" s="1" t="s">
        <v>19</v>
      </c>
      <c r="M242" s="1">
        <v>72361</v>
      </c>
      <c r="N242" s="1" t="s">
        <v>685</v>
      </c>
      <c r="O242" s="16">
        <v>40582.976284722223</v>
      </c>
      <c r="P242" s="1" t="s">
        <v>686</v>
      </c>
    </row>
    <row r="243" spans="1:32" ht="13" x14ac:dyDescent="0.15">
      <c r="A243" s="1">
        <v>239134</v>
      </c>
      <c r="B243" s="1">
        <v>0</v>
      </c>
      <c r="C243" s="1" t="s">
        <v>12</v>
      </c>
      <c r="D243" s="1" t="s">
        <v>27</v>
      </c>
      <c r="E243" s="1" t="s">
        <v>687</v>
      </c>
      <c r="F243" s="1" t="s">
        <v>688</v>
      </c>
      <c r="G243" s="1" t="s">
        <v>23</v>
      </c>
      <c r="I243" s="16">
        <v>41402.787812499999</v>
      </c>
      <c r="J243" s="1" t="s">
        <v>151</v>
      </c>
      <c r="K243" s="1" t="s">
        <v>18</v>
      </c>
      <c r="L243" s="1" t="s">
        <v>19</v>
      </c>
    </row>
    <row r="244" spans="1:32" ht="13" x14ac:dyDescent="0.15">
      <c r="A244" s="1">
        <v>334314</v>
      </c>
      <c r="B244" s="1">
        <v>0</v>
      </c>
      <c r="C244" s="1" t="s">
        <v>689</v>
      </c>
      <c r="D244" s="1" t="s">
        <v>27</v>
      </c>
      <c r="E244" s="1" t="s">
        <v>690</v>
      </c>
      <c r="F244" s="1" t="s">
        <v>691</v>
      </c>
      <c r="G244" s="1" t="s">
        <v>23</v>
      </c>
      <c r="I244" s="16">
        <v>41653.745057870372</v>
      </c>
      <c r="J244" s="1" t="s">
        <v>692</v>
      </c>
      <c r="K244" s="1" t="s">
        <v>18</v>
      </c>
      <c r="L244" s="1" t="s">
        <v>19</v>
      </c>
    </row>
    <row r="245" spans="1:32" ht="13" x14ac:dyDescent="0.15">
      <c r="A245" s="1">
        <v>139961</v>
      </c>
      <c r="B245" s="1">
        <v>0</v>
      </c>
      <c r="C245" s="1" t="s">
        <v>41</v>
      </c>
      <c r="D245" s="1" t="s">
        <v>27</v>
      </c>
      <c r="E245" s="1" t="s">
        <v>693</v>
      </c>
      <c r="F245" s="1" t="s">
        <v>694</v>
      </c>
      <c r="G245" s="1" t="s">
        <v>23</v>
      </c>
      <c r="I245" s="16">
        <v>41122.234953703701</v>
      </c>
      <c r="J245" s="1" t="s">
        <v>40</v>
      </c>
      <c r="K245" s="1" t="s">
        <v>18</v>
      </c>
      <c r="L245" s="1" t="s">
        <v>19</v>
      </c>
    </row>
    <row r="246" spans="1:32" ht="13" x14ac:dyDescent="0.15">
      <c r="A246" s="1">
        <v>457278</v>
      </c>
      <c r="B246" s="1">
        <v>0</v>
      </c>
      <c r="C246" s="1" t="s">
        <v>137</v>
      </c>
      <c r="D246" s="1" t="s">
        <v>27</v>
      </c>
      <c r="E246" s="1" t="s">
        <v>695</v>
      </c>
      <c r="F246" s="1" t="s">
        <v>696</v>
      </c>
      <c r="I246" s="16">
        <v>42045.688888888886</v>
      </c>
      <c r="J246" s="1" t="s">
        <v>656</v>
      </c>
      <c r="K246" s="1" t="s">
        <v>18</v>
      </c>
      <c r="L246" s="1" t="s">
        <v>19</v>
      </c>
    </row>
    <row r="247" spans="1:32" ht="13" x14ac:dyDescent="0.15">
      <c r="A247" s="1">
        <v>668830</v>
      </c>
      <c r="B247" s="1">
        <v>0</v>
      </c>
      <c r="C247" s="1" t="s">
        <v>137</v>
      </c>
      <c r="D247" s="1" t="s">
        <v>27</v>
      </c>
      <c r="E247" s="1" t="s">
        <v>697</v>
      </c>
      <c r="F247" s="1" t="s">
        <v>698</v>
      </c>
      <c r="G247" s="1" t="s">
        <v>159</v>
      </c>
      <c r="I247" s="16">
        <v>42700.835798611108</v>
      </c>
      <c r="J247" s="1" t="s">
        <v>699</v>
      </c>
      <c r="K247" s="1" t="s">
        <v>18</v>
      </c>
      <c r="L247" s="1" t="s">
        <v>19</v>
      </c>
    </row>
    <row r="248" spans="1:32" ht="13" x14ac:dyDescent="0.15">
      <c r="A248" s="1">
        <v>64108</v>
      </c>
      <c r="B248" s="1">
        <v>0</v>
      </c>
      <c r="C248" s="1" t="s">
        <v>170</v>
      </c>
      <c r="D248" s="1" t="s">
        <v>27</v>
      </c>
      <c r="E248" s="1" t="s">
        <v>700</v>
      </c>
      <c r="F248" s="1" t="s">
        <v>701</v>
      </c>
      <c r="G248" s="1" t="s">
        <v>23</v>
      </c>
      <c r="I248" s="16">
        <v>40504.852534722224</v>
      </c>
      <c r="J248" s="1" t="s">
        <v>702</v>
      </c>
      <c r="K248" s="1" t="s">
        <v>18</v>
      </c>
      <c r="L248" s="1" t="s">
        <v>19</v>
      </c>
    </row>
    <row r="249" spans="1:32" ht="13" x14ac:dyDescent="0.15">
      <c r="A249" s="1">
        <v>165432</v>
      </c>
      <c r="B249" s="1">
        <v>0</v>
      </c>
      <c r="C249" s="1" t="s">
        <v>26</v>
      </c>
      <c r="D249" s="1" t="s">
        <v>27</v>
      </c>
      <c r="E249" s="1" t="s">
        <v>703</v>
      </c>
      <c r="F249" s="1" t="s">
        <v>704</v>
      </c>
      <c r="G249" s="1" t="s">
        <v>23</v>
      </c>
      <c r="I249" s="16">
        <v>41254.510648148149</v>
      </c>
      <c r="J249" s="1" t="s">
        <v>705</v>
      </c>
      <c r="K249" s="1" t="s">
        <v>18</v>
      </c>
      <c r="L249" s="1" t="s">
        <v>19</v>
      </c>
    </row>
    <row r="250" spans="1:32" ht="13" x14ac:dyDescent="0.15">
      <c r="A250" s="1">
        <v>153566</v>
      </c>
      <c r="B250" s="1">
        <v>0</v>
      </c>
      <c r="C250" s="1" t="s">
        <v>26</v>
      </c>
      <c r="D250" s="1" t="s">
        <v>27</v>
      </c>
      <c r="E250" s="1" t="s">
        <v>706</v>
      </c>
      <c r="F250" s="1" t="s">
        <v>707</v>
      </c>
      <c r="G250" s="1" t="s">
        <v>23</v>
      </c>
      <c r="I250" s="16">
        <v>41184.683587962965</v>
      </c>
      <c r="J250" s="1" t="s">
        <v>40</v>
      </c>
      <c r="K250" s="1" t="s">
        <v>18</v>
      </c>
      <c r="L250" s="1" t="s">
        <v>19</v>
      </c>
    </row>
    <row r="251" spans="1:32" ht="13" x14ac:dyDescent="0.15">
      <c r="A251" s="1">
        <v>537666</v>
      </c>
      <c r="B251" s="1">
        <v>0</v>
      </c>
      <c r="C251" s="1" t="s">
        <v>305</v>
      </c>
      <c r="D251" s="1" t="s">
        <v>27</v>
      </c>
      <c r="E251" s="1" t="s">
        <v>708</v>
      </c>
      <c r="F251" s="1" t="s">
        <v>709</v>
      </c>
      <c r="G251" s="1" t="s">
        <v>23</v>
      </c>
      <c r="I251" s="16">
        <v>42277.72729166667</v>
      </c>
      <c r="J251" s="1" t="s">
        <v>24</v>
      </c>
      <c r="K251" s="1" t="s">
        <v>18</v>
      </c>
      <c r="L251" s="1" t="s">
        <v>19</v>
      </c>
    </row>
    <row r="252" spans="1:32" ht="13" x14ac:dyDescent="0.15">
      <c r="A252" s="1">
        <v>537660</v>
      </c>
      <c r="B252" s="1">
        <v>0</v>
      </c>
      <c r="C252" s="1" t="s">
        <v>710</v>
      </c>
      <c r="D252" s="1" t="s">
        <v>27</v>
      </c>
      <c r="E252" s="1" t="s">
        <v>711</v>
      </c>
      <c r="F252" s="1" t="s">
        <v>712</v>
      </c>
      <c r="G252" s="1" t="s">
        <v>23</v>
      </c>
      <c r="I252" s="16">
        <v>42277.71429398148</v>
      </c>
      <c r="J252" s="1" t="s">
        <v>24</v>
      </c>
      <c r="K252" s="1" t="s">
        <v>18</v>
      </c>
      <c r="L252" s="1" t="s">
        <v>19</v>
      </c>
    </row>
    <row r="253" spans="1:32" ht="13" x14ac:dyDescent="0.15">
      <c r="A253" s="1">
        <v>77703</v>
      </c>
      <c r="B253" s="1">
        <v>0</v>
      </c>
      <c r="C253" s="1" t="s">
        <v>26</v>
      </c>
      <c r="D253" s="1" t="s">
        <v>27</v>
      </c>
      <c r="E253" s="1" t="s">
        <v>713</v>
      </c>
      <c r="F253" s="1" t="s">
        <v>714</v>
      </c>
      <c r="G253" s="1" t="s">
        <v>23</v>
      </c>
      <c r="I253" s="16">
        <v>40630.977476851855</v>
      </c>
      <c r="J253" s="1" t="s">
        <v>40</v>
      </c>
      <c r="K253" s="1" t="s">
        <v>18</v>
      </c>
      <c r="L253" s="1" t="s">
        <v>19</v>
      </c>
    </row>
    <row r="254" spans="1:32" ht="13" x14ac:dyDescent="0.15">
      <c r="A254" s="1">
        <v>668970</v>
      </c>
      <c r="B254" s="1">
        <v>0</v>
      </c>
      <c r="C254" s="1" t="s">
        <v>715</v>
      </c>
      <c r="D254" s="1" t="s">
        <v>27</v>
      </c>
      <c r="E254" s="1" t="s">
        <v>716</v>
      </c>
      <c r="F254" s="1" t="s">
        <v>717</v>
      </c>
      <c r="G254" s="1" t="s">
        <v>23</v>
      </c>
      <c r="I254" s="16">
        <v>42702.38621527778</v>
      </c>
      <c r="J254" s="1" t="s">
        <v>718</v>
      </c>
      <c r="K254" s="1" t="s">
        <v>18</v>
      </c>
      <c r="L254" s="1" t="s">
        <v>19</v>
      </c>
    </row>
    <row r="255" spans="1:32" ht="13" x14ac:dyDescent="0.15">
      <c r="A255" s="1">
        <v>63031</v>
      </c>
      <c r="B255" s="1">
        <v>0</v>
      </c>
      <c r="C255" s="1" t="s">
        <v>26</v>
      </c>
      <c r="D255" s="1" t="s">
        <v>27</v>
      </c>
      <c r="E255" s="1" t="s">
        <v>719</v>
      </c>
      <c r="F255" s="1" t="s">
        <v>720</v>
      </c>
      <c r="G255" s="1" t="s">
        <v>23</v>
      </c>
      <c r="I255" s="16">
        <v>40495.00409722222</v>
      </c>
      <c r="J255" s="1" t="s">
        <v>40</v>
      </c>
      <c r="K255" s="1" t="s">
        <v>18</v>
      </c>
      <c r="L255" s="1" t="s">
        <v>19</v>
      </c>
    </row>
    <row r="256" spans="1:32" ht="13" x14ac:dyDescent="0.15">
      <c r="A256" s="1">
        <v>383777</v>
      </c>
      <c r="B256" s="1">
        <v>3</v>
      </c>
      <c r="C256" s="1" t="s">
        <v>721</v>
      </c>
      <c r="D256" s="1" t="s">
        <v>27</v>
      </c>
      <c r="E256" s="1" t="s">
        <v>722</v>
      </c>
      <c r="F256" s="1" t="s">
        <v>723</v>
      </c>
      <c r="G256" s="1" t="s">
        <v>23</v>
      </c>
      <c r="I256" s="16">
        <v>41802.406331018516</v>
      </c>
      <c r="J256" s="1" t="s">
        <v>724</v>
      </c>
      <c r="K256" s="1" t="s">
        <v>18</v>
      </c>
      <c r="L256" s="1" t="s">
        <v>19</v>
      </c>
      <c r="M256" s="1">
        <v>447572</v>
      </c>
      <c r="N256" s="1" t="s">
        <v>725</v>
      </c>
      <c r="O256" s="16">
        <v>42013.552743055552</v>
      </c>
      <c r="P256" s="1" t="s">
        <v>408</v>
      </c>
      <c r="Q256" s="1">
        <v>446517</v>
      </c>
      <c r="R256" s="1" t="s">
        <v>725</v>
      </c>
      <c r="S256" s="4">
        <v>42010.705578703702</v>
      </c>
      <c r="T256" s="1" t="s">
        <v>726</v>
      </c>
      <c r="U256" s="1">
        <v>406870</v>
      </c>
      <c r="V256" s="1" t="s">
        <v>725</v>
      </c>
      <c r="W256" s="2">
        <v>41874.904675925929</v>
      </c>
      <c r="X256" s="1" t="s">
        <v>17</v>
      </c>
    </row>
    <row r="257" spans="1:12" ht="13" x14ac:dyDescent="0.15">
      <c r="A257" s="1">
        <v>343265</v>
      </c>
      <c r="B257" s="1">
        <v>0</v>
      </c>
      <c r="C257" s="1" t="s">
        <v>727</v>
      </c>
      <c r="D257" s="1" t="s">
        <v>27</v>
      </c>
      <c r="E257" s="1" t="s">
        <v>728</v>
      </c>
      <c r="F257" s="1" t="s">
        <v>729</v>
      </c>
      <c r="G257" s="1" t="s">
        <v>23</v>
      </c>
      <c r="I257" s="16">
        <v>41682.911446759259</v>
      </c>
      <c r="J257" s="1" t="s">
        <v>17</v>
      </c>
      <c r="K257" s="1" t="s">
        <v>18</v>
      </c>
      <c r="L257" s="1" t="s">
        <v>19</v>
      </c>
    </row>
    <row r="258" spans="1:12" ht="13" x14ac:dyDescent="0.15">
      <c r="A258" s="1">
        <v>509670</v>
      </c>
      <c r="B258" s="1">
        <v>0</v>
      </c>
      <c r="C258" s="1" t="s">
        <v>730</v>
      </c>
      <c r="D258" s="1" t="s">
        <v>27</v>
      </c>
      <c r="E258" s="1" t="s">
        <v>731</v>
      </c>
      <c r="F258" s="1" t="s">
        <v>732</v>
      </c>
      <c r="G258" s="1" t="s">
        <v>23</v>
      </c>
      <c r="I258" s="16">
        <v>42198.565462962964</v>
      </c>
      <c r="J258" s="1" t="s">
        <v>733</v>
      </c>
      <c r="K258" s="1" t="s">
        <v>18</v>
      </c>
      <c r="L258" s="1" t="s">
        <v>19</v>
      </c>
    </row>
    <row r="259" spans="1:12" ht="13" x14ac:dyDescent="0.15">
      <c r="A259" s="1">
        <v>610600</v>
      </c>
      <c r="B259" s="1">
        <v>0</v>
      </c>
      <c r="C259" s="1" t="s">
        <v>137</v>
      </c>
      <c r="D259" s="1" t="s">
        <v>27</v>
      </c>
      <c r="E259" s="1" t="s">
        <v>734</v>
      </c>
      <c r="F259" s="1" t="s">
        <v>735</v>
      </c>
      <c r="G259" s="1" t="s">
        <v>540</v>
      </c>
      <c r="I259" s="16">
        <v>42500.27611111111</v>
      </c>
      <c r="J259" s="1" t="s">
        <v>736</v>
      </c>
      <c r="K259" s="1" t="s">
        <v>18</v>
      </c>
      <c r="L259" s="1" t="s">
        <v>19</v>
      </c>
    </row>
    <row r="260" spans="1:12" ht="13" x14ac:dyDescent="0.15">
      <c r="A260" s="1">
        <v>134088</v>
      </c>
      <c r="B260" s="1">
        <v>0</v>
      </c>
      <c r="C260" s="1" t="s">
        <v>26</v>
      </c>
      <c r="D260" s="1" t="s">
        <v>27</v>
      </c>
      <c r="E260" s="1" t="s">
        <v>737</v>
      </c>
      <c r="F260" s="1" t="s">
        <v>738</v>
      </c>
      <c r="G260" s="1" t="s">
        <v>23</v>
      </c>
      <c r="I260" s="16">
        <v>41082.125416666669</v>
      </c>
      <c r="J260" s="1" t="s">
        <v>739</v>
      </c>
      <c r="K260" s="1" t="s">
        <v>18</v>
      </c>
      <c r="L260" s="1" t="s">
        <v>19</v>
      </c>
    </row>
    <row r="261" spans="1:12" ht="13" x14ac:dyDescent="0.15">
      <c r="A261" s="1">
        <v>71296</v>
      </c>
      <c r="B261" s="1">
        <v>0</v>
      </c>
      <c r="C261" s="1" t="s">
        <v>26</v>
      </c>
      <c r="D261" s="1" t="s">
        <v>27</v>
      </c>
      <c r="E261" s="1" t="s">
        <v>740</v>
      </c>
      <c r="F261" s="1" t="s">
        <v>430</v>
      </c>
      <c r="G261" s="1" t="s">
        <v>23</v>
      </c>
      <c r="I261" s="16">
        <v>40572.99796296296</v>
      </c>
      <c r="J261" s="1" t="s">
        <v>44</v>
      </c>
      <c r="K261" s="1" t="s">
        <v>18</v>
      </c>
      <c r="L261" s="1" t="s">
        <v>19</v>
      </c>
    </row>
    <row r="262" spans="1:12" ht="13" x14ac:dyDescent="0.15">
      <c r="A262" s="1">
        <v>619380</v>
      </c>
      <c r="B262" s="1">
        <v>0</v>
      </c>
      <c r="C262" s="1" t="s">
        <v>268</v>
      </c>
      <c r="D262" s="1" t="s">
        <v>27</v>
      </c>
      <c r="E262" s="1" t="s">
        <v>741</v>
      </c>
      <c r="F262" s="1" t="s">
        <v>742</v>
      </c>
      <c r="G262" s="1" t="s">
        <v>16</v>
      </c>
      <c r="I262" s="16">
        <v>42533.175462962965</v>
      </c>
      <c r="J262" s="1" t="s">
        <v>17</v>
      </c>
      <c r="K262" s="1" t="s">
        <v>18</v>
      </c>
      <c r="L262" s="1" t="s">
        <v>19</v>
      </c>
    </row>
    <row r="263" spans="1:12" ht="13" x14ac:dyDescent="0.15">
      <c r="A263" s="1">
        <v>88730</v>
      </c>
      <c r="B263" s="1">
        <v>0</v>
      </c>
      <c r="C263" s="1" t="s">
        <v>26</v>
      </c>
      <c r="D263" s="1" t="s">
        <v>27</v>
      </c>
      <c r="E263" s="1" t="s">
        <v>743</v>
      </c>
      <c r="F263" s="1" t="s">
        <v>744</v>
      </c>
      <c r="G263" s="1" t="s">
        <v>23</v>
      </c>
      <c r="I263" s="16">
        <v>40732.223715277774</v>
      </c>
      <c r="J263" s="1" t="s">
        <v>40</v>
      </c>
      <c r="K263" s="1" t="s">
        <v>18</v>
      </c>
      <c r="L263" s="1" t="s">
        <v>19</v>
      </c>
    </row>
    <row r="264" spans="1:12" ht="13" x14ac:dyDescent="0.15">
      <c r="A264" s="1">
        <v>264574</v>
      </c>
      <c r="B264" s="1">
        <v>0</v>
      </c>
      <c r="C264" s="1" t="s">
        <v>31</v>
      </c>
      <c r="D264" s="1" t="s">
        <v>27</v>
      </c>
      <c r="E264" s="1" t="s">
        <v>745</v>
      </c>
      <c r="F264" s="1" t="s">
        <v>746</v>
      </c>
      <c r="G264" s="1" t="s">
        <v>23</v>
      </c>
      <c r="I264" s="16">
        <v>41481.218773148146</v>
      </c>
      <c r="J264" s="1" t="s">
        <v>17</v>
      </c>
      <c r="K264" s="1" t="s">
        <v>18</v>
      </c>
      <c r="L264" s="1" t="s">
        <v>19</v>
      </c>
    </row>
    <row r="265" spans="1:12" ht="13" x14ac:dyDescent="0.15">
      <c r="A265" s="1">
        <v>425151</v>
      </c>
      <c r="B265" s="1">
        <v>0</v>
      </c>
      <c r="C265" s="1" t="s">
        <v>12</v>
      </c>
      <c r="D265" s="1" t="s">
        <v>27</v>
      </c>
      <c r="E265" s="1" t="s">
        <v>747</v>
      </c>
      <c r="F265" s="1" t="s">
        <v>748</v>
      </c>
      <c r="G265" s="1" t="s">
        <v>23</v>
      </c>
      <c r="I265" s="16">
        <v>41932.692800925928</v>
      </c>
      <c r="J265" s="1" t="s">
        <v>17</v>
      </c>
      <c r="K265" s="1" t="s">
        <v>18</v>
      </c>
      <c r="L265" s="1" t="s">
        <v>19</v>
      </c>
    </row>
    <row r="266" spans="1:12" ht="13" x14ac:dyDescent="0.15">
      <c r="A266" s="1">
        <v>425152</v>
      </c>
      <c r="B266" s="1">
        <v>0</v>
      </c>
      <c r="C266" s="1" t="s">
        <v>12</v>
      </c>
      <c r="D266" s="1" t="s">
        <v>27</v>
      </c>
      <c r="E266" s="1" t="s">
        <v>749</v>
      </c>
      <c r="F266" s="1" t="s">
        <v>750</v>
      </c>
      <c r="G266" s="1" t="s">
        <v>23</v>
      </c>
      <c r="I266" s="16">
        <v>41932.692835648151</v>
      </c>
      <c r="J266" s="1" t="s">
        <v>17</v>
      </c>
      <c r="K266" s="1" t="s">
        <v>18</v>
      </c>
      <c r="L266" s="1" t="s">
        <v>19</v>
      </c>
    </row>
    <row r="267" spans="1:12" ht="13" x14ac:dyDescent="0.15">
      <c r="A267" s="1">
        <v>534923</v>
      </c>
      <c r="B267" s="1">
        <v>0</v>
      </c>
      <c r="C267" s="1" t="s">
        <v>751</v>
      </c>
      <c r="D267" s="1" t="s">
        <v>27</v>
      </c>
      <c r="E267" s="1" t="s">
        <v>752</v>
      </c>
      <c r="F267" s="1" t="s">
        <v>753</v>
      </c>
      <c r="G267" s="1" t="s">
        <v>23</v>
      </c>
      <c r="I267" s="16">
        <v>42269.789733796293</v>
      </c>
      <c r="J267" s="1" t="s">
        <v>247</v>
      </c>
      <c r="K267" s="1" t="s">
        <v>18</v>
      </c>
      <c r="L267" s="1" t="s">
        <v>19</v>
      </c>
    </row>
    <row r="268" spans="1:12" ht="13" x14ac:dyDescent="0.15">
      <c r="A268" s="1">
        <v>106672</v>
      </c>
      <c r="B268" s="1">
        <v>0</v>
      </c>
      <c r="C268" s="1" t="s">
        <v>26</v>
      </c>
      <c r="D268" s="1" t="s">
        <v>27</v>
      </c>
      <c r="E268" s="1" t="s">
        <v>754</v>
      </c>
      <c r="F268" s="1" t="s">
        <v>755</v>
      </c>
      <c r="G268" s="1" t="s">
        <v>23</v>
      </c>
      <c r="I268" s="16">
        <v>40884.2968287037</v>
      </c>
      <c r="J268" s="1" t="s">
        <v>339</v>
      </c>
      <c r="K268" s="1" t="s">
        <v>18</v>
      </c>
      <c r="L268" s="1" t="s">
        <v>19</v>
      </c>
    </row>
    <row r="269" spans="1:12" ht="13" x14ac:dyDescent="0.15">
      <c r="A269" s="1">
        <v>248950</v>
      </c>
      <c r="B269" s="1">
        <v>0</v>
      </c>
      <c r="C269" s="1" t="s">
        <v>522</v>
      </c>
      <c r="D269" s="1" t="s">
        <v>27</v>
      </c>
      <c r="E269" s="1" t="s">
        <v>756</v>
      </c>
      <c r="F269" s="1" t="s">
        <v>757</v>
      </c>
      <c r="G269" s="1" t="s">
        <v>159</v>
      </c>
      <c r="I269" s="16">
        <v>41437.622604166667</v>
      </c>
      <c r="J269" s="1" t="s">
        <v>758</v>
      </c>
      <c r="K269" s="1" t="s">
        <v>18</v>
      </c>
      <c r="L269" s="1" t="s">
        <v>19</v>
      </c>
    </row>
    <row r="270" spans="1:12" ht="13" x14ac:dyDescent="0.15">
      <c r="A270" s="1">
        <v>435514</v>
      </c>
      <c r="B270" s="1">
        <v>0</v>
      </c>
      <c r="C270" s="1" t="s">
        <v>759</v>
      </c>
      <c r="D270" s="1" t="s">
        <v>27</v>
      </c>
      <c r="E270" s="1" t="s">
        <v>760</v>
      </c>
      <c r="F270" s="1" t="s">
        <v>761</v>
      </c>
      <c r="G270" s="1" t="s">
        <v>23</v>
      </c>
      <c r="I270" s="16">
        <v>41964.45071759259</v>
      </c>
      <c r="J270" s="1" t="s">
        <v>17</v>
      </c>
      <c r="K270" s="1" t="s">
        <v>18</v>
      </c>
      <c r="L270" s="1" t="s">
        <v>19</v>
      </c>
    </row>
    <row r="271" spans="1:12" ht="13" x14ac:dyDescent="0.15">
      <c r="A271" s="1">
        <v>134123</v>
      </c>
      <c r="B271" s="1">
        <v>0</v>
      </c>
      <c r="C271" s="1" t="s">
        <v>26</v>
      </c>
      <c r="D271" s="1" t="s">
        <v>27</v>
      </c>
      <c r="E271" s="1" t="s">
        <v>762</v>
      </c>
      <c r="F271" s="1" t="s">
        <v>763</v>
      </c>
      <c r="G271" s="1" t="s">
        <v>23</v>
      </c>
      <c r="I271" s="16">
        <v>41082.608784722222</v>
      </c>
      <c r="J271" s="1" t="s">
        <v>40</v>
      </c>
      <c r="K271" s="1" t="s">
        <v>18</v>
      </c>
      <c r="L271" s="1" t="s">
        <v>19</v>
      </c>
    </row>
    <row r="272" spans="1:12" ht="13" x14ac:dyDescent="0.15">
      <c r="A272" s="1">
        <v>68120</v>
      </c>
      <c r="B272" s="1">
        <v>0</v>
      </c>
      <c r="C272" s="1" t="s">
        <v>133</v>
      </c>
      <c r="D272" s="1" t="s">
        <v>27</v>
      </c>
      <c r="E272" s="1" t="s">
        <v>764</v>
      </c>
      <c r="F272" s="1" t="s">
        <v>430</v>
      </c>
      <c r="G272" s="1" t="s">
        <v>23</v>
      </c>
      <c r="I272" s="16">
        <v>40539.942870370367</v>
      </c>
      <c r="J272" s="1" t="s">
        <v>44</v>
      </c>
      <c r="K272" s="1" t="s">
        <v>18</v>
      </c>
      <c r="L272" s="1" t="s">
        <v>19</v>
      </c>
    </row>
    <row r="273" spans="1:32" ht="13" x14ac:dyDescent="0.15">
      <c r="A273" s="1">
        <v>294206</v>
      </c>
      <c r="B273" s="1">
        <v>0</v>
      </c>
      <c r="C273" s="1" t="s">
        <v>765</v>
      </c>
      <c r="D273" s="1" t="s">
        <v>27</v>
      </c>
      <c r="E273" s="1" t="s">
        <v>766</v>
      </c>
      <c r="F273" s="1" t="s">
        <v>235</v>
      </c>
      <c r="G273" s="1" t="s">
        <v>23</v>
      </c>
      <c r="I273" s="16">
        <v>41535.663055555553</v>
      </c>
      <c r="J273" s="1" t="s">
        <v>17</v>
      </c>
      <c r="K273" s="1" t="s">
        <v>18</v>
      </c>
      <c r="L273" s="1" t="s">
        <v>19</v>
      </c>
    </row>
    <row r="274" spans="1:32" ht="13" x14ac:dyDescent="0.15">
      <c r="A274" s="1">
        <v>294202</v>
      </c>
      <c r="B274" s="1">
        <v>0</v>
      </c>
      <c r="C274" s="1" t="s">
        <v>31</v>
      </c>
      <c r="D274" s="1" t="s">
        <v>27</v>
      </c>
      <c r="E274" s="1" t="s">
        <v>767</v>
      </c>
      <c r="F274" s="1" t="s">
        <v>235</v>
      </c>
      <c r="G274" s="1" t="s">
        <v>23</v>
      </c>
      <c r="I274" s="16">
        <v>41535.652824074074</v>
      </c>
      <c r="J274" s="1" t="s">
        <v>17</v>
      </c>
      <c r="K274" s="1" t="s">
        <v>18</v>
      </c>
      <c r="L274" s="1" t="s">
        <v>19</v>
      </c>
    </row>
    <row r="275" spans="1:32" ht="13" x14ac:dyDescent="0.15">
      <c r="A275" s="1">
        <v>599627</v>
      </c>
      <c r="B275" s="1">
        <v>0</v>
      </c>
      <c r="C275" s="1" t="s">
        <v>268</v>
      </c>
      <c r="D275" s="1" t="s">
        <v>27</v>
      </c>
      <c r="E275" s="1" t="s">
        <v>768</v>
      </c>
      <c r="F275" s="1" t="s">
        <v>769</v>
      </c>
      <c r="G275" s="1" t="s">
        <v>16</v>
      </c>
      <c r="I275" s="16">
        <v>42460.865486111114</v>
      </c>
      <c r="J275" s="1" t="s">
        <v>17</v>
      </c>
      <c r="K275" s="1" t="s">
        <v>18</v>
      </c>
      <c r="L275" s="1" t="s">
        <v>19</v>
      </c>
    </row>
    <row r="276" spans="1:32" ht="13" x14ac:dyDescent="0.15">
      <c r="A276" s="1">
        <v>76001</v>
      </c>
      <c r="B276" s="1">
        <v>0</v>
      </c>
      <c r="C276" s="1" t="s">
        <v>26</v>
      </c>
      <c r="D276" s="1" t="s">
        <v>27</v>
      </c>
      <c r="E276" s="1" t="s">
        <v>770</v>
      </c>
      <c r="F276" s="1" t="s">
        <v>771</v>
      </c>
      <c r="G276" s="1" t="s">
        <v>23</v>
      </c>
      <c r="I276" s="16">
        <v>40615.903043981481</v>
      </c>
      <c r="J276" s="1" t="s">
        <v>92</v>
      </c>
      <c r="K276" s="1" t="s">
        <v>18</v>
      </c>
      <c r="L276" s="1" t="s">
        <v>19</v>
      </c>
    </row>
    <row r="277" spans="1:32" ht="13" x14ac:dyDescent="0.15">
      <c r="A277" s="1">
        <v>167924</v>
      </c>
      <c r="B277" s="1">
        <v>1</v>
      </c>
      <c r="C277" s="1" t="s">
        <v>527</v>
      </c>
      <c r="D277" s="1" t="s">
        <v>27</v>
      </c>
      <c r="E277" s="1" t="s">
        <v>512</v>
      </c>
      <c r="F277" s="1" t="s">
        <v>772</v>
      </c>
      <c r="G277" s="1" t="s">
        <v>23</v>
      </c>
      <c r="I277" s="16">
        <v>41275.115682870368</v>
      </c>
      <c r="J277" s="1" t="s">
        <v>40</v>
      </c>
      <c r="K277" s="1" t="s">
        <v>18</v>
      </c>
      <c r="L277" s="1" t="s">
        <v>19</v>
      </c>
      <c r="M277" s="1">
        <v>241123</v>
      </c>
      <c r="N277" s="1" t="s">
        <v>773</v>
      </c>
      <c r="O277" s="16">
        <v>41409.728090277778</v>
      </c>
      <c r="P277" s="1" t="s">
        <v>44</v>
      </c>
    </row>
    <row r="278" spans="1:32" ht="13" x14ac:dyDescent="0.15">
      <c r="A278" s="1">
        <v>114144</v>
      </c>
      <c r="B278" s="1">
        <v>5</v>
      </c>
      <c r="C278" s="1" t="s">
        <v>26</v>
      </c>
      <c r="D278" s="1" t="s">
        <v>27</v>
      </c>
      <c r="E278" s="1" t="s">
        <v>774</v>
      </c>
      <c r="F278" s="1" t="s">
        <v>775</v>
      </c>
      <c r="G278" s="1" t="s">
        <v>23</v>
      </c>
      <c r="I278" s="16">
        <v>40953.247870370367</v>
      </c>
      <c r="J278" s="1" t="s">
        <v>718</v>
      </c>
      <c r="K278" s="1" t="s">
        <v>18</v>
      </c>
      <c r="L278" s="1" t="s">
        <v>19</v>
      </c>
      <c r="M278" s="1">
        <v>115804</v>
      </c>
      <c r="N278" s="1" t="s">
        <v>776</v>
      </c>
      <c r="O278" s="16">
        <v>40965.257141203707</v>
      </c>
      <c r="P278" s="1" t="s">
        <v>777</v>
      </c>
      <c r="Q278" s="1">
        <v>113329</v>
      </c>
      <c r="R278" s="1" t="s">
        <v>776</v>
      </c>
      <c r="S278" s="4">
        <v>40948.108541666668</v>
      </c>
      <c r="T278" s="1" t="s">
        <v>778</v>
      </c>
      <c r="U278" s="1">
        <v>110110</v>
      </c>
      <c r="V278" s="1" t="s">
        <v>776</v>
      </c>
      <c r="W278" s="2">
        <v>40921.022430555553</v>
      </c>
      <c r="X278" s="1" t="s">
        <v>779</v>
      </c>
      <c r="Y278" s="1">
        <v>109839</v>
      </c>
      <c r="Z278" s="1" t="s">
        <v>780</v>
      </c>
      <c r="AA278" s="2">
        <v>40919.366805555554</v>
      </c>
      <c r="AB278" s="1" t="s">
        <v>781</v>
      </c>
      <c r="AC278" s="1">
        <v>109800</v>
      </c>
      <c r="AD278" s="1" t="s">
        <v>780</v>
      </c>
      <c r="AE278" s="2">
        <v>40918.959756944445</v>
      </c>
      <c r="AF278" s="1" t="s">
        <v>782</v>
      </c>
    </row>
    <row r="279" spans="1:32" ht="13" x14ac:dyDescent="0.15">
      <c r="A279" s="1">
        <v>30660</v>
      </c>
      <c r="B279" s="1">
        <v>0</v>
      </c>
      <c r="D279" s="1" t="s">
        <v>27</v>
      </c>
      <c r="E279" s="1" t="s">
        <v>783</v>
      </c>
      <c r="F279" s="1" t="s">
        <v>784</v>
      </c>
      <c r="G279" s="1" t="s">
        <v>23</v>
      </c>
      <c r="I279" s="16">
        <v>40164.303090277775</v>
      </c>
      <c r="J279" s="1" t="s">
        <v>785</v>
      </c>
      <c r="K279" s="1" t="s">
        <v>18</v>
      </c>
      <c r="L279" s="1" t="s">
        <v>19</v>
      </c>
    </row>
    <row r="280" spans="1:32" ht="13" x14ac:dyDescent="0.15">
      <c r="A280" s="1">
        <v>590118</v>
      </c>
      <c r="B280" s="1">
        <v>0</v>
      </c>
      <c r="C280" s="1" t="s">
        <v>305</v>
      </c>
      <c r="D280" s="1" t="s">
        <v>27</v>
      </c>
      <c r="E280" s="1" t="s">
        <v>786</v>
      </c>
      <c r="F280" s="1" t="s">
        <v>787</v>
      </c>
      <c r="G280" s="1" t="s">
        <v>23</v>
      </c>
      <c r="I280" s="16">
        <v>42426.237141203703</v>
      </c>
      <c r="J280" s="1" t="s">
        <v>247</v>
      </c>
      <c r="K280" s="1" t="s">
        <v>18</v>
      </c>
      <c r="L280" s="1" t="s">
        <v>19</v>
      </c>
    </row>
    <row r="281" spans="1:32" ht="13" x14ac:dyDescent="0.15">
      <c r="A281" s="1">
        <v>297478</v>
      </c>
      <c r="B281" s="1">
        <v>0</v>
      </c>
      <c r="C281" s="1" t="s">
        <v>369</v>
      </c>
      <c r="D281" s="1" t="s">
        <v>27</v>
      </c>
      <c r="E281" s="1" t="s">
        <v>788</v>
      </c>
      <c r="F281" s="1" t="s">
        <v>789</v>
      </c>
      <c r="I281" s="16">
        <v>41541.32712962963</v>
      </c>
      <c r="J281" s="1" t="s">
        <v>68</v>
      </c>
      <c r="K281" s="1" t="s">
        <v>18</v>
      </c>
      <c r="L281" s="1" t="s">
        <v>19</v>
      </c>
    </row>
    <row r="282" spans="1:32" ht="13" x14ac:dyDescent="0.15">
      <c r="A282" s="1">
        <v>429134</v>
      </c>
      <c r="B282" s="1">
        <v>0</v>
      </c>
      <c r="C282" s="1" t="s">
        <v>12</v>
      </c>
      <c r="D282" s="1" t="s">
        <v>27</v>
      </c>
      <c r="E282" s="1" t="s">
        <v>790</v>
      </c>
      <c r="F282" s="1" t="s">
        <v>761</v>
      </c>
      <c r="G282" s="1" t="s">
        <v>23</v>
      </c>
      <c r="I282" s="16">
        <v>41943.439606481479</v>
      </c>
      <c r="J282" s="1" t="s">
        <v>17</v>
      </c>
      <c r="K282" s="1" t="s">
        <v>18</v>
      </c>
      <c r="L282" s="1" t="s">
        <v>19</v>
      </c>
    </row>
    <row r="283" spans="1:32" ht="13" x14ac:dyDescent="0.15">
      <c r="A283" s="1">
        <v>429139</v>
      </c>
      <c r="B283" s="1">
        <v>0</v>
      </c>
      <c r="C283" s="1" t="s">
        <v>12</v>
      </c>
      <c r="D283" s="1" t="s">
        <v>27</v>
      </c>
      <c r="E283" s="1" t="s">
        <v>791</v>
      </c>
      <c r="F283" s="1" t="s">
        <v>792</v>
      </c>
      <c r="G283" s="1" t="s">
        <v>23</v>
      </c>
      <c r="I283" s="16">
        <v>41943.451643518521</v>
      </c>
      <c r="J283" s="1" t="s">
        <v>17</v>
      </c>
      <c r="K283" s="1" t="s">
        <v>18</v>
      </c>
      <c r="L283" s="1" t="s">
        <v>19</v>
      </c>
    </row>
    <row r="284" spans="1:32" ht="13" x14ac:dyDescent="0.15">
      <c r="A284" s="1">
        <v>606390</v>
      </c>
      <c r="B284" s="1">
        <v>0</v>
      </c>
      <c r="C284" s="1" t="s">
        <v>793</v>
      </c>
      <c r="D284" s="1" t="s">
        <v>27</v>
      </c>
      <c r="E284" s="1" t="s">
        <v>794</v>
      </c>
      <c r="F284" s="1" t="s">
        <v>795</v>
      </c>
      <c r="G284" s="1" t="s">
        <v>23</v>
      </c>
      <c r="I284" s="16">
        <v>42485.714270833334</v>
      </c>
      <c r="J284" s="1" t="s">
        <v>311</v>
      </c>
      <c r="K284" s="1" t="s">
        <v>18</v>
      </c>
      <c r="L284" s="1" t="s">
        <v>19</v>
      </c>
    </row>
    <row r="285" spans="1:32" ht="13" x14ac:dyDescent="0.15">
      <c r="A285" s="1">
        <v>67923</v>
      </c>
      <c r="B285" s="1">
        <v>0</v>
      </c>
      <c r="C285" s="1" t="s">
        <v>26</v>
      </c>
      <c r="D285" s="1" t="s">
        <v>27</v>
      </c>
      <c r="E285" s="1" t="s">
        <v>796</v>
      </c>
      <c r="F285" s="1" t="s">
        <v>797</v>
      </c>
      <c r="G285" s="1" t="s">
        <v>23</v>
      </c>
      <c r="I285" s="16">
        <v>40535.779756944445</v>
      </c>
      <c r="J285" s="1" t="s">
        <v>398</v>
      </c>
      <c r="K285" s="1" t="s">
        <v>18</v>
      </c>
      <c r="L285" s="1" t="s">
        <v>19</v>
      </c>
    </row>
    <row r="286" spans="1:32" ht="13" x14ac:dyDescent="0.15">
      <c r="A286" s="1">
        <v>486977</v>
      </c>
      <c r="B286" s="1">
        <v>0</v>
      </c>
      <c r="C286" s="1" t="s">
        <v>65</v>
      </c>
      <c r="D286" s="1" t="s">
        <v>27</v>
      </c>
      <c r="E286" s="1" t="s">
        <v>798</v>
      </c>
      <c r="F286" s="1" t="s">
        <v>799</v>
      </c>
      <c r="G286" s="1" t="s">
        <v>23</v>
      </c>
      <c r="I286" s="16">
        <v>42135.967592592591</v>
      </c>
      <c r="J286" s="1" t="s">
        <v>17</v>
      </c>
      <c r="K286" s="1" t="s">
        <v>18</v>
      </c>
      <c r="L286" s="1" t="s">
        <v>19</v>
      </c>
    </row>
    <row r="287" spans="1:32" ht="13" x14ac:dyDescent="0.15">
      <c r="A287" s="1">
        <v>49729</v>
      </c>
      <c r="B287" s="1">
        <v>0</v>
      </c>
      <c r="C287" s="1" t="s">
        <v>26</v>
      </c>
      <c r="D287" s="1" t="s">
        <v>27</v>
      </c>
      <c r="E287" s="1" t="s">
        <v>800</v>
      </c>
      <c r="F287" s="1" t="s">
        <v>801</v>
      </c>
      <c r="G287" s="1" t="s">
        <v>23</v>
      </c>
      <c r="I287" s="16">
        <v>40380.057500000003</v>
      </c>
      <c r="J287" s="1" t="s">
        <v>802</v>
      </c>
      <c r="K287" s="1" t="s">
        <v>18</v>
      </c>
      <c r="L287" s="1" t="s">
        <v>19</v>
      </c>
    </row>
    <row r="288" spans="1:32" ht="13" x14ac:dyDescent="0.15">
      <c r="A288" s="1">
        <v>416323</v>
      </c>
      <c r="B288" s="1">
        <v>0</v>
      </c>
      <c r="D288" s="1" t="s">
        <v>27</v>
      </c>
      <c r="E288" s="1" t="s">
        <v>803</v>
      </c>
      <c r="F288" s="1" t="s">
        <v>804</v>
      </c>
      <c r="G288" s="1" t="s">
        <v>23</v>
      </c>
      <c r="I288" s="16">
        <v>41904.204513888886</v>
      </c>
      <c r="J288" s="1" t="s">
        <v>17</v>
      </c>
      <c r="K288" s="1" t="s">
        <v>18</v>
      </c>
      <c r="L288" s="1" t="s">
        <v>19</v>
      </c>
    </row>
    <row r="289" spans="1:24" ht="13" x14ac:dyDescent="0.15">
      <c r="A289" s="1">
        <v>126337</v>
      </c>
      <c r="B289" s="1">
        <v>0</v>
      </c>
      <c r="D289" s="1" t="s">
        <v>27</v>
      </c>
      <c r="E289" s="1" t="s">
        <v>805</v>
      </c>
      <c r="F289" s="1" t="s">
        <v>806</v>
      </c>
      <c r="G289" s="1" t="s">
        <v>23</v>
      </c>
      <c r="I289" s="16">
        <v>41034.014791666668</v>
      </c>
      <c r="J289" s="1" t="s">
        <v>151</v>
      </c>
      <c r="K289" s="1" t="s">
        <v>18</v>
      </c>
      <c r="L289" s="1" t="s">
        <v>19</v>
      </c>
    </row>
    <row r="290" spans="1:24" ht="13" x14ac:dyDescent="0.15">
      <c r="A290" s="1">
        <v>428578</v>
      </c>
      <c r="B290" s="1">
        <v>0</v>
      </c>
      <c r="C290" s="1" t="s">
        <v>170</v>
      </c>
      <c r="D290" s="1" t="s">
        <v>27</v>
      </c>
      <c r="E290" s="1" t="s">
        <v>807</v>
      </c>
      <c r="F290" s="1" t="s">
        <v>808</v>
      </c>
      <c r="G290" s="1" t="s">
        <v>159</v>
      </c>
      <c r="I290" s="16">
        <v>41942.098692129628</v>
      </c>
      <c r="J290" s="1" t="s">
        <v>809</v>
      </c>
      <c r="K290" s="1" t="s">
        <v>18</v>
      </c>
      <c r="L290" s="1" t="s">
        <v>19</v>
      </c>
    </row>
    <row r="291" spans="1:24" ht="13" x14ac:dyDescent="0.15">
      <c r="A291" s="1">
        <v>262606</v>
      </c>
      <c r="B291" s="1">
        <v>0</v>
      </c>
      <c r="C291" s="1" t="s">
        <v>810</v>
      </c>
      <c r="D291" s="1" t="s">
        <v>27</v>
      </c>
      <c r="E291" s="1" t="s">
        <v>811</v>
      </c>
      <c r="F291" s="1" t="s">
        <v>812</v>
      </c>
      <c r="G291" s="1" t="s">
        <v>813</v>
      </c>
      <c r="I291" s="16">
        <v>41475.877997685187</v>
      </c>
      <c r="J291" s="1" t="s">
        <v>98</v>
      </c>
      <c r="K291" s="1" t="s">
        <v>18</v>
      </c>
      <c r="L291" s="1" t="s">
        <v>19</v>
      </c>
    </row>
    <row r="292" spans="1:24" ht="13" x14ac:dyDescent="0.15">
      <c r="A292" s="1">
        <v>113690</v>
      </c>
      <c r="B292" s="1">
        <v>0</v>
      </c>
      <c r="C292" s="1" t="s">
        <v>26</v>
      </c>
      <c r="D292" s="1" t="s">
        <v>27</v>
      </c>
      <c r="E292" s="1" t="s">
        <v>814</v>
      </c>
      <c r="F292" s="1" t="s">
        <v>815</v>
      </c>
      <c r="G292" s="1" t="s">
        <v>23</v>
      </c>
      <c r="I292" s="16">
        <v>40949.817384259259</v>
      </c>
      <c r="J292" s="1" t="s">
        <v>40</v>
      </c>
      <c r="K292" s="1" t="s">
        <v>18</v>
      </c>
      <c r="L292" s="1" t="s">
        <v>19</v>
      </c>
    </row>
    <row r="293" spans="1:24" ht="13" x14ac:dyDescent="0.15">
      <c r="A293" s="1">
        <v>437441</v>
      </c>
      <c r="B293" s="1">
        <v>0</v>
      </c>
      <c r="C293" s="1" t="s">
        <v>137</v>
      </c>
      <c r="D293" s="1" t="s">
        <v>27</v>
      </c>
      <c r="E293" s="1" t="s">
        <v>816</v>
      </c>
      <c r="F293" s="1" t="s">
        <v>817</v>
      </c>
      <c r="G293" s="1" t="s">
        <v>23</v>
      </c>
      <c r="I293" s="16">
        <v>41971.483703703707</v>
      </c>
      <c r="J293" s="1" t="s">
        <v>656</v>
      </c>
      <c r="K293" s="1" t="s">
        <v>18</v>
      </c>
      <c r="L293" s="1" t="s">
        <v>19</v>
      </c>
    </row>
    <row r="294" spans="1:24" ht="13" x14ac:dyDescent="0.15">
      <c r="A294" s="1">
        <v>259366</v>
      </c>
      <c r="B294" s="1">
        <v>0</v>
      </c>
      <c r="D294" s="1" t="s">
        <v>27</v>
      </c>
      <c r="E294" s="1" t="s">
        <v>818</v>
      </c>
      <c r="F294" s="1" t="s">
        <v>819</v>
      </c>
      <c r="G294" s="1" t="s">
        <v>23</v>
      </c>
      <c r="I294" s="16">
        <v>41466.624884259261</v>
      </c>
      <c r="J294" s="1" t="s">
        <v>820</v>
      </c>
      <c r="K294" s="1" t="s">
        <v>18</v>
      </c>
      <c r="L294" s="1" t="s">
        <v>19</v>
      </c>
    </row>
    <row r="295" spans="1:24" ht="13" x14ac:dyDescent="0.15">
      <c r="A295" s="1">
        <v>89580</v>
      </c>
      <c r="B295" s="1">
        <v>0</v>
      </c>
      <c r="C295" s="1" t="s">
        <v>26</v>
      </c>
      <c r="D295" s="1" t="s">
        <v>27</v>
      </c>
      <c r="E295" s="1" t="s">
        <v>821</v>
      </c>
      <c r="F295" s="1" t="s">
        <v>822</v>
      </c>
      <c r="G295" s="1" t="s">
        <v>23</v>
      </c>
      <c r="I295" s="16">
        <v>40742.341527777775</v>
      </c>
      <c r="J295" s="1" t="s">
        <v>40</v>
      </c>
      <c r="K295" s="1" t="s">
        <v>18</v>
      </c>
      <c r="L295" s="1" t="s">
        <v>19</v>
      </c>
    </row>
    <row r="296" spans="1:24" ht="13" x14ac:dyDescent="0.15">
      <c r="A296" s="1">
        <v>116405</v>
      </c>
      <c r="B296" s="1">
        <v>3</v>
      </c>
      <c r="C296" s="1" t="s">
        <v>26</v>
      </c>
      <c r="D296" s="1" t="s">
        <v>27</v>
      </c>
      <c r="E296" s="1" t="s">
        <v>823</v>
      </c>
      <c r="F296" s="1" t="s">
        <v>824</v>
      </c>
      <c r="G296" s="1" t="s">
        <v>23</v>
      </c>
      <c r="I296" s="16">
        <v>40969.758738425924</v>
      </c>
      <c r="J296" s="1" t="s">
        <v>40</v>
      </c>
      <c r="K296" s="1" t="s">
        <v>18</v>
      </c>
      <c r="L296" s="1" t="s">
        <v>19</v>
      </c>
      <c r="M296" s="1">
        <v>107489</v>
      </c>
      <c r="N296" s="1" t="s">
        <v>825</v>
      </c>
      <c r="O296" s="16">
        <v>40891.120625000003</v>
      </c>
      <c r="P296" s="1" t="s">
        <v>155</v>
      </c>
      <c r="Q296" s="1">
        <v>105458</v>
      </c>
      <c r="R296" s="1" t="s">
        <v>825</v>
      </c>
      <c r="S296" s="2">
        <v>40873.321840277778</v>
      </c>
      <c r="T296" s="1" t="s">
        <v>44</v>
      </c>
      <c r="U296" s="1">
        <v>112588</v>
      </c>
      <c r="V296" s="1" t="s">
        <v>826</v>
      </c>
      <c r="W296" s="4">
        <v>40942.47415509259</v>
      </c>
      <c r="X296" s="1" t="s">
        <v>148</v>
      </c>
    </row>
    <row r="297" spans="1:24" ht="13" x14ac:dyDescent="0.15">
      <c r="A297" s="1">
        <v>369808</v>
      </c>
      <c r="B297" s="1">
        <v>0</v>
      </c>
      <c r="C297" s="1" t="s">
        <v>65</v>
      </c>
      <c r="D297" s="1" t="s">
        <v>27</v>
      </c>
      <c r="E297" s="1" t="s">
        <v>827</v>
      </c>
      <c r="F297" s="1" t="s">
        <v>828</v>
      </c>
      <c r="G297" s="1" t="s">
        <v>23</v>
      </c>
      <c r="I297" s="16">
        <v>41762.663923611108</v>
      </c>
      <c r="J297" s="1" t="s">
        <v>17</v>
      </c>
      <c r="K297" s="1" t="s">
        <v>18</v>
      </c>
      <c r="L297" s="1" t="s">
        <v>19</v>
      </c>
    </row>
    <row r="298" spans="1:24" ht="13" x14ac:dyDescent="0.15">
      <c r="A298" s="1">
        <v>456532</v>
      </c>
      <c r="B298" s="1">
        <v>0</v>
      </c>
      <c r="C298" s="1" t="s">
        <v>829</v>
      </c>
      <c r="D298" s="1" t="s">
        <v>27</v>
      </c>
      <c r="E298" s="1" t="s">
        <v>830</v>
      </c>
      <c r="F298" s="1" t="s">
        <v>831</v>
      </c>
      <c r="G298" s="1" t="s">
        <v>23</v>
      </c>
      <c r="I298" s="16">
        <v>42043.095462962963</v>
      </c>
      <c r="J298" s="1" t="s">
        <v>17</v>
      </c>
      <c r="K298" s="1" t="s">
        <v>18</v>
      </c>
      <c r="L298" s="1" t="s">
        <v>19</v>
      </c>
    </row>
    <row r="299" spans="1:24" ht="13" x14ac:dyDescent="0.15">
      <c r="A299" s="1">
        <v>529012</v>
      </c>
      <c r="B299" s="1">
        <v>0</v>
      </c>
      <c r="C299" s="1" t="s">
        <v>12</v>
      </c>
      <c r="D299" s="1" t="s">
        <v>27</v>
      </c>
      <c r="E299" s="1" t="s">
        <v>832</v>
      </c>
      <c r="F299" s="1" t="s">
        <v>833</v>
      </c>
      <c r="G299" s="1" t="s">
        <v>16</v>
      </c>
      <c r="I299" s="16">
        <v>42254.619409722225</v>
      </c>
      <c r="J299" s="1" t="s">
        <v>17</v>
      </c>
      <c r="K299" s="1" t="s">
        <v>18</v>
      </c>
      <c r="L299" s="1" t="s">
        <v>19</v>
      </c>
    </row>
    <row r="300" spans="1:24" ht="13" x14ac:dyDescent="0.15">
      <c r="A300" s="1">
        <v>435383</v>
      </c>
      <c r="B300" s="1">
        <v>0</v>
      </c>
      <c r="C300" s="1" t="s">
        <v>137</v>
      </c>
      <c r="D300" s="1" t="s">
        <v>27</v>
      </c>
      <c r="E300" s="1" t="s">
        <v>834</v>
      </c>
      <c r="F300" s="1" t="s">
        <v>835</v>
      </c>
      <c r="G300" s="1" t="s">
        <v>23</v>
      </c>
      <c r="I300" s="16">
        <v>41964.017256944448</v>
      </c>
      <c r="J300" s="1" t="s">
        <v>836</v>
      </c>
      <c r="K300" s="1" t="s">
        <v>18</v>
      </c>
      <c r="L300" s="1" t="s">
        <v>19</v>
      </c>
    </row>
    <row r="301" spans="1:24" ht="13" x14ac:dyDescent="0.15">
      <c r="A301" s="1">
        <v>237263</v>
      </c>
      <c r="B301" s="1">
        <v>0</v>
      </c>
      <c r="D301" s="1" t="s">
        <v>27</v>
      </c>
      <c r="E301" s="1" t="s">
        <v>837</v>
      </c>
      <c r="F301" s="1" t="s">
        <v>838</v>
      </c>
      <c r="G301" s="1" t="s">
        <v>23</v>
      </c>
      <c r="I301" s="16">
        <v>41395.850624999999</v>
      </c>
      <c r="J301" s="1" t="s">
        <v>614</v>
      </c>
      <c r="K301" s="1" t="s">
        <v>18</v>
      </c>
      <c r="L301" s="1" t="s">
        <v>19</v>
      </c>
    </row>
    <row r="302" spans="1:24" ht="13" x14ac:dyDescent="0.15">
      <c r="A302" s="1">
        <v>344492</v>
      </c>
      <c r="B302" s="1">
        <v>0</v>
      </c>
      <c r="C302" s="1" t="s">
        <v>280</v>
      </c>
      <c r="D302" s="1" t="s">
        <v>27</v>
      </c>
      <c r="E302" s="1" t="s">
        <v>839</v>
      </c>
      <c r="F302" s="1" t="s">
        <v>840</v>
      </c>
      <c r="G302" s="1" t="s">
        <v>23</v>
      </c>
      <c r="I302" s="16">
        <v>41688.54965277778</v>
      </c>
      <c r="J302" s="1" t="s">
        <v>408</v>
      </c>
      <c r="K302" s="1" t="s">
        <v>18</v>
      </c>
      <c r="L302" s="1" t="s">
        <v>19</v>
      </c>
    </row>
    <row r="303" spans="1:24" ht="13" x14ac:dyDescent="0.15">
      <c r="A303" s="1">
        <v>176676</v>
      </c>
      <c r="B303" s="1">
        <v>0</v>
      </c>
      <c r="C303" s="1" t="s">
        <v>841</v>
      </c>
      <c r="D303" s="1" t="s">
        <v>27</v>
      </c>
      <c r="E303" s="1" t="s">
        <v>842</v>
      </c>
      <c r="F303" s="1" t="s">
        <v>772</v>
      </c>
      <c r="G303" s="1" t="s">
        <v>23</v>
      </c>
      <c r="I303" s="16">
        <v>41321.58116898148</v>
      </c>
      <c r="J303" s="1" t="s">
        <v>40</v>
      </c>
      <c r="K303" s="1" t="s">
        <v>18</v>
      </c>
      <c r="L303" s="1" t="s">
        <v>19</v>
      </c>
    </row>
    <row r="304" spans="1:24" ht="13" x14ac:dyDescent="0.15">
      <c r="A304" s="1">
        <v>151888</v>
      </c>
      <c r="B304" s="1">
        <v>0</v>
      </c>
      <c r="C304" s="1" t="s">
        <v>843</v>
      </c>
      <c r="D304" s="1" t="s">
        <v>27</v>
      </c>
      <c r="E304" s="1" t="s">
        <v>844</v>
      </c>
      <c r="F304" s="1" t="s">
        <v>845</v>
      </c>
      <c r="I304" s="16">
        <v>41176.318749999999</v>
      </c>
      <c r="J304" s="1" t="s">
        <v>408</v>
      </c>
      <c r="K304" s="1" t="s">
        <v>18</v>
      </c>
      <c r="L304" s="1" t="s">
        <v>19</v>
      </c>
    </row>
    <row r="305" spans="1:12" ht="13" x14ac:dyDescent="0.15">
      <c r="A305" s="1">
        <v>107277</v>
      </c>
      <c r="B305" s="1">
        <v>0</v>
      </c>
      <c r="C305" s="1" t="s">
        <v>26</v>
      </c>
      <c r="D305" s="1" t="s">
        <v>27</v>
      </c>
      <c r="E305" s="1" t="s">
        <v>846</v>
      </c>
      <c r="F305" s="1" t="s">
        <v>847</v>
      </c>
      <c r="G305" s="1" t="s">
        <v>23</v>
      </c>
      <c r="I305" s="16">
        <v>40889.953310185185</v>
      </c>
      <c r="J305" s="1" t="s">
        <v>241</v>
      </c>
      <c r="K305" s="1" t="s">
        <v>18</v>
      </c>
      <c r="L305" s="1" t="s">
        <v>19</v>
      </c>
    </row>
    <row r="306" spans="1:12" ht="13" x14ac:dyDescent="0.15">
      <c r="A306" s="1">
        <v>613971</v>
      </c>
      <c r="B306" s="1">
        <v>0</v>
      </c>
      <c r="C306" s="1" t="s">
        <v>848</v>
      </c>
      <c r="D306" s="1" t="s">
        <v>27</v>
      </c>
      <c r="E306" s="1" t="s">
        <v>849</v>
      </c>
      <c r="F306" s="1" t="s">
        <v>850</v>
      </c>
      <c r="I306" s="16">
        <v>42513.430011574077</v>
      </c>
      <c r="J306" s="1" t="s">
        <v>851</v>
      </c>
      <c r="K306" s="1" t="s">
        <v>18</v>
      </c>
      <c r="L306" s="1" t="s">
        <v>19</v>
      </c>
    </row>
    <row r="307" spans="1:12" ht="13" x14ac:dyDescent="0.15">
      <c r="A307" s="1">
        <v>349903</v>
      </c>
      <c r="B307" s="1">
        <v>0</v>
      </c>
      <c r="C307" s="1" t="s">
        <v>268</v>
      </c>
      <c r="D307" s="1" t="s">
        <v>27</v>
      </c>
      <c r="E307" s="1" t="s">
        <v>852</v>
      </c>
      <c r="F307" s="1" t="s">
        <v>853</v>
      </c>
      <c r="G307" s="1" t="s">
        <v>23</v>
      </c>
      <c r="I307" s="16">
        <v>41704.585509259261</v>
      </c>
      <c r="J307" s="1" t="s">
        <v>854</v>
      </c>
      <c r="K307" s="1" t="s">
        <v>18</v>
      </c>
      <c r="L307" s="1" t="s">
        <v>19</v>
      </c>
    </row>
    <row r="308" spans="1:12" ht="13" x14ac:dyDescent="0.15">
      <c r="A308" s="1">
        <v>520422</v>
      </c>
      <c r="B308" s="1">
        <v>0</v>
      </c>
      <c r="C308" s="1" t="s">
        <v>12</v>
      </c>
      <c r="D308" s="1" t="s">
        <v>27</v>
      </c>
      <c r="E308" s="1" t="s">
        <v>855</v>
      </c>
      <c r="F308" s="1" t="s">
        <v>856</v>
      </c>
      <c r="G308" s="1" t="s">
        <v>558</v>
      </c>
      <c r="I308" s="16">
        <v>42229.399907407409</v>
      </c>
      <c r="J308" s="1" t="s">
        <v>311</v>
      </c>
      <c r="K308" s="1" t="s">
        <v>18</v>
      </c>
      <c r="L308" s="1" t="s">
        <v>19</v>
      </c>
    </row>
    <row r="309" spans="1:12" ht="13" x14ac:dyDescent="0.15">
      <c r="A309" s="1">
        <v>401115</v>
      </c>
      <c r="B309" s="1">
        <v>0</v>
      </c>
      <c r="C309" s="1" t="s">
        <v>857</v>
      </c>
      <c r="D309" s="1" t="s">
        <v>27</v>
      </c>
      <c r="E309" s="1" t="s">
        <v>858</v>
      </c>
      <c r="F309" s="1" t="s">
        <v>859</v>
      </c>
      <c r="G309" s="1" t="s">
        <v>23</v>
      </c>
      <c r="I309" s="16">
        <v>41857.683240740742</v>
      </c>
      <c r="J309" s="1" t="s">
        <v>860</v>
      </c>
      <c r="K309" s="1" t="s">
        <v>18</v>
      </c>
      <c r="L309" s="1" t="s">
        <v>19</v>
      </c>
    </row>
    <row r="310" spans="1:12" ht="13" x14ac:dyDescent="0.15">
      <c r="A310" s="1">
        <v>52443</v>
      </c>
      <c r="B310" s="1">
        <v>0</v>
      </c>
      <c r="C310" s="1" t="s">
        <v>26</v>
      </c>
      <c r="D310" s="1" t="s">
        <v>27</v>
      </c>
      <c r="E310" s="1" t="s">
        <v>861</v>
      </c>
      <c r="F310" s="1" t="s">
        <v>862</v>
      </c>
      <c r="G310" s="1" t="s">
        <v>23</v>
      </c>
      <c r="I310" s="16">
        <v>40407.698842592596</v>
      </c>
      <c r="J310" s="1" t="s">
        <v>863</v>
      </c>
      <c r="K310" s="1" t="s">
        <v>18</v>
      </c>
      <c r="L310" s="1" t="s">
        <v>19</v>
      </c>
    </row>
    <row r="311" spans="1:12" ht="13" x14ac:dyDescent="0.15">
      <c r="A311" s="1">
        <v>70877</v>
      </c>
      <c r="B311" s="1">
        <v>0</v>
      </c>
      <c r="D311" s="1" t="s">
        <v>27</v>
      </c>
      <c r="E311" s="1" t="s">
        <v>864</v>
      </c>
      <c r="F311" s="1" t="s">
        <v>865</v>
      </c>
      <c r="I311" s="16">
        <v>40569.214594907404</v>
      </c>
      <c r="J311" s="1" t="s">
        <v>151</v>
      </c>
      <c r="K311" s="1" t="s">
        <v>18</v>
      </c>
      <c r="L311" s="1" t="s">
        <v>19</v>
      </c>
    </row>
    <row r="312" spans="1:12" ht="13" x14ac:dyDescent="0.15">
      <c r="A312" s="1">
        <v>154617</v>
      </c>
      <c r="B312" s="1">
        <v>0</v>
      </c>
      <c r="C312" s="1" t="s">
        <v>26</v>
      </c>
      <c r="D312" s="1" t="s">
        <v>27</v>
      </c>
      <c r="E312" s="1" t="s">
        <v>633</v>
      </c>
      <c r="F312" s="1" t="s">
        <v>120</v>
      </c>
      <c r="G312" s="1" t="s">
        <v>23</v>
      </c>
      <c r="I312" s="16">
        <v>41190.748865740738</v>
      </c>
      <c r="J312" s="1" t="s">
        <v>40</v>
      </c>
      <c r="K312" s="1" t="s">
        <v>18</v>
      </c>
      <c r="L312" s="1" t="s">
        <v>19</v>
      </c>
    </row>
    <row r="313" spans="1:12" ht="13" x14ac:dyDescent="0.15">
      <c r="A313" s="1">
        <v>363631</v>
      </c>
      <c r="B313" s="1">
        <v>0</v>
      </c>
      <c r="C313" s="1" t="s">
        <v>663</v>
      </c>
      <c r="D313" s="1" t="s">
        <v>27</v>
      </c>
      <c r="E313" s="1" t="s">
        <v>866</v>
      </c>
      <c r="F313" s="1" t="s">
        <v>867</v>
      </c>
      <c r="G313" s="1" t="s">
        <v>353</v>
      </c>
      <c r="I313" s="16">
        <v>41744.644293981481</v>
      </c>
      <c r="J313" s="1" t="s">
        <v>17</v>
      </c>
      <c r="K313" s="1" t="s">
        <v>18</v>
      </c>
      <c r="L313" s="1" t="s">
        <v>19</v>
      </c>
    </row>
    <row r="314" spans="1:12" ht="13" x14ac:dyDescent="0.15">
      <c r="A314" s="1">
        <v>28250</v>
      </c>
      <c r="B314" s="1">
        <v>0</v>
      </c>
      <c r="D314" s="1" t="s">
        <v>27</v>
      </c>
      <c r="E314" s="1" t="s">
        <v>868</v>
      </c>
      <c r="F314" s="1" t="s">
        <v>869</v>
      </c>
      <c r="G314" s="1" t="s">
        <v>16</v>
      </c>
      <c r="I314" s="16">
        <v>40136.710682870369</v>
      </c>
      <c r="J314" s="1" t="s">
        <v>870</v>
      </c>
      <c r="K314" s="1" t="s">
        <v>18</v>
      </c>
      <c r="L314" s="1" t="s">
        <v>19</v>
      </c>
    </row>
    <row r="315" spans="1:12" ht="13" x14ac:dyDescent="0.15">
      <c r="A315" s="1">
        <v>413530</v>
      </c>
      <c r="B315" s="1">
        <v>0</v>
      </c>
      <c r="D315" s="1" t="s">
        <v>27</v>
      </c>
      <c r="E315" s="1" t="s">
        <v>871</v>
      </c>
      <c r="F315" s="1" t="s">
        <v>872</v>
      </c>
      <c r="G315" s="1" t="s">
        <v>23</v>
      </c>
      <c r="I315" s="16">
        <v>41894.22347222222</v>
      </c>
      <c r="J315" s="1" t="s">
        <v>17</v>
      </c>
      <c r="K315" s="1" t="s">
        <v>18</v>
      </c>
      <c r="L315" s="1" t="s">
        <v>19</v>
      </c>
    </row>
    <row r="316" spans="1:12" ht="13" x14ac:dyDescent="0.15">
      <c r="A316" s="1">
        <v>158249</v>
      </c>
      <c r="B316" s="1">
        <v>0</v>
      </c>
      <c r="C316" s="1" t="s">
        <v>170</v>
      </c>
      <c r="D316" s="1" t="s">
        <v>27</v>
      </c>
      <c r="E316" s="1" t="s">
        <v>873</v>
      </c>
      <c r="F316" s="1" t="s">
        <v>874</v>
      </c>
      <c r="I316" s="16">
        <v>41211.084560185183</v>
      </c>
      <c r="J316" s="1" t="s">
        <v>193</v>
      </c>
      <c r="K316" s="1" t="s">
        <v>18</v>
      </c>
      <c r="L316" s="1" t="s">
        <v>19</v>
      </c>
    </row>
    <row r="317" spans="1:12" ht="13" x14ac:dyDescent="0.15">
      <c r="A317" s="1">
        <v>124870</v>
      </c>
      <c r="B317" s="1">
        <v>0</v>
      </c>
      <c r="C317" s="1" t="s">
        <v>26</v>
      </c>
      <c r="D317" s="1" t="s">
        <v>27</v>
      </c>
      <c r="E317" s="1" t="s">
        <v>875</v>
      </c>
      <c r="F317" s="1" t="s">
        <v>876</v>
      </c>
      <c r="G317" s="1" t="s">
        <v>23</v>
      </c>
      <c r="I317" s="16">
        <v>41023.814930555556</v>
      </c>
      <c r="J317" s="1" t="s">
        <v>155</v>
      </c>
      <c r="K317" s="1" t="s">
        <v>18</v>
      </c>
      <c r="L317" s="1" t="s">
        <v>19</v>
      </c>
    </row>
    <row r="318" spans="1:12" ht="13" x14ac:dyDescent="0.15">
      <c r="A318" s="1">
        <v>385054</v>
      </c>
      <c r="B318" s="1">
        <v>0</v>
      </c>
      <c r="C318" s="1" t="s">
        <v>101</v>
      </c>
      <c r="D318" s="1" t="s">
        <v>27</v>
      </c>
      <c r="E318" s="1" t="s">
        <v>877</v>
      </c>
      <c r="F318" s="1" t="s">
        <v>878</v>
      </c>
      <c r="G318" s="1" t="s">
        <v>23</v>
      </c>
      <c r="I318" s="16">
        <v>41806.538078703707</v>
      </c>
      <c r="J318" s="1" t="s">
        <v>17</v>
      </c>
      <c r="K318" s="1" t="s">
        <v>18</v>
      </c>
      <c r="L318" s="1" t="s">
        <v>19</v>
      </c>
    </row>
    <row r="319" spans="1:12" ht="13" x14ac:dyDescent="0.15">
      <c r="A319" s="1">
        <v>116027</v>
      </c>
      <c r="B319" s="1">
        <v>0</v>
      </c>
      <c r="C319" s="1" t="s">
        <v>26</v>
      </c>
      <c r="D319" s="1" t="s">
        <v>27</v>
      </c>
      <c r="E319" s="1" t="s">
        <v>879</v>
      </c>
      <c r="F319" s="1" t="s">
        <v>880</v>
      </c>
      <c r="G319" s="1" t="s">
        <v>23</v>
      </c>
      <c r="I319" s="16">
        <v>40967.251180555555</v>
      </c>
      <c r="J319" s="1" t="s">
        <v>40</v>
      </c>
      <c r="K319" s="1" t="s">
        <v>18</v>
      </c>
      <c r="L319" s="1" t="s">
        <v>19</v>
      </c>
    </row>
    <row r="320" spans="1:12" ht="13" x14ac:dyDescent="0.15">
      <c r="A320" s="1">
        <v>99615</v>
      </c>
      <c r="B320" s="1">
        <v>0</v>
      </c>
      <c r="C320" s="1" t="s">
        <v>26</v>
      </c>
      <c r="D320" s="1" t="s">
        <v>27</v>
      </c>
      <c r="E320" s="1" t="s">
        <v>406</v>
      </c>
      <c r="F320" s="1" t="s">
        <v>881</v>
      </c>
      <c r="G320" s="1" t="s">
        <v>23</v>
      </c>
      <c r="I320" s="16">
        <v>40825.230694444443</v>
      </c>
      <c r="J320" s="1" t="s">
        <v>40</v>
      </c>
      <c r="K320" s="1" t="s">
        <v>18</v>
      </c>
      <c r="L320" s="1" t="s">
        <v>19</v>
      </c>
    </row>
    <row r="321" spans="1:20" ht="13" x14ac:dyDescent="0.15">
      <c r="A321" s="1">
        <v>55215</v>
      </c>
      <c r="B321" s="1">
        <v>0</v>
      </c>
      <c r="C321" s="1" t="s">
        <v>26</v>
      </c>
      <c r="D321" s="1" t="s">
        <v>27</v>
      </c>
      <c r="E321" s="1" t="s">
        <v>882</v>
      </c>
      <c r="F321" s="1" t="s">
        <v>883</v>
      </c>
      <c r="G321" s="1" t="s">
        <v>23</v>
      </c>
      <c r="I321" s="16">
        <v>40432.282395833332</v>
      </c>
      <c r="J321" s="1" t="s">
        <v>151</v>
      </c>
      <c r="K321" s="1" t="s">
        <v>18</v>
      </c>
      <c r="L321" s="1" t="s">
        <v>19</v>
      </c>
    </row>
    <row r="322" spans="1:20" ht="13" x14ac:dyDescent="0.15">
      <c r="A322" s="1">
        <v>554946</v>
      </c>
      <c r="B322" s="1">
        <v>0</v>
      </c>
      <c r="C322" s="1" t="s">
        <v>101</v>
      </c>
      <c r="D322" s="1" t="s">
        <v>27</v>
      </c>
      <c r="E322" s="1" t="s">
        <v>884</v>
      </c>
      <c r="F322" s="1" t="s">
        <v>885</v>
      </c>
      <c r="G322" s="1" t="s">
        <v>23</v>
      </c>
      <c r="I322" s="16">
        <v>42320.587870370371</v>
      </c>
      <c r="J322" s="1" t="s">
        <v>886</v>
      </c>
      <c r="K322" s="1" t="s">
        <v>18</v>
      </c>
      <c r="L322" s="1" t="s">
        <v>19</v>
      </c>
    </row>
    <row r="323" spans="1:20" ht="13" x14ac:dyDescent="0.15">
      <c r="A323" s="1">
        <v>97952</v>
      </c>
      <c r="B323" s="1">
        <v>0</v>
      </c>
      <c r="C323" s="1" t="s">
        <v>26</v>
      </c>
      <c r="D323" s="1" t="s">
        <v>27</v>
      </c>
      <c r="E323" s="1" t="s">
        <v>887</v>
      </c>
      <c r="F323" s="1" t="s">
        <v>888</v>
      </c>
      <c r="G323" s="1" t="s">
        <v>23</v>
      </c>
      <c r="I323" s="16">
        <v>40811.241319444445</v>
      </c>
      <c r="J323" s="1" t="s">
        <v>40</v>
      </c>
      <c r="K323" s="1" t="s">
        <v>18</v>
      </c>
      <c r="L323" s="1" t="s">
        <v>19</v>
      </c>
    </row>
    <row r="324" spans="1:20" ht="13" x14ac:dyDescent="0.15">
      <c r="A324" s="1">
        <v>276368</v>
      </c>
      <c r="B324" s="1">
        <v>1</v>
      </c>
      <c r="D324" s="1" t="s">
        <v>27</v>
      </c>
      <c r="E324" s="1" t="s">
        <v>889</v>
      </c>
      <c r="F324" s="1" t="s">
        <v>890</v>
      </c>
      <c r="G324" s="1" t="s">
        <v>23</v>
      </c>
      <c r="I324" s="16">
        <v>41506.652662037035</v>
      </c>
      <c r="J324" s="1" t="s">
        <v>76</v>
      </c>
      <c r="K324" s="1" t="s">
        <v>18</v>
      </c>
      <c r="L324" s="1" t="s">
        <v>19</v>
      </c>
      <c r="M324" s="1">
        <v>276690</v>
      </c>
      <c r="N324" s="1" t="s">
        <v>891</v>
      </c>
      <c r="O324" s="16">
        <v>41506.951620370368</v>
      </c>
      <c r="P324" s="1" t="s">
        <v>892</v>
      </c>
    </row>
    <row r="325" spans="1:20" ht="13" x14ac:dyDescent="0.15">
      <c r="A325" s="1">
        <v>95520</v>
      </c>
      <c r="B325" s="1">
        <v>0</v>
      </c>
      <c r="C325" s="1" t="s">
        <v>26</v>
      </c>
      <c r="D325" s="1" t="s">
        <v>27</v>
      </c>
      <c r="E325" s="1" t="s">
        <v>893</v>
      </c>
      <c r="F325" s="1" t="s">
        <v>894</v>
      </c>
      <c r="G325" s="1" t="s">
        <v>23</v>
      </c>
      <c r="I325" s="16">
        <v>40792.74659722222</v>
      </c>
      <c r="J325" s="1" t="s">
        <v>40</v>
      </c>
      <c r="K325" s="1" t="s">
        <v>18</v>
      </c>
      <c r="L325" s="1" t="s">
        <v>19</v>
      </c>
    </row>
    <row r="326" spans="1:20" ht="13" x14ac:dyDescent="0.15">
      <c r="A326" s="1">
        <v>243045</v>
      </c>
      <c r="B326" s="1">
        <v>0</v>
      </c>
      <c r="C326" s="1" t="s">
        <v>31</v>
      </c>
      <c r="D326" s="1" t="s">
        <v>27</v>
      </c>
      <c r="E326" s="1" t="s">
        <v>895</v>
      </c>
      <c r="F326" s="1" t="s">
        <v>772</v>
      </c>
      <c r="G326" s="1" t="s">
        <v>23</v>
      </c>
      <c r="I326" s="16">
        <v>41416.85769675926</v>
      </c>
      <c r="J326" s="1" t="s">
        <v>40</v>
      </c>
      <c r="K326" s="1" t="s">
        <v>18</v>
      </c>
      <c r="L326" s="1" t="s">
        <v>19</v>
      </c>
    </row>
    <row r="327" spans="1:20" ht="13" x14ac:dyDescent="0.15">
      <c r="A327" s="1">
        <v>446032</v>
      </c>
      <c r="B327" s="1">
        <v>2</v>
      </c>
      <c r="C327" s="1" t="s">
        <v>12</v>
      </c>
      <c r="D327" s="1" t="s">
        <v>27</v>
      </c>
      <c r="E327" s="1" t="s">
        <v>896</v>
      </c>
      <c r="F327" s="1" t="s">
        <v>897</v>
      </c>
      <c r="G327" s="1" t="s">
        <v>23</v>
      </c>
      <c r="I327" s="16">
        <v>42008.586956018517</v>
      </c>
      <c r="J327" s="1" t="s">
        <v>68</v>
      </c>
      <c r="K327" s="1" t="s">
        <v>18</v>
      </c>
      <c r="L327" s="1" t="s">
        <v>19</v>
      </c>
      <c r="M327" s="1">
        <v>459654</v>
      </c>
      <c r="N327" s="1" t="s">
        <v>898</v>
      </c>
      <c r="O327" s="16">
        <v>42053.73773148148</v>
      </c>
      <c r="P327" s="1" t="s">
        <v>106</v>
      </c>
      <c r="Q327" s="1">
        <v>465437</v>
      </c>
      <c r="R327" s="1" t="s">
        <v>899</v>
      </c>
      <c r="S327" s="4">
        <v>42072.810127314813</v>
      </c>
      <c r="T327" s="1" t="s">
        <v>17</v>
      </c>
    </row>
    <row r="328" spans="1:20" ht="13" x14ac:dyDescent="0.15">
      <c r="A328" s="1">
        <v>446037</v>
      </c>
      <c r="B328" s="1">
        <v>0</v>
      </c>
      <c r="D328" s="1" t="s">
        <v>27</v>
      </c>
      <c r="E328" s="1" t="s">
        <v>900</v>
      </c>
      <c r="F328" s="1" t="s">
        <v>901</v>
      </c>
      <c r="G328" s="1" t="s">
        <v>23</v>
      </c>
      <c r="I328" s="16">
        <v>42008.68949074074</v>
      </c>
      <c r="J328" s="1" t="s">
        <v>17</v>
      </c>
      <c r="K328" s="1" t="s">
        <v>18</v>
      </c>
      <c r="L328" s="1" t="s">
        <v>19</v>
      </c>
    </row>
    <row r="329" spans="1:20" ht="13" x14ac:dyDescent="0.15">
      <c r="A329" s="1">
        <v>105157</v>
      </c>
      <c r="B329" s="1">
        <v>2</v>
      </c>
      <c r="C329" s="1" t="s">
        <v>26</v>
      </c>
      <c r="D329" s="1" t="s">
        <v>27</v>
      </c>
      <c r="E329" s="1" t="s">
        <v>902</v>
      </c>
      <c r="F329" s="1" t="s">
        <v>903</v>
      </c>
      <c r="G329" s="1" t="s">
        <v>23</v>
      </c>
      <c r="I329" s="16">
        <v>40869.852372685185</v>
      </c>
      <c r="J329" s="1" t="s">
        <v>40</v>
      </c>
      <c r="K329" s="1" t="s">
        <v>18</v>
      </c>
      <c r="L329" s="1" t="s">
        <v>19</v>
      </c>
      <c r="M329" s="1">
        <v>111022</v>
      </c>
      <c r="N329" s="1" t="s">
        <v>904</v>
      </c>
      <c r="O329" s="16">
        <v>40931.295312499999</v>
      </c>
      <c r="P329" s="1" t="s">
        <v>190</v>
      </c>
      <c r="Q329" s="1">
        <v>106337</v>
      </c>
      <c r="R329" s="1" t="s">
        <v>904</v>
      </c>
      <c r="S329" s="4">
        <v>40881.832071759258</v>
      </c>
      <c r="T329" s="1" t="s">
        <v>44</v>
      </c>
    </row>
    <row r="330" spans="1:20" ht="13" x14ac:dyDescent="0.15">
      <c r="A330" s="1">
        <v>75436</v>
      </c>
      <c r="B330" s="1">
        <v>1</v>
      </c>
      <c r="C330" s="1" t="s">
        <v>905</v>
      </c>
      <c r="D330" s="1" t="s">
        <v>27</v>
      </c>
      <c r="E330" s="1" t="s">
        <v>906</v>
      </c>
      <c r="F330" s="1" t="s">
        <v>907</v>
      </c>
      <c r="G330" s="1" t="s">
        <v>23</v>
      </c>
      <c r="I330" s="16">
        <v>40611.610034722224</v>
      </c>
      <c r="J330" s="1" t="s">
        <v>40</v>
      </c>
      <c r="K330" s="1" t="s">
        <v>18</v>
      </c>
      <c r="L330" s="1" t="s">
        <v>19</v>
      </c>
      <c r="M330" s="1">
        <v>75884</v>
      </c>
      <c r="N330" s="1" t="s">
        <v>908</v>
      </c>
      <c r="O330" s="16">
        <v>40614.604641203703</v>
      </c>
      <c r="P330" s="1" t="s">
        <v>76</v>
      </c>
    </row>
    <row r="331" spans="1:20" ht="13" x14ac:dyDescent="0.15">
      <c r="A331" s="1">
        <v>117230</v>
      </c>
      <c r="B331" s="1">
        <v>0</v>
      </c>
      <c r="C331" s="1" t="s">
        <v>170</v>
      </c>
      <c r="D331" s="1" t="s">
        <v>27</v>
      </c>
      <c r="E331" s="1" t="s">
        <v>909</v>
      </c>
      <c r="F331" s="1" t="s">
        <v>910</v>
      </c>
      <c r="G331" s="1" t="s">
        <v>23</v>
      </c>
      <c r="I331" s="16">
        <v>40975.857245370367</v>
      </c>
      <c r="J331" s="1" t="s">
        <v>40</v>
      </c>
      <c r="K331" s="1" t="s">
        <v>18</v>
      </c>
      <c r="L331" s="1" t="s">
        <v>19</v>
      </c>
    </row>
    <row r="332" spans="1:20" ht="13" x14ac:dyDescent="0.15">
      <c r="A332" s="1">
        <v>113801</v>
      </c>
      <c r="B332" s="1">
        <v>1</v>
      </c>
      <c r="C332" s="1" t="s">
        <v>26</v>
      </c>
      <c r="D332" s="1" t="s">
        <v>27</v>
      </c>
      <c r="E332" s="1" t="s">
        <v>911</v>
      </c>
      <c r="F332" s="1" t="s">
        <v>912</v>
      </c>
      <c r="G332" s="1" t="s">
        <v>23</v>
      </c>
      <c r="I332" s="16">
        <v>40950.363796296297</v>
      </c>
      <c r="J332" s="1" t="s">
        <v>40</v>
      </c>
      <c r="K332" s="1" t="s">
        <v>18</v>
      </c>
      <c r="L332" s="1" t="s">
        <v>19</v>
      </c>
      <c r="M332" s="1">
        <v>114465</v>
      </c>
      <c r="N332" s="1" t="s">
        <v>913</v>
      </c>
      <c r="O332" s="16">
        <v>40954.867928240739</v>
      </c>
      <c r="P332" s="1" t="s">
        <v>44</v>
      </c>
    </row>
    <row r="333" spans="1:20" ht="13" x14ac:dyDescent="0.15">
      <c r="A333" s="1">
        <v>113800</v>
      </c>
      <c r="B333" s="1">
        <v>0</v>
      </c>
      <c r="C333" s="1" t="s">
        <v>26</v>
      </c>
      <c r="D333" s="1" t="s">
        <v>27</v>
      </c>
      <c r="E333" s="1" t="s">
        <v>914</v>
      </c>
      <c r="F333" s="1" t="s">
        <v>915</v>
      </c>
      <c r="G333" s="1" t="s">
        <v>23</v>
      </c>
      <c r="I333" s="16">
        <v>40950.36277777778</v>
      </c>
      <c r="J333" s="1" t="s">
        <v>40</v>
      </c>
      <c r="K333" s="1" t="s">
        <v>18</v>
      </c>
      <c r="L333" s="1" t="s">
        <v>19</v>
      </c>
    </row>
    <row r="334" spans="1:20" ht="13" x14ac:dyDescent="0.15">
      <c r="A334" s="1">
        <v>437651</v>
      </c>
      <c r="B334" s="1">
        <v>0</v>
      </c>
      <c r="D334" s="1" t="s">
        <v>27</v>
      </c>
      <c r="E334" s="1" t="s">
        <v>916</v>
      </c>
      <c r="F334" s="1" t="s">
        <v>917</v>
      </c>
      <c r="G334" s="1" t="s">
        <v>16</v>
      </c>
      <c r="I334" s="16">
        <v>41973.486898148149</v>
      </c>
      <c r="J334" s="1" t="s">
        <v>190</v>
      </c>
      <c r="K334" s="1" t="s">
        <v>18</v>
      </c>
      <c r="L334" s="1" t="s">
        <v>19</v>
      </c>
    </row>
    <row r="335" spans="1:20" ht="13" x14ac:dyDescent="0.15">
      <c r="A335" s="1">
        <v>437655</v>
      </c>
      <c r="B335" s="1">
        <v>0</v>
      </c>
      <c r="C335" s="1" t="s">
        <v>918</v>
      </c>
      <c r="D335" s="1" t="s">
        <v>27</v>
      </c>
      <c r="E335" s="1" t="s">
        <v>919</v>
      </c>
      <c r="F335" s="1" t="s">
        <v>761</v>
      </c>
      <c r="G335" s="1" t="s">
        <v>23</v>
      </c>
      <c r="I335" s="16">
        <v>41973.628518518519</v>
      </c>
      <c r="J335" s="1" t="s">
        <v>17</v>
      </c>
      <c r="K335" s="1" t="s">
        <v>18</v>
      </c>
      <c r="L335" s="1" t="s">
        <v>19</v>
      </c>
    </row>
    <row r="336" spans="1:20" ht="13" x14ac:dyDescent="0.15">
      <c r="A336" s="1">
        <v>326854</v>
      </c>
      <c r="B336" s="1">
        <v>1</v>
      </c>
      <c r="C336" s="1" t="s">
        <v>369</v>
      </c>
      <c r="D336" s="1" t="s">
        <v>27</v>
      </c>
      <c r="E336" s="1" t="s">
        <v>920</v>
      </c>
      <c r="F336" s="1" t="s">
        <v>921</v>
      </c>
      <c r="G336" s="1" t="s">
        <v>23</v>
      </c>
      <c r="I336" s="16">
        <v>41616.847592592596</v>
      </c>
      <c r="J336" s="1" t="s">
        <v>408</v>
      </c>
      <c r="K336" s="1" t="s">
        <v>18</v>
      </c>
      <c r="L336" s="1" t="s">
        <v>19</v>
      </c>
      <c r="M336" s="1">
        <v>327715</v>
      </c>
      <c r="N336" s="1" t="s">
        <v>922</v>
      </c>
      <c r="O336" s="16">
        <v>41619.68478009259</v>
      </c>
      <c r="P336" s="1" t="s">
        <v>17</v>
      </c>
    </row>
    <row r="337" spans="1:20" ht="13" x14ac:dyDescent="0.15">
      <c r="A337" s="1">
        <v>314469</v>
      </c>
      <c r="B337" s="1">
        <v>1</v>
      </c>
      <c r="C337" s="1" t="s">
        <v>923</v>
      </c>
      <c r="D337" s="1" t="s">
        <v>27</v>
      </c>
      <c r="E337" s="1" t="s">
        <v>924</v>
      </c>
      <c r="F337" s="1" t="s">
        <v>925</v>
      </c>
      <c r="I337" s="16">
        <v>41581.555555555555</v>
      </c>
      <c r="J337" s="1" t="s">
        <v>68</v>
      </c>
      <c r="K337" s="1" t="s">
        <v>18</v>
      </c>
      <c r="L337" s="1" t="s">
        <v>19</v>
      </c>
      <c r="M337" s="1">
        <v>317424</v>
      </c>
      <c r="N337" s="1" t="s">
        <v>926</v>
      </c>
      <c r="O337" s="16">
        <v>41589.039375</v>
      </c>
      <c r="P337" s="1" t="s">
        <v>17</v>
      </c>
    </row>
    <row r="338" spans="1:20" ht="13" x14ac:dyDescent="0.15">
      <c r="A338" s="1">
        <v>352083</v>
      </c>
      <c r="B338" s="1">
        <v>0</v>
      </c>
      <c r="C338" s="1" t="s">
        <v>927</v>
      </c>
      <c r="D338" s="1" t="s">
        <v>27</v>
      </c>
      <c r="E338" s="1" t="s">
        <v>928</v>
      </c>
      <c r="F338" s="1" t="s">
        <v>929</v>
      </c>
      <c r="G338" s="1" t="s">
        <v>353</v>
      </c>
      <c r="I338" s="16">
        <v>41711.368043981478</v>
      </c>
      <c r="J338" s="1" t="s">
        <v>930</v>
      </c>
      <c r="K338" s="1" t="s">
        <v>18</v>
      </c>
      <c r="L338" s="1" t="s">
        <v>19</v>
      </c>
    </row>
    <row r="339" spans="1:20" ht="13" x14ac:dyDescent="0.15">
      <c r="A339" s="1">
        <v>358813</v>
      </c>
      <c r="B339" s="1">
        <v>0</v>
      </c>
      <c r="D339" s="1" t="s">
        <v>27</v>
      </c>
      <c r="E339" s="1" t="s">
        <v>931</v>
      </c>
      <c r="F339" s="1" t="s">
        <v>932</v>
      </c>
      <c r="G339" s="1" t="s">
        <v>353</v>
      </c>
      <c r="I339" s="16">
        <v>41730.873171296298</v>
      </c>
      <c r="J339" s="1" t="s">
        <v>17</v>
      </c>
      <c r="K339" s="1" t="s">
        <v>18</v>
      </c>
      <c r="L339" s="1" t="s">
        <v>19</v>
      </c>
    </row>
    <row r="340" spans="1:20" ht="13" x14ac:dyDescent="0.15">
      <c r="A340" s="1">
        <v>330420</v>
      </c>
      <c r="B340" s="1">
        <v>0</v>
      </c>
      <c r="C340" s="1" t="s">
        <v>933</v>
      </c>
      <c r="D340" s="1" t="s">
        <v>27</v>
      </c>
      <c r="E340" s="1" t="s">
        <v>934</v>
      </c>
      <c r="F340" s="1" t="s">
        <v>935</v>
      </c>
      <c r="G340" s="1" t="s">
        <v>23</v>
      </c>
      <c r="I340" s="16">
        <v>41629.859768518516</v>
      </c>
      <c r="J340" s="1" t="s">
        <v>408</v>
      </c>
      <c r="K340" s="1" t="s">
        <v>18</v>
      </c>
      <c r="L340" s="1" t="s">
        <v>19</v>
      </c>
    </row>
    <row r="341" spans="1:20" ht="13" x14ac:dyDescent="0.15">
      <c r="A341" s="1">
        <v>519558</v>
      </c>
      <c r="B341" s="1">
        <v>0</v>
      </c>
      <c r="C341" s="1" t="s">
        <v>522</v>
      </c>
      <c r="D341" s="1" t="s">
        <v>27</v>
      </c>
      <c r="E341" s="1" t="s">
        <v>936</v>
      </c>
      <c r="F341" s="1" t="s">
        <v>937</v>
      </c>
      <c r="I341" s="16">
        <v>42227.689606481479</v>
      </c>
      <c r="J341" s="1" t="s">
        <v>247</v>
      </c>
      <c r="K341" s="1" t="s">
        <v>18</v>
      </c>
      <c r="L341" s="1" t="s">
        <v>19</v>
      </c>
    </row>
    <row r="342" spans="1:20" ht="13" x14ac:dyDescent="0.15">
      <c r="A342" s="1">
        <v>616970</v>
      </c>
      <c r="B342" s="1">
        <v>0</v>
      </c>
      <c r="C342" s="1" t="s">
        <v>305</v>
      </c>
      <c r="D342" s="1" t="s">
        <v>27</v>
      </c>
      <c r="E342" s="1" t="s">
        <v>938</v>
      </c>
      <c r="F342" s="1" t="s">
        <v>939</v>
      </c>
      <c r="G342" s="1" t="s">
        <v>16</v>
      </c>
      <c r="I342" s="16">
        <v>42524.025347222225</v>
      </c>
      <c r="J342" s="1" t="s">
        <v>17</v>
      </c>
      <c r="K342" s="1" t="s">
        <v>18</v>
      </c>
      <c r="L342" s="1" t="s">
        <v>19</v>
      </c>
    </row>
    <row r="343" spans="1:20" ht="13" x14ac:dyDescent="0.15">
      <c r="A343" s="1">
        <v>669136</v>
      </c>
      <c r="B343" s="1">
        <v>0</v>
      </c>
      <c r="C343" s="1" t="s">
        <v>137</v>
      </c>
      <c r="D343" s="1" t="s">
        <v>27</v>
      </c>
      <c r="E343" s="1" t="s">
        <v>940</v>
      </c>
      <c r="F343" s="1" t="s">
        <v>941</v>
      </c>
      <c r="G343" s="1" t="s">
        <v>159</v>
      </c>
      <c r="I343" s="16">
        <v>42702.80091435185</v>
      </c>
      <c r="J343" s="1" t="s">
        <v>699</v>
      </c>
      <c r="K343" s="1" t="s">
        <v>18</v>
      </c>
      <c r="L343" s="1" t="s">
        <v>19</v>
      </c>
    </row>
    <row r="344" spans="1:20" ht="13" x14ac:dyDescent="0.15">
      <c r="A344" s="1">
        <v>265493</v>
      </c>
      <c r="B344" s="1">
        <v>2</v>
      </c>
      <c r="D344" s="1" t="s">
        <v>27</v>
      </c>
      <c r="E344" s="1" t="s">
        <v>942</v>
      </c>
      <c r="F344" s="1" t="s">
        <v>943</v>
      </c>
      <c r="G344" s="1" t="s">
        <v>23</v>
      </c>
      <c r="I344" s="16">
        <v>41484.663634259261</v>
      </c>
      <c r="J344" s="1" t="s">
        <v>944</v>
      </c>
      <c r="K344" s="1" t="s">
        <v>18</v>
      </c>
      <c r="L344" s="1" t="s">
        <v>19</v>
      </c>
      <c r="M344" s="1">
        <v>274978</v>
      </c>
      <c r="N344" s="1" t="s">
        <v>945</v>
      </c>
      <c r="O344" s="16">
        <v>41503.615104166667</v>
      </c>
      <c r="P344" s="1" t="s">
        <v>17</v>
      </c>
      <c r="Q344" s="1">
        <v>274702</v>
      </c>
      <c r="R344" s="1" t="s">
        <v>945</v>
      </c>
      <c r="S344" s="2">
        <v>41502.883136574077</v>
      </c>
      <c r="T344" s="1" t="s">
        <v>946</v>
      </c>
    </row>
    <row r="345" spans="1:20" ht="13" x14ac:dyDescent="0.15">
      <c r="A345" s="1">
        <v>360429</v>
      </c>
      <c r="B345" s="1">
        <v>0</v>
      </c>
      <c r="D345" s="1" t="s">
        <v>27</v>
      </c>
      <c r="E345" s="1" t="s">
        <v>947</v>
      </c>
      <c r="F345" s="1" t="s">
        <v>948</v>
      </c>
      <c r="G345" s="1" t="s">
        <v>23</v>
      </c>
      <c r="I345" s="16">
        <v>41735.990335648145</v>
      </c>
      <c r="J345" s="1" t="s">
        <v>17</v>
      </c>
      <c r="K345" s="1" t="s">
        <v>18</v>
      </c>
      <c r="L345" s="1" t="s">
        <v>19</v>
      </c>
    </row>
    <row r="346" spans="1:20" ht="13" x14ac:dyDescent="0.15">
      <c r="A346" s="1">
        <v>156906</v>
      </c>
      <c r="B346" s="1">
        <v>0</v>
      </c>
      <c r="C346" s="1" t="s">
        <v>26</v>
      </c>
      <c r="D346" s="1" t="s">
        <v>27</v>
      </c>
      <c r="E346" s="1" t="s">
        <v>949</v>
      </c>
      <c r="F346" s="1" t="s">
        <v>581</v>
      </c>
      <c r="G346" s="1" t="s">
        <v>23</v>
      </c>
      <c r="I346" s="16">
        <v>41201.851145833331</v>
      </c>
      <c r="J346" s="1" t="s">
        <v>40</v>
      </c>
      <c r="K346" s="1" t="s">
        <v>18</v>
      </c>
      <c r="L346" s="1" t="s">
        <v>19</v>
      </c>
    </row>
    <row r="347" spans="1:20" ht="13" x14ac:dyDescent="0.15">
      <c r="A347" s="1">
        <v>382656</v>
      </c>
      <c r="B347" s="1">
        <v>0</v>
      </c>
      <c r="C347" s="1" t="s">
        <v>12</v>
      </c>
      <c r="D347" s="1" t="s">
        <v>27</v>
      </c>
      <c r="E347" s="1" t="s">
        <v>950</v>
      </c>
      <c r="F347" s="1" t="s">
        <v>951</v>
      </c>
      <c r="G347" s="1" t="s">
        <v>23</v>
      </c>
      <c r="I347" s="16">
        <v>41799.861354166664</v>
      </c>
      <c r="J347" s="1" t="s">
        <v>952</v>
      </c>
      <c r="K347" s="1" t="s">
        <v>18</v>
      </c>
      <c r="L347" s="1" t="s">
        <v>19</v>
      </c>
    </row>
    <row r="348" spans="1:20" ht="13" x14ac:dyDescent="0.15">
      <c r="A348" s="1">
        <v>502562</v>
      </c>
      <c r="B348" s="1">
        <v>0</v>
      </c>
      <c r="C348" s="1" t="s">
        <v>953</v>
      </c>
      <c r="D348" s="1" t="s">
        <v>27</v>
      </c>
      <c r="E348" s="1" t="s">
        <v>954</v>
      </c>
      <c r="F348" s="1" t="s">
        <v>955</v>
      </c>
      <c r="G348" s="1" t="s">
        <v>813</v>
      </c>
      <c r="I348" s="16">
        <v>42175.375</v>
      </c>
      <c r="J348" s="1" t="s">
        <v>76</v>
      </c>
      <c r="K348" s="1" t="s">
        <v>18</v>
      </c>
      <c r="L348" s="1" t="s">
        <v>19</v>
      </c>
    </row>
    <row r="349" spans="1:20" ht="13" x14ac:dyDescent="0.15">
      <c r="A349" s="1">
        <v>95920</v>
      </c>
      <c r="B349" s="1">
        <v>0</v>
      </c>
      <c r="C349" s="1" t="s">
        <v>145</v>
      </c>
      <c r="D349" s="1" t="s">
        <v>27</v>
      </c>
      <c r="E349" s="1" t="s">
        <v>956</v>
      </c>
      <c r="F349" s="1" t="s">
        <v>957</v>
      </c>
      <c r="I349" s="16">
        <v>40794.957916666666</v>
      </c>
      <c r="J349" s="1" t="s">
        <v>958</v>
      </c>
      <c r="K349" s="1" t="s">
        <v>18</v>
      </c>
      <c r="L349" s="1" t="s">
        <v>19</v>
      </c>
    </row>
    <row r="350" spans="1:20" ht="13" x14ac:dyDescent="0.15">
      <c r="A350" s="1">
        <v>546849</v>
      </c>
      <c r="B350" s="1">
        <v>0</v>
      </c>
      <c r="C350" s="1" t="s">
        <v>268</v>
      </c>
      <c r="D350" s="1" t="s">
        <v>27</v>
      </c>
      <c r="E350" s="1" t="s">
        <v>959</v>
      </c>
      <c r="F350" s="1" t="s">
        <v>960</v>
      </c>
      <c r="G350" s="1" t="s">
        <v>16</v>
      </c>
      <c r="I350" s="16">
        <v>42300.084363425929</v>
      </c>
      <c r="J350" s="1" t="s">
        <v>17</v>
      </c>
      <c r="K350" s="1" t="s">
        <v>18</v>
      </c>
      <c r="L350" s="1" t="s">
        <v>19</v>
      </c>
    </row>
    <row r="351" spans="1:20" ht="13" x14ac:dyDescent="0.15">
      <c r="A351" s="1">
        <v>97784</v>
      </c>
      <c r="B351" s="1">
        <v>0</v>
      </c>
      <c r="C351" s="1" t="s">
        <v>145</v>
      </c>
      <c r="D351" s="1" t="s">
        <v>27</v>
      </c>
      <c r="E351" s="1" t="s">
        <v>961</v>
      </c>
      <c r="F351" s="1" t="s">
        <v>962</v>
      </c>
      <c r="G351" s="1" t="s">
        <v>23</v>
      </c>
      <c r="I351" s="16">
        <v>40809.762743055559</v>
      </c>
      <c r="J351" s="1" t="s">
        <v>40</v>
      </c>
      <c r="K351" s="1" t="s">
        <v>18</v>
      </c>
      <c r="L351" s="1" t="s">
        <v>19</v>
      </c>
    </row>
    <row r="352" spans="1:20" ht="13" x14ac:dyDescent="0.15">
      <c r="A352" s="1">
        <v>73216</v>
      </c>
      <c r="B352" s="1">
        <v>0</v>
      </c>
      <c r="C352" s="1" t="s">
        <v>26</v>
      </c>
      <c r="D352" s="1" t="s">
        <v>27</v>
      </c>
      <c r="E352" s="1" t="s">
        <v>963</v>
      </c>
      <c r="F352" s="1" t="s">
        <v>964</v>
      </c>
      <c r="G352" s="1" t="s">
        <v>23</v>
      </c>
      <c r="I352" s="16">
        <v>40590.905370370368</v>
      </c>
      <c r="J352" s="1" t="s">
        <v>261</v>
      </c>
      <c r="K352" s="1" t="s">
        <v>18</v>
      </c>
      <c r="L352" s="1" t="s">
        <v>19</v>
      </c>
    </row>
    <row r="353" spans="1:16" ht="13" x14ac:dyDescent="0.15">
      <c r="A353" s="1">
        <v>167147</v>
      </c>
      <c r="B353" s="1">
        <v>0</v>
      </c>
      <c r="C353" s="1" t="s">
        <v>26</v>
      </c>
      <c r="D353" s="1" t="s">
        <v>27</v>
      </c>
      <c r="E353" s="1" t="s">
        <v>965</v>
      </c>
      <c r="F353" s="1" t="s">
        <v>581</v>
      </c>
      <c r="G353" s="1" t="s">
        <v>23</v>
      </c>
      <c r="I353" s="16">
        <v>41263.900752314818</v>
      </c>
      <c r="J353" s="1" t="s">
        <v>40</v>
      </c>
      <c r="K353" s="1" t="s">
        <v>18</v>
      </c>
      <c r="L353" s="1" t="s">
        <v>19</v>
      </c>
    </row>
    <row r="354" spans="1:16" ht="13" x14ac:dyDescent="0.15">
      <c r="A354" s="1">
        <v>114924</v>
      </c>
      <c r="B354" s="1">
        <v>0</v>
      </c>
      <c r="C354" s="1" t="s">
        <v>26</v>
      </c>
      <c r="D354" s="1" t="s">
        <v>27</v>
      </c>
      <c r="E354" s="1" t="s">
        <v>966</v>
      </c>
      <c r="F354" s="1" t="s">
        <v>313</v>
      </c>
      <c r="G354" s="1" t="s">
        <v>23</v>
      </c>
      <c r="I354" s="16">
        <v>40958.360972222225</v>
      </c>
      <c r="J354" s="1" t="s">
        <v>44</v>
      </c>
      <c r="K354" s="1" t="s">
        <v>18</v>
      </c>
      <c r="L354" s="1" t="s">
        <v>19</v>
      </c>
    </row>
    <row r="355" spans="1:16" ht="13" x14ac:dyDescent="0.15">
      <c r="A355" s="1">
        <v>223034</v>
      </c>
      <c r="B355" s="1">
        <v>0</v>
      </c>
      <c r="C355" s="1" t="s">
        <v>967</v>
      </c>
      <c r="D355" s="1" t="s">
        <v>27</v>
      </c>
      <c r="E355" s="1" t="s">
        <v>968</v>
      </c>
      <c r="F355" s="1" t="s">
        <v>969</v>
      </c>
      <c r="G355" s="1" t="s">
        <v>23</v>
      </c>
      <c r="I355" s="16">
        <v>41355.208368055559</v>
      </c>
      <c r="J355" s="1" t="s">
        <v>40</v>
      </c>
      <c r="K355" s="1" t="s">
        <v>18</v>
      </c>
      <c r="L355" s="1" t="s">
        <v>19</v>
      </c>
    </row>
    <row r="356" spans="1:16" ht="13" x14ac:dyDescent="0.15">
      <c r="A356" s="1">
        <v>334274</v>
      </c>
      <c r="B356" s="1">
        <v>0</v>
      </c>
      <c r="C356" s="1" t="s">
        <v>689</v>
      </c>
      <c r="D356" s="1" t="s">
        <v>27</v>
      </c>
      <c r="E356" s="1" t="s">
        <v>970</v>
      </c>
      <c r="F356" s="1" t="s">
        <v>971</v>
      </c>
      <c r="G356" s="1" t="s">
        <v>23</v>
      </c>
      <c r="I356" s="16">
        <v>41653.654548611114</v>
      </c>
      <c r="J356" s="1" t="s">
        <v>228</v>
      </c>
      <c r="K356" s="1" t="s">
        <v>18</v>
      </c>
      <c r="L356" s="1" t="s">
        <v>19</v>
      </c>
    </row>
    <row r="357" spans="1:16" ht="13" x14ac:dyDescent="0.15">
      <c r="A357" s="1">
        <v>645028</v>
      </c>
      <c r="B357" s="1">
        <v>0</v>
      </c>
      <c r="C357" s="1" t="s">
        <v>305</v>
      </c>
      <c r="D357" s="1" t="s">
        <v>27</v>
      </c>
      <c r="E357" s="1" t="s">
        <v>972</v>
      </c>
      <c r="F357" s="1" t="s">
        <v>973</v>
      </c>
      <c r="G357" s="1" t="s">
        <v>23</v>
      </c>
      <c r="I357" s="16">
        <v>42621.297037037039</v>
      </c>
      <c r="J357" s="1" t="s">
        <v>974</v>
      </c>
      <c r="K357" s="1" t="s">
        <v>18</v>
      </c>
      <c r="L357" s="1" t="s">
        <v>19</v>
      </c>
    </row>
    <row r="358" spans="1:16" ht="13" x14ac:dyDescent="0.15">
      <c r="A358" s="1">
        <v>172331</v>
      </c>
      <c r="B358" s="1">
        <v>0</v>
      </c>
      <c r="C358" s="1" t="s">
        <v>26</v>
      </c>
      <c r="D358" s="1" t="s">
        <v>27</v>
      </c>
      <c r="E358" s="1" t="s">
        <v>975</v>
      </c>
      <c r="F358" s="1" t="s">
        <v>976</v>
      </c>
      <c r="G358" s="1" t="s">
        <v>23</v>
      </c>
      <c r="I358" s="16">
        <v>41299.876226851855</v>
      </c>
      <c r="J358" s="1" t="s">
        <v>408</v>
      </c>
      <c r="K358" s="1" t="s">
        <v>18</v>
      </c>
      <c r="L358" s="1" t="s">
        <v>19</v>
      </c>
    </row>
    <row r="359" spans="1:16" ht="13" x14ac:dyDescent="0.15">
      <c r="A359" s="1">
        <v>608156</v>
      </c>
      <c r="B359" s="1">
        <v>0</v>
      </c>
      <c r="C359" s="1" t="s">
        <v>305</v>
      </c>
      <c r="D359" s="1" t="s">
        <v>27</v>
      </c>
      <c r="E359" s="1" t="s">
        <v>977</v>
      </c>
      <c r="F359" s="1" t="s">
        <v>978</v>
      </c>
      <c r="G359" s="1" t="s">
        <v>23</v>
      </c>
      <c r="I359" s="16">
        <v>42490.48033564815</v>
      </c>
      <c r="J359" s="1" t="s">
        <v>311</v>
      </c>
      <c r="K359" s="1" t="s">
        <v>18</v>
      </c>
      <c r="L359" s="1" t="s">
        <v>19</v>
      </c>
    </row>
    <row r="360" spans="1:16" ht="13" x14ac:dyDescent="0.15">
      <c r="A360" s="1">
        <v>249502</v>
      </c>
      <c r="B360" s="1">
        <v>0</v>
      </c>
      <c r="C360" s="1" t="s">
        <v>979</v>
      </c>
      <c r="D360" s="1" t="s">
        <v>27</v>
      </c>
      <c r="E360" s="1" t="s">
        <v>980</v>
      </c>
      <c r="F360" s="1" t="s">
        <v>981</v>
      </c>
      <c r="G360" s="1" t="s">
        <v>23</v>
      </c>
      <c r="I360" s="16">
        <v>41438.92359953704</v>
      </c>
      <c r="J360" s="1" t="s">
        <v>860</v>
      </c>
      <c r="K360" s="1" t="s">
        <v>18</v>
      </c>
      <c r="L360" s="1" t="s">
        <v>19</v>
      </c>
    </row>
    <row r="361" spans="1:16" ht="13" x14ac:dyDescent="0.15">
      <c r="A361" s="1">
        <v>322348</v>
      </c>
      <c r="B361" s="1">
        <v>0</v>
      </c>
      <c r="C361" s="1" t="s">
        <v>369</v>
      </c>
      <c r="D361" s="1" t="s">
        <v>27</v>
      </c>
      <c r="E361" s="1" t="s">
        <v>982</v>
      </c>
      <c r="F361" s="1" t="s">
        <v>983</v>
      </c>
      <c r="G361" s="1" t="s">
        <v>23</v>
      </c>
      <c r="I361" s="16">
        <v>41600.11209490741</v>
      </c>
      <c r="J361" s="1" t="s">
        <v>17</v>
      </c>
      <c r="K361" s="1" t="s">
        <v>18</v>
      </c>
      <c r="L361" s="1" t="s">
        <v>19</v>
      </c>
    </row>
    <row r="362" spans="1:16" ht="13" x14ac:dyDescent="0.15">
      <c r="A362" s="1">
        <v>658114</v>
      </c>
      <c r="B362" s="1">
        <v>0</v>
      </c>
      <c r="C362" s="1" t="s">
        <v>984</v>
      </c>
      <c r="D362" s="1" t="s">
        <v>27</v>
      </c>
      <c r="E362" s="1" t="s">
        <v>985</v>
      </c>
      <c r="F362" s="1" t="s">
        <v>986</v>
      </c>
      <c r="G362" s="1" t="s">
        <v>23</v>
      </c>
      <c r="I362" s="16">
        <v>42664.170451388891</v>
      </c>
      <c r="J362" s="1" t="s">
        <v>987</v>
      </c>
      <c r="K362" s="1" t="s">
        <v>18</v>
      </c>
      <c r="L362" s="1" t="s">
        <v>19</v>
      </c>
    </row>
    <row r="363" spans="1:16" ht="13" x14ac:dyDescent="0.15">
      <c r="A363" s="1">
        <v>73932</v>
      </c>
      <c r="B363" s="1">
        <v>0</v>
      </c>
      <c r="C363" s="1" t="s">
        <v>26</v>
      </c>
      <c r="D363" s="1" t="s">
        <v>27</v>
      </c>
      <c r="E363" s="1" t="s">
        <v>988</v>
      </c>
      <c r="F363" s="1" t="s">
        <v>989</v>
      </c>
      <c r="G363" s="1" t="s">
        <v>23</v>
      </c>
      <c r="I363" s="16">
        <v>40597.965057870373</v>
      </c>
      <c r="J363" s="1" t="s">
        <v>40</v>
      </c>
      <c r="K363" s="1" t="s">
        <v>18</v>
      </c>
      <c r="L363" s="1" t="s">
        <v>19</v>
      </c>
    </row>
    <row r="364" spans="1:16" ht="13" x14ac:dyDescent="0.15">
      <c r="A364" s="1">
        <v>135432</v>
      </c>
      <c r="B364" s="1">
        <v>0</v>
      </c>
      <c r="C364" s="1" t="s">
        <v>514</v>
      </c>
      <c r="D364" s="1" t="s">
        <v>27</v>
      </c>
      <c r="E364" s="1" t="s">
        <v>990</v>
      </c>
      <c r="F364" s="1" t="s">
        <v>991</v>
      </c>
      <c r="G364" s="1" t="s">
        <v>23</v>
      </c>
      <c r="I364" s="16">
        <v>41092.607905092591</v>
      </c>
      <c r="J364" s="1" t="s">
        <v>408</v>
      </c>
      <c r="K364" s="1" t="s">
        <v>18</v>
      </c>
      <c r="L364" s="1" t="s">
        <v>19</v>
      </c>
    </row>
    <row r="365" spans="1:16" ht="13" x14ac:dyDescent="0.15">
      <c r="A365" s="1">
        <v>498984</v>
      </c>
      <c r="B365" s="1">
        <v>0</v>
      </c>
      <c r="C365" s="1" t="s">
        <v>137</v>
      </c>
      <c r="D365" s="1" t="s">
        <v>27</v>
      </c>
      <c r="E365" s="1" t="s">
        <v>992</v>
      </c>
      <c r="F365" s="1" t="s">
        <v>993</v>
      </c>
      <c r="I365" s="16">
        <v>42165.87263888889</v>
      </c>
      <c r="J365" s="1" t="s">
        <v>656</v>
      </c>
      <c r="K365" s="1" t="s">
        <v>18</v>
      </c>
      <c r="L365" s="1" t="s">
        <v>19</v>
      </c>
    </row>
    <row r="366" spans="1:16" ht="13" x14ac:dyDescent="0.15">
      <c r="A366" s="1">
        <v>382239</v>
      </c>
      <c r="B366" s="1">
        <v>1</v>
      </c>
      <c r="C366" s="1" t="s">
        <v>12</v>
      </c>
      <c r="D366" s="1" t="s">
        <v>27</v>
      </c>
      <c r="E366" s="1" t="s">
        <v>994</v>
      </c>
      <c r="F366" s="1" t="s">
        <v>995</v>
      </c>
      <c r="G366" s="1" t="s">
        <v>23</v>
      </c>
      <c r="I366" s="16">
        <v>41798.663530092592</v>
      </c>
      <c r="J366" s="1" t="s">
        <v>17</v>
      </c>
      <c r="K366" s="1" t="s">
        <v>18</v>
      </c>
      <c r="L366" s="1" t="s">
        <v>19</v>
      </c>
      <c r="M366" s="1">
        <v>424053</v>
      </c>
      <c r="N366" s="1" t="s">
        <v>996</v>
      </c>
      <c r="O366" s="16">
        <v>41928.259895833333</v>
      </c>
      <c r="P366" s="1" t="s">
        <v>997</v>
      </c>
    </row>
    <row r="367" spans="1:16" ht="13" x14ac:dyDescent="0.15">
      <c r="A367" s="1">
        <v>11934</v>
      </c>
      <c r="B367" s="1">
        <v>0</v>
      </c>
      <c r="D367" s="1" t="s">
        <v>27</v>
      </c>
      <c r="E367" s="1" t="s">
        <v>998</v>
      </c>
      <c r="F367" s="1" t="s">
        <v>999</v>
      </c>
      <c r="G367" s="1" t="s">
        <v>23</v>
      </c>
      <c r="I367" s="16">
        <v>39947.086400462962</v>
      </c>
      <c r="J367" s="1" t="s">
        <v>1000</v>
      </c>
      <c r="K367" s="1" t="s">
        <v>18</v>
      </c>
      <c r="L367" s="1" t="s">
        <v>19</v>
      </c>
    </row>
    <row r="368" spans="1:16" ht="13" x14ac:dyDescent="0.15">
      <c r="A368" s="1">
        <v>294687</v>
      </c>
      <c r="B368" s="1">
        <v>0</v>
      </c>
      <c r="C368" s="1" t="s">
        <v>1001</v>
      </c>
      <c r="D368" s="1" t="s">
        <v>27</v>
      </c>
      <c r="E368" s="1" t="s">
        <v>1002</v>
      </c>
      <c r="F368" s="1" t="s">
        <v>1003</v>
      </c>
      <c r="G368" s="1" t="s">
        <v>23</v>
      </c>
      <c r="I368" s="16">
        <v>41536.451886574076</v>
      </c>
      <c r="J368" s="1" t="s">
        <v>17</v>
      </c>
      <c r="K368" s="1" t="s">
        <v>18</v>
      </c>
      <c r="L368" s="1" t="s">
        <v>19</v>
      </c>
    </row>
    <row r="369" spans="1:16" ht="13" x14ac:dyDescent="0.15">
      <c r="A369" s="1">
        <v>137147</v>
      </c>
      <c r="B369" s="1">
        <v>0</v>
      </c>
      <c r="C369" s="1" t="s">
        <v>527</v>
      </c>
      <c r="D369" s="1" t="s">
        <v>27</v>
      </c>
      <c r="E369" s="1" t="s">
        <v>1004</v>
      </c>
      <c r="F369" s="1" t="s">
        <v>1005</v>
      </c>
      <c r="G369" s="1" t="s">
        <v>23</v>
      </c>
      <c r="I369" s="16">
        <v>41102.941932870373</v>
      </c>
      <c r="J369" s="1" t="s">
        <v>40</v>
      </c>
      <c r="K369" s="1" t="s">
        <v>18</v>
      </c>
      <c r="L369" s="1" t="s">
        <v>19</v>
      </c>
    </row>
    <row r="370" spans="1:16" ht="13" x14ac:dyDescent="0.15">
      <c r="A370" s="1">
        <v>169966</v>
      </c>
      <c r="B370" s="1">
        <v>0</v>
      </c>
      <c r="D370" s="1" t="s">
        <v>27</v>
      </c>
      <c r="E370" s="1" t="s">
        <v>1006</v>
      </c>
      <c r="F370" s="1" t="s">
        <v>1007</v>
      </c>
      <c r="G370" s="1" t="s">
        <v>16</v>
      </c>
      <c r="I370" s="16">
        <v>41289.067395833335</v>
      </c>
      <c r="J370" s="1" t="s">
        <v>151</v>
      </c>
      <c r="K370" s="1" t="s">
        <v>18</v>
      </c>
      <c r="L370" s="1" t="s">
        <v>19</v>
      </c>
    </row>
    <row r="371" spans="1:16" ht="13" x14ac:dyDescent="0.15">
      <c r="A371" s="1">
        <v>43813</v>
      </c>
      <c r="B371" s="1">
        <v>0</v>
      </c>
      <c r="C371" s="1" t="s">
        <v>514</v>
      </c>
      <c r="D371" s="1" t="s">
        <v>27</v>
      </c>
      <c r="E371" s="1" t="s">
        <v>1008</v>
      </c>
      <c r="F371" s="1" t="s">
        <v>487</v>
      </c>
      <c r="G371" s="1" t="s">
        <v>23</v>
      </c>
      <c r="I371" s="16">
        <v>40308.940196759257</v>
      </c>
      <c r="J371" s="1" t="s">
        <v>1009</v>
      </c>
      <c r="K371" s="1" t="s">
        <v>18</v>
      </c>
      <c r="L371" s="1" t="s">
        <v>19</v>
      </c>
    </row>
    <row r="372" spans="1:16" ht="13" x14ac:dyDescent="0.15">
      <c r="A372" s="1">
        <v>406868</v>
      </c>
      <c r="B372" s="1">
        <v>0</v>
      </c>
      <c r="C372" s="1" t="s">
        <v>12</v>
      </c>
      <c r="D372" s="1" t="s">
        <v>27</v>
      </c>
      <c r="E372" s="1" t="s">
        <v>1010</v>
      </c>
      <c r="F372" s="1" t="s">
        <v>1011</v>
      </c>
      <c r="I372" s="16">
        <v>41874.889027777775</v>
      </c>
      <c r="J372" s="1" t="s">
        <v>408</v>
      </c>
      <c r="K372" s="1" t="s">
        <v>18</v>
      </c>
      <c r="L372" s="1" t="s">
        <v>19</v>
      </c>
    </row>
    <row r="373" spans="1:16" ht="13" x14ac:dyDescent="0.15">
      <c r="A373" s="1">
        <v>44955</v>
      </c>
      <c r="B373" s="1">
        <v>0</v>
      </c>
      <c r="C373" s="1" t="s">
        <v>26</v>
      </c>
      <c r="D373" s="1" t="s">
        <v>27</v>
      </c>
      <c r="E373" s="1" t="s">
        <v>1012</v>
      </c>
      <c r="F373" s="1" t="s">
        <v>254</v>
      </c>
      <c r="I373" s="16">
        <v>40322.97079861111</v>
      </c>
      <c r="J373" s="1" t="s">
        <v>40</v>
      </c>
      <c r="K373" s="1" t="s">
        <v>18</v>
      </c>
      <c r="L373" s="1" t="s">
        <v>19</v>
      </c>
    </row>
    <row r="374" spans="1:16" ht="13" x14ac:dyDescent="0.15">
      <c r="A374" s="1">
        <v>28449</v>
      </c>
      <c r="B374" s="1">
        <v>0</v>
      </c>
      <c r="C374" s="1" t="s">
        <v>26</v>
      </c>
      <c r="D374" s="1" t="s">
        <v>27</v>
      </c>
      <c r="E374" s="1" t="s">
        <v>1013</v>
      </c>
      <c r="F374" s="1" t="s">
        <v>1014</v>
      </c>
      <c r="G374" s="1" t="s">
        <v>23</v>
      </c>
      <c r="I374" s="16">
        <v>40138.096655092595</v>
      </c>
      <c r="J374" s="1" t="s">
        <v>1015</v>
      </c>
      <c r="K374" s="1" t="s">
        <v>18</v>
      </c>
      <c r="L374" s="1" t="s">
        <v>19</v>
      </c>
    </row>
    <row r="375" spans="1:16" ht="13" x14ac:dyDescent="0.15">
      <c r="A375" s="1">
        <v>288761</v>
      </c>
      <c r="B375" s="1">
        <v>0</v>
      </c>
      <c r="C375" s="1" t="s">
        <v>31</v>
      </c>
      <c r="D375" s="1" t="s">
        <v>27</v>
      </c>
      <c r="E375" s="1" t="s">
        <v>1016</v>
      </c>
      <c r="F375" s="1" t="s">
        <v>235</v>
      </c>
      <c r="G375" s="1" t="s">
        <v>23</v>
      </c>
      <c r="I375" s="16">
        <v>41527.651898148149</v>
      </c>
      <c r="J375" s="1" t="s">
        <v>17</v>
      </c>
      <c r="K375" s="1" t="s">
        <v>18</v>
      </c>
      <c r="L375" s="1" t="s">
        <v>19</v>
      </c>
    </row>
    <row r="376" spans="1:16" ht="13" x14ac:dyDescent="0.15">
      <c r="A376" s="1">
        <v>389285</v>
      </c>
      <c r="B376" s="1">
        <v>0</v>
      </c>
      <c r="C376" s="1" t="s">
        <v>268</v>
      </c>
      <c r="D376" s="1" t="s">
        <v>27</v>
      </c>
      <c r="E376" s="1" t="s">
        <v>1017</v>
      </c>
      <c r="F376" s="1" t="s">
        <v>1018</v>
      </c>
      <c r="G376" s="1" t="s">
        <v>23</v>
      </c>
      <c r="I376" s="16">
        <v>41816.883113425924</v>
      </c>
      <c r="J376" s="1" t="s">
        <v>17</v>
      </c>
      <c r="K376" s="1" t="s">
        <v>18</v>
      </c>
      <c r="L376" s="1" t="s">
        <v>19</v>
      </c>
    </row>
    <row r="377" spans="1:16" ht="13" x14ac:dyDescent="0.15">
      <c r="A377" s="1">
        <v>96131</v>
      </c>
      <c r="B377" s="1">
        <v>1</v>
      </c>
      <c r="C377" s="1" t="s">
        <v>843</v>
      </c>
      <c r="D377" s="1" t="s">
        <v>27</v>
      </c>
      <c r="E377" s="1" t="s">
        <v>1019</v>
      </c>
      <c r="F377" s="1" t="s">
        <v>1020</v>
      </c>
      <c r="G377" s="1" t="s">
        <v>540</v>
      </c>
      <c r="I377" s="16">
        <v>40796.338391203702</v>
      </c>
      <c r="J377" s="1" t="s">
        <v>1021</v>
      </c>
      <c r="K377" s="1" t="s">
        <v>18</v>
      </c>
      <c r="L377" s="1" t="s">
        <v>19</v>
      </c>
      <c r="M377" s="1">
        <v>96542</v>
      </c>
      <c r="N377" s="1" t="s">
        <v>1022</v>
      </c>
      <c r="O377" s="16">
        <v>40800.246215277781</v>
      </c>
      <c r="P377" s="1" t="s">
        <v>1023</v>
      </c>
    </row>
    <row r="378" spans="1:16" ht="13" x14ac:dyDescent="0.15">
      <c r="A378" s="1">
        <v>432209</v>
      </c>
      <c r="B378" s="1">
        <v>0</v>
      </c>
      <c r="D378" s="1" t="s">
        <v>27</v>
      </c>
      <c r="E378" s="1" t="s">
        <v>1024</v>
      </c>
      <c r="F378" s="1" t="s">
        <v>1025</v>
      </c>
      <c r="I378" s="16">
        <v>41954.805185185185</v>
      </c>
      <c r="J378" s="1" t="s">
        <v>1026</v>
      </c>
      <c r="K378" s="1" t="s">
        <v>18</v>
      </c>
      <c r="L378" s="1" t="s">
        <v>19</v>
      </c>
    </row>
    <row r="379" spans="1:16" ht="13" x14ac:dyDescent="0.15">
      <c r="A379" s="1">
        <v>236245</v>
      </c>
      <c r="B379" s="1">
        <v>0</v>
      </c>
      <c r="C379" s="1" t="s">
        <v>31</v>
      </c>
      <c r="D379" s="1" t="s">
        <v>27</v>
      </c>
      <c r="E379" s="1" t="s">
        <v>1027</v>
      </c>
      <c r="F379" s="1" t="s">
        <v>458</v>
      </c>
      <c r="G379" s="1" t="s">
        <v>23</v>
      </c>
      <c r="I379" s="16">
        <v>41393.015277777777</v>
      </c>
      <c r="J379" s="1" t="s">
        <v>40</v>
      </c>
      <c r="K379" s="1" t="s">
        <v>18</v>
      </c>
      <c r="L379" s="1" t="s">
        <v>19</v>
      </c>
    </row>
    <row r="380" spans="1:16" ht="13" x14ac:dyDescent="0.15">
      <c r="A380" s="1">
        <v>164263</v>
      </c>
      <c r="B380" s="1">
        <v>0</v>
      </c>
      <c r="C380" s="1" t="s">
        <v>527</v>
      </c>
      <c r="D380" s="1" t="s">
        <v>27</v>
      </c>
      <c r="E380" s="1" t="s">
        <v>1028</v>
      </c>
      <c r="F380" s="1" t="s">
        <v>1029</v>
      </c>
      <c r="G380" s="1" t="s">
        <v>23</v>
      </c>
      <c r="I380" s="16">
        <v>41247.954606481479</v>
      </c>
      <c r="J380" s="1" t="s">
        <v>40</v>
      </c>
      <c r="K380" s="1" t="s">
        <v>18</v>
      </c>
      <c r="L380" s="1" t="s">
        <v>19</v>
      </c>
    </row>
    <row r="381" spans="1:16" ht="13" x14ac:dyDescent="0.15">
      <c r="A381" s="1">
        <v>352395</v>
      </c>
      <c r="B381" s="1">
        <v>0</v>
      </c>
      <c r="C381" s="1" t="s">
        <v>727</v>
      </c>
      <c r="D381" s="1" t="s">
        <v>27</v>
      </c>
      <c r="E381" s="1" t="s">
        <v>1030</v>
      </c>
      <c r="F381" s="1" t="s">
        <v>1031</v>
      </c>
      <c r="G381" s="1" t="s">
        <v>159</v>
      </c>
      <c r="I381" s="16">
        <v>41711.963136574072</v>
      </c>
      <c r="J381" s="1" t="s">
        <v>24</v>
      </c>
      <c r="K381" s="1" t="s">
        <v>18</v>
      </c>
      <c r="L381" s="1" t="s">
        <v>19</v>
      </c>
    </row>
    <row r="382" spans="1:16" ht="13" x14ac:dyDescent="0.15">
      <c r="A382" s="1">
        <v>177403</v>
      </c>
      <c r="B382" s="1">
        <v>0</v>
      </c>
      <c r="C382" s="1" t="s">
        <v>26</v>
      </c>
      <c r="D382" s="1" t="s">
        <v>27</v>
      </c>
      <c r="E382" s="1" t="s">
        <v>1032</v>
      </c>
      <c r="F382" s="1" t="s">
        <v>1033</v>
      </c>
      <c r="G382" s="1" t="s">
        <v>23</v>
      </c>
      <c r="I382" s="16">
        <v>41326.214699074073</v>
      </c>
      <c r="J382" s="1" t="s">
        <v>40</v>
      </c>
      <c r="K382" s="1" t="s">
        <v>18</v>
      </c>
      <c r="L382" s="1" t="s">
        <v>19</v>
      </c>
    </row>
    <row r="383" spans="1:16" ht="13" x14ac:dyDescent="0.15">
      <c r="A383" s="1">
        <v>222136</v>
      </c>
      <c r="B383" s="1">
        <v>0</v>
      </c>
      <c r="C383" s="1" t="s">
        <v>1034</v>
      </c>
      <c r="D383" s="1" t="s">
        <v>27</v>
      </c>
      <c r="E383" s="1" t="s">
        <v>1035</v>
      </c>
      <c r="F383" s="1" t="s">
        <v>1036</v>
      </c>
      <c r="G383" s="1" t="s">
        <v>23</v>
      </c>
      <c r="I383" s="16">
        <v>41352.817141203705</v>
      </c>
      <c r="J383" s="1" t="s">
        <v>155</v>
      </c>
      <c r="K383" s="1" t="s">
        <v>18</v>
      </c>
      <c r="L383" s="1" t="s">
        <v>19</v>
      </c>
    </row>
    <row r="384" spans="1:16" ht="13" x14ac:dyDescent="0.15">
      <c r="A384" s="1">
        <v>517383</v>
      </c>
      <c r="B384" s="1">
        <v>0</v>
      </c>
      <c r="C384" s="1" t="s">
        <v>137</v>
      </c>
      <c r="D384" s="1" t="s">
        <v>27</v>
      </c>
      <c r="E384" s="1" t="s">
        <v>1037</v>
      </c>
      <c r="F384" s="1" t="s">
        <v>1038</v>
      </c>
      <c r="I384" s="16">
        <v>42222.368043981478</v>
      </c>
      <c r="J384" s="1" t="s">
        <v>1039</v>
      </c>
      <c r="K384" s="1" t="s">
        <v>18</v>
      </c>
      <c r="L384" s="1" t="s">
        <v>19</v>
      </c>
    </row>
    <row r="385" spans="1:20" ht="13" x14ac:dyDescent="0.15">
      <c r="A385" s="1">
        <v>99596</v>
      </c>
      <c r="B385" s="1">
        <v>0</v>
      </c>
      <c r="C385" s="1" t="s">
        <v>549</v>
      </c>
      <c r="D385" s="1" t="s">
        <v>27</v>
      </c>
      <c r="E385" s="1" t="s">
        <v>1040</v>
      </c>
      <c r="F385" s="1" t="s">
        <v>1041</v>
      </c>
      <c r="G385" s="1" t="s">
        <v>23</v>
      </c>
      <c r="I385" s="16">
        <v>40824.916979166665</v>
      </c>
      <c r="J385" s="1" t="s">
        <v>40</v>
      </c>
      <c r="K385" s="1" t="s">
        <v>18</v>
      </c>
      <c r="L385" s="1" t="s">
        <v>19</v>
      </c>
    </row>
    <row r="386" spans="1:20" ht="13" x14ac:dyDescent="0.15">
      <c r="A386" s="1">
        <v>177686</v>
      </c>
      <c r="B386" s="1">
        <v>0</v>
      </c>
      <c r="C386" s="1" t="s">
        <v>26</v>
      </c>
      <c r="D386" s="1" t="s">
        <v>27</v>
      </c>
      <c r="E386" s="1" t="s">
        <v>1042</v>
      </c>
      <c r="F386" s="1" t="s">
        <v>1043</v>
      </c>
      <c r="G386" s="1" t="s">
        <v>23</v>
      </c>
      <c r="I386" s="16">
        <v>41327.706076388888</v>
      </c>
      <c r="J386" s="1" t="s">
        <v>155</v>
      </c>
      <c r="K386" s="1" t="s">
        <v>18</v>
      </c>
      <c r="L386" s="1" t="s">
        <v>19</v>
      </c>
    </row>
    <row r="387" spans="1:20" ht="13" x14ac:dyDescent="0.15">
      <c r="A387" s="1">
        <v>177688</v>
      </c>
      <c r="B387" s="1">
        <v>0</v>
      </c>
      <c r="C387" s="1" t="s">
        <v>527</v>
      </c>
      <c r="D387" s="1" t="s">
        <v>27</v>
      </c>
      <c r="E387" s="1" t="s">
        <v>1044</v>
      </c>
      <c r="F387" s="1" t="s">
        <v>772</v>
      </c>
      <c r="G387" s="1" t="s">
        <v>23</v>
      </c>
      <c r="I387" s="16">
        <v>41327.707453703704</v>
      </c>
      <c r="J387" s="1" t="s">
        <v>40</v>
      </c>
      <c r="K387" s="1" t="s">
        <v>18</v>
      </c>
      <c r="L387" s="1" t="s">
        <v>19</v>
      </c>
    </row>
    <row r="388" spans="1:20" ht="13" x14ac:dyDescent="0.15">
      <c r="A388" s="1">
        <v>240057</v>
      </c>
      <c r="B388" s="1">
        <v>0</v>
      </c>
      <c r="C388" s="1" t="s">
        <v>31</v>
      </c>
      <c r="D388" s="1" t="s">
        <v>27</v>
      </c>
      <c r="E388" s="1" t="s">
        <v>1045</v>
      </c>
      <c r="F388" s="1" t="s">
        <v>458</v>
      </c>
      <c r="G388" s="1" t="s">
        <v>23</v>
      </c>
      <c r="I388" s="16">
        <v>41405.647615740738</v>
      </c>
      <c r="J388" s="1" t="s">
        <v>40</v>
      </c>
      <c r="K388" s="1" t="s">
        <v>18</v>
      </c>
      <c r="L388" s="1" t="s">
        <v>19</v>
      </c>
    </row>
    <row r="389" spans="1:20" ht="13" x14ac:dyDescent="0.15">
      <c r="A389" s="1">
        <v>240055</v>
      </c>
      <c r="B389" s="1">
        <v>0</v>
      </c>
      <c r="C389" s="1" t="s">
        <v>31</v>
      </c>
      <c r="D389" s="1" t="s">
        <v>27</v>
      </c>
      <c r="E389" s="1" t="s">
        <v>1046</v>
      </c>
      <c r="F389" s="1" t="s">
        <v>772</v>
      </c>
      <c r="G389" s="1" t="s">
        <v>23</v>
      </c>
      <c r="I389" s="16">
        <v>41405.644479166665</v>
      </c>
      <c r="J389" s="1" t="s">
        <v>40</v>
      </c>
      <c r="K389" s="1" t="s">
        <v>18</v>
      </c>
      <c r="L389" s="1" t="s">
        <v>19</v>
      </c>
    </row>
    <row r="390" spans="1:20" ht="13" x14ac:dyDescent="0.15">
      <c r="A390" s="1">
        <v>415305</v>
      </c>
      <c r="B390" s="1">
        <v>0</v>
      </c>
      <c r="D390" s="1" t="s">
        <v>27</v>
      </c>
      <c r="E390" s="1" t="s">
        <v>1047</v>
      </c>
      <c r="F390" s="1" t="s">
        <v>1048</v>
      </c>
      <c r="G390" s="1" t="s">
        <v>23</v>
      </c>
      <c r="I390" s="16">
        <v>41899.880810185183</v>
      </c>
      <c r="J390" s="1" t="s">
        <v>17</v>
      </c>
      <c r="K390" s="1" t="s">
        <v>18</v>
      </c>
      <c r="L390" s="1" t="s">
        <v>19</v>
      </c>
    </row>
    <row r="391" spans="1:20" ht="13" x14ac:dyDescent="0.15">
      <c r="A391" s="1">
        <v>91972</v>
      </c>
      <c r="B391" s="1">
        <v>0</v>
      </c>
      <c r="C391" s="1" t="s">
        <v>26</v>
      </c>
      <c r="D391" s="1" t="s">
        <v>27</v>
      </c>
      <c r="E391" s="1" t="s">
        <v>1049</v>
      </c>
      <c r="F391" s="1" t="s">
        <v>1050</v>
      </c>
      <c r="G391" s="1" t="s">
        <v>23</v>
      </c>
      <c r="I391" s="16">
        <v>40762.645150462966</v>
      </c>
      <c r="J391" s="1" t="s">
        <v>40</v>
      </c>
      <c r="K391" s="1" t="s">
        <v>18</v>
      </c>
      <c r="L391" s="1" t="s">
        <v>19</v>
      </c>
    </row>
    <row r="392" spans="1:20" ht="13" x14ac:dyDescent="0.15">
      <c r="A392" s="1">
        <v>116224</v>
      </c>
      <c r="B392" s="1">
        <v>0</v>
      </c>
      <c r="C392" s="1" t="s">
        <v>26</v>
      </c>
      <c r="D392" s="1" t="s">
        <v>27</v>
      </c>
      <c r="E392" s="1" t="s">
        <v>1051</v>
      </c>
      <c r="F392" s="1" t="s">
        <v>1052</v>
      </c>
      <c r="G392" s="1" t="s">
        <v>23</v>
      </c>
      <c r="I392" s="16">
        <v>40968.354641203703</v>
      </c>
      <c r="J392" s="1" t="s">
        <v>40</v>
      </c>
      <c r="K392" s="1" t="s">
        <v>18</v>
      </c>
      <c r="L392" s="1" t="s">
        <v>19</v>
      </c>
    </row>
    <row r="393" spans="1:20" ht="13" x14ac:dyDescent="0.15">
      <c r="A393" s="1">
        <v>649039</v>
      </c>
      <c r="B393" s="1">
        <v>0</v>
      </c>
      <c r="C393" s="1" t="s">
        <v>1053</v>
      </c>
      <c r="D393" s="1" t="s">
        <v>27</v>
      </c>
      <c r="E393" s="1" t="s">
        <v>1054</v>
      </c>
      <c r="F393" s="1" t="s">
        <v>1055</v>
      </c>
      <c r="G393" s="1" t="s">
        <v>1056</v>
      </c>
      <c r="I393" s="16">
        <v>42634.740613425929</v>
      </c>
      <c r="J393" s="1" t="s">
        <v>1057</v>
      </c>
      <c r="K393" s="1" t="s">
        <v>18</v>
      </c>
      <c r="L393" s="1" t="s">
        <v>19</v>
      </c>
    </row>
    <row r="394" spans="1:20" ht="13" x14ac:dyDescent="0.15">
      <c r="A394" s="1">
        <v>222036</v>
      </c>
      <c r="B394" s="1">
        <v>1</v>
      </c>
      <c r="C394" s="1" t="s">
        <v>841</v>
      </c>
      <c r="D394" s="1" t="s">
        <v>27</v>
      </c>
      <c r="E394" s="1" t="s">
        <v>1058</v>
      </c>
      <c r="F394" s="1" t="s">
        <v>1059</v>
      </c>
      <c r="G394" s="1" t="s">
        <v>23</v>
      </c>
      <c r="I394" s="16">
        <v>41352.644803240742</v>
      </c>
      <c r="J394" s="1" t="s">
        <v>1060</v>
      </c>
      <c r="K394" s="1" t="s">
        <v>18</v>
      </c>
      <c r="L394" s="1" t="s">
        <v>19</v>
      </c>
      <c r="M394" s="1">
        <v>230909</v>
      </c>
      <c r="N394" s="1" t="s">
        <v>1061</v>
      </c>
      <c r="O394" s="16">
        <v>41376.769386574073</v>
      </c>
      <c r="P394" s="1" t="s">
        <v>40</v>
      </c>
    </row>
    <row r="395" spans="1:20" ht="13" x14ac:dyDescent="0.15">
      <c r="A395" s="1">
        <v>72832</v>
      </c>
      <c r="B395" s="1">
        <v>2</v>
      </c>
      <c r="C395" s="1" t="s">
        <v>26</v>
      </c>
      <c r="D395" s="1" t="s">
        <v>27</v>
      </c>
      <c r="E395" s="1" t="s">
        <v>1062</v>
      </c>
      <c r="F395" s="1" t="s">
        <v>1063</v>
      </c>
      <c r="I395" s="16">
        <v>40586.811249999999</v>
      </c>
      <c r="J395" s="1" t="s">
        <v>1064</v>
      </c>
      <c r="K395" s="1" t="s">
        <v>18</v>
      </c>
      <c r="L395" s="1" t="s">
        <v>19</v>
      </c>
      <c r="M395" s="1">
        <v>81468</v>
      </c>
      <c r="N395" s="1" t="s">
        <v>1065</v>
      </c>
      <c r="O395" s="16">
        <v>40666.899224537039</v>
      </c>
      <c r="P395" s="1" t="s">
        <v>1066</v>
      </c>
      <c r="Q395" s="1">
        <v>76030</v>
      </c>
      <c r="R395" s="1" t="s">
        <v>1065</v>
      </c>
      <c r="S395" s="2">
        <v>40616.423842592594</v>
      </c>
      <c r="T395" s="1" t="s">
        <v>1067</v>
      </c>
    </row>
    <row r="396" spans="1:20" ht="13" x14ac:dyDescent="0.15">
      <c r="A396" s="1">
        <v>344654</v>
      </c>
      <c r="B396" s="1">
        <v>0</v>
      </c>
      <c r="C396" s="1" t="s">
        <v>1068</v>
      </c>
      <c r="D396" s="1" t="s">
        <v>27</v>
      </c>
      <c r="E396" s="1" t="s">
        <v>1069</v>
      </c>
      <c r="F396" s="1" t="s">
        <v>1070</v>
      </c>
      <c r="G396" s="1" t="s">
        <v>23</v>
      </c>
      <c r="I396" s="16">
        <v>41688.940300925926</v>
      </c>
      <c r="J396" s="1" t="s">
        <v>17</v>
      </c>
      <c r="K396" s="1" t="s">
        <v>18</v>
      </c>
      <c r="L396" s="1" t="s">
        <v>19</v>
      </c>
    </row>
    <row r="397" spans="1:20" ht="13" x14ac:dyDescent="0.15">
      <c r="A397" s="1">
        <v>209604</v>
      </c>
      <c r="B397" s="1">
        <v>0</v>
      </c>
      <c r="C397" s="1" t="s">
        <v>41</v>
      </c>
      <c r="D397" s="1" t="s">
        <v>27</v>
      </c>
      <c r="E397" s="1" t="s">
        <v>300</v>
      </c>
      <c r="F397" s="1" t="s">
        <v>1071</v>
      </c>
      <c r="G397" s="1" t="s">
        <v>23</v>
      </c>
      <c r="I397" s="16">
        <v>41350.837627314817</v>
      </c>
      <c r="J397" s="1" t="s">
        <v>44</v>
      </c>
      <c r="K397" s="1" t="s">
        <v>18</v>
      </c>
      <c r="L397" s="1" t="s">
        <v>19</v>
      </c>
    </row>
    <row r="398" spans="1:20" ht="13" x14ac:dyDescent="0.15">
      <c r="A398" s="1">
        <v>449610</v>
      </c>
      <c r="B398" s="1">
        <v>0</v>
      </c>
      <c r="C398" s="1" t="s">
        <v>101</v>
      </c>
      <c r="D398" s="1" t="s">
        <v>27</v>
      </c>
      <c r="E398" s="1" t="s">
        <v>1072</v>
      </c>
      <c r="F398" s="1" t="s">
        <v>1073</v>
      </c>
      <c r="G398" s="1" t="s">
        <v>159</v>
      </c>
      <c r="I398" s="16">
        <v>42020.797384259262</v>
      </c>
      <c r="J398" s="1" t="s">
        <v>1074</v>
      </c>
      <c r="K398" s="1" t="s">
        <v>18</v>
      </c>
      <c r="L398" s="1" t="s">
        <v>19</v>
      </c>
    </row>
    <row r="399" spans="1:20" ht="13" x14ac:dyDescent="0.15">
      <c r="A399" s="1">
        <v>51602</v>
      </c>
      <c r="B399" s="1">
        <v>0</v>
      </c>
      <c r="C399" s="1" t="s">
        <v>133</v>
      </c>
      <c r="D399" s="1" t="s">
        <v>27</v>
      </c>
      <c r="E399" s="1" t="s">
        <v>1075</v>
      </c>
      <c r="F399" s="1" t="s">
        <v>651</v>
      </c>
      <c r="G399" s="1" t="s">
        <v>23</v>
      </c>
      <c r="I399" s="16">
        <v>40399.73164351852</v>
      </c>
      <c r="J399" s="1" t="s">
        <v>255</v>
      </c>
      <c r="K399" s="1" t="s">
        <v>18</v>
      </c>
      <c r="L399" s="1" t="s">
        <v>19</v>
      </c>
    </row>
    <row r="400" spans="1:20" ht="13" x14ac:dyDescent="0.15">
      <c r="A400" s="1">
        <v>449045</v>
      </c>
      <c r="B400" s="1">
        <v>0</v>
      </c>
      <c r="D400" s="1" t="s">
        <v>27</v>
      </c>
      <c r="E400" s="1" t="s">
        <v>1076</v>
      </c>
      <c r="F400" s="1" t="s">
        <v>1077</v>
      </c>
      <c r="G400" s="1" t="s">
        <v>23</v>
      </c>
      <c r="I400" s="16">
        <v>42019.232766203706</v>
      </c>
      <c r="J400" s="1" t="s">
        <v>17</v>
      </c>
      <c r="K400" s="1" t="s">
        <v>18</v>
      </c>
      <c r="L400" s="1" t="s">
        <v>19</v>
      </c>
    </row>
    <row r="401" spans="1:16" ht="13" x14ac:dyDescent="0.15">
      <c r="A401" s="1">
        <v>508872</v>
      </c>
      <c r="B401" s="1">
        <v>0</v>
      </c>
      <c r="C401" s="1" t="s">
        <v>829</v>
      </c>
      <c r="D401" s="1" t="s">
        <v>27</v>
      </c>
      <c r="E401" s="1" t="s">
        <v>1078</v>
      </c>
      <c r="F401" s="1" t="s">
        <v>1079</v>
      </c>
      <c r="G401" s="1" t="s">
        <v>23</v>
      </c>
      <c r="I401" s="16">
        <v>42195.41337962963</v>
      </c>
      <c r="J401" s="1" t="s">
        <v>1080</v>
      </c>
      <c r="K401" s="1" t="s">
        <v>18</v>
      </c>
      <c r="L401" s="1" t="s">
        <v>19</v>
      </c>
    </row>
    <row r="402" spans="1:16" ht="13" x14ac:dyDescent="0.15">
      <c r="A402" s="1">
        <v>397396</v>
      </c>
      <c r="B402" s="1">
        <v>0</v>
      </c>
      <c r="C402" s="1" t="s">
        <v>1081</v>
      </c>
      <c r="D402" s="1" t="s">
        <v>27</v>
      </c>
      <c r="E402" s="1" t="s">
        <v>1082</v>
      </c>
      <c r="F402" s="1" t="s">
        <v>1083</v>
      </c>
      <c r="G402" s="1" t="s">
        <v>23</v>
      </c>
      <c r="I402" s="16">
        <v>41845.110914351855</v>
      </c>
      <c r="J402" s="1" t="s">
        <v>1084</v>
      </c>
      <c r="K402" s="1" t="s">
        <v>18</v>
      </c>
      <c r="L402" s="1" t="s">
        <v>19</v>
      </c>
    </row>
    <row r="403" spans="1:16" ht="13" x14ac:dyDescent="0.15">
      <c r="A403" s="1">
        <v>396447</v>
      </c>
      <c r="B403" s="1">
        <v>0</v>
      </c>
      <c r="C403" s="1" t="s">
        <v>829</v>
      </c>
      <c r="D403" s="1" t="s">
        <v>27</v>
      </c>
      <c r="E403" s="1" t="s">
        <v>1085</v>
      </c>
      <c r="F403" s="1" t="s">
        <v>1086</v>
      </c>
      <c r="G403" s="1" t="s">
        <v>23</v>
      </c>
      <c r="I403" s="16">
        <v>41843.160671296297</v>
      </c>
      <c r="J403" s="1" t="s">
        <v>1087</v>
      </c>
      <c r="K403" s="1" t="s">
        <v>18</v>
      </c>
      <c r="L403" s="1" t="s">
        <v>19</v>
      </c>
    </row>
    <row r="404" spans="1:16" ht="13" x14ac:dyDescent="0.15">
      <c r="A404" s="1">
        <v>304967</v>
      </c>
      <c r="B404" s="1">
        <v>1</v>
      </c>
      <c r="C404" s="1" t="s">
        <v>1088</v>
      </c>
      <c r="D404" s="1" t="s">
        <v>27</v>
      </c>
      <c r="E404" s="1" t="s">
        <v>1089</v>
      </c>
      <c r="F404" s="1" t="s">
        <v>1090</v>
      </c>
      <c r="G404" s="1" t="s">
        <v>23</v>
      </c>
      <c r="I404" s="16">
        <v>41554.924409722225</v>
      </c>
      <c r="J404" s="1" t="s">
        <v>1015</v>
      </c>
      <c r="K404" s="1" t="s">
        <v>18</v>
      </c>
      <c r="L404" s="1" t="s">
        <v>19</v>
      </c>
      <c r="M404" s="1">
        <v>320804</v>
      </c>
      <c r="N404" s="1" t="s">
        <v>1091</v>
      </c>
      <c r="O404" s="16">
        <v>41596.869583333333</v>
      </c>
      <c r="P404" s="1" t="s">
        <v>1092</v>
      </c>
    </row>
    <row r="405" spans="1:16" ht="13" x14ac:dyDescent="0.15">
      <c r="A405" s="1">
        <v>35366</v>
      </c>
      <c r="B405" s="1">
        <v>0</v>
      </c>
      <c r="C405" s="1" t="s">
        <v>26</v>
      </c>
      <c r="D405" s="1" t="s">
        <v>27</v>
      </c>
      <c r="E405" s="1" t="s">
        <v>1093</v>
      </c>
      <c r="F405" s="1" t="s">
        <v>1094</v>
      </c>
      <c r="G405" s="1" t="s">
        <v>23</v>
      </c>
      <c r="I405" s="16">
        <v>40220.17328703704</v>
      </c>
      <c r="J405" s="1" t="s">
        <v>151</v>
      </c>
      <c r="K405" s="1" t="s">
        <v>18</v>
      </c>
      <c r="L405" s="1" t="s">
        <v>19</v>
      </c>
    </row>
    <row r="406" spans="1:16" ht="13" x14ac:dyDescent="0.15">
      <c r="A406" s="1">
        <v>178266</v>
      </c>
      <c r="B406" s="1">
        <v>1</v>
      </c>
      <c r="C406" s="1" t="s">
        <v>26</v>
      </c>
      <c r="D406" s="1" t="s">
        <v>27</v>
      </c>
      <c r="E406" s="1" t="s">
        <v>58</v>
      </c>
      <c r="F406" s="1" t="s">
        <v>772</v>
      </c>
      <c r="G406" s="1" t="s">
        <v>23</v>
      </c>
      <c r="I406" s="16">
        <v>41330.980798611112</v>
      </c>
      <c r="J406" s="1" t="s">
        <v>155</v>
      </c>
      <c r="K406" s="1" t="s">
        <v>18</v>
      </c>
      <c r="L406" s="1" t="s">
        <v>19</v>
      </c>
      <c r="M406" s="1">
        <v>236678</v>
      </c>
      <c r="N406" s="1" t="s">
        <v>1095</v>
      </c>
      <c r="O406" s="16">
        <v>41394.017268518517</v>
      </c>
      <c r="P406" s="1" t="s">
        <v>261</v>
      </c>
    </row>
    <row r="407" spans="1:16" ht="13" x14ac:dyDescent="0.15">
      <c r="A407" s="1">
        <v>178269</v>
      </c>
      <c r="B407" s="1">
        <v>0</v>
      </c>
      <c r="C407" s="1" t="s">
        <v>26</v>
      </c>
      <c r="D407" s="1" t="s">
        <v>27</v>
      </c>
      <c r="E407" s="1" t="s">
        <v>1096</v>
      </c>
      <c r="F407" s="1" t="s">
        <v>1097</v>
      </c>
      <c r="G407" s="1" t="s">
        <v>23</v>
      </c>
      <c r="I407" s="16">
        <v>41330.983506944445</v>
      </c>
      <c r="J407" s="1" t="s">
        <v>155</v>
      </c>
      <c r="K407" s="1" t="s">
        <v>18</v>
      </c>
      <c r="L407" s="1" t="s">
        <v>19</v>
      </c>
    </row>
    <row r="408" spans="1:16" ht="13" x14ac:dyDescent="0.15">
      <c r="A408" s="1">
        <v>110374</v>
      </c>
      <c r="B408" s="1">
        <v>0</v>
      </c>
      <c r="C408" s="1" t="s">
        <v>26</v>
      </c>
      <c r="D408" s="1" t="s">
        <v>27</v>
      </c>
      <c r="E408" s="1" t="s">
        <v>1098</v>
      </c>
      <c r="F408" s="1" t="s">
        <v>1099</v>
      </c>
      <c r="G408" s="1" t="s">
        <v>23</v>
      </c>
      <c r="I408" s="16">
        <v>40924.599965277775</v>
      </c>
      <c r="J408" s="1" t="s">
        <v>544</v>
      </c>
      <c r="K408" s="1" t="s">
        <v>18</v>
      </c>
      <c r="L408" s="1" t="s">
        <v>19</v>
      </c>
    </row>
    <row r="409" spans="1:16" ht="13" x14ac:dyDescent="0.15">
      <c r="A409" s="1">
        <v>369525</v>
      </c>
      <c r="B409" s="1">
        <v>0</v>
      </c>
      <c r="C409" s="1" t="s">
        <v>1100</v>
      </c>
      <c r="D409" s="1" t="s">
        <v>27</v>
      </c>
      <c r="E409" s="1" t="s">
        <v>1101</v>
      </c>
      <c r="F409" s="1" t="s">
        <v>1102</v>
      </c>
      <c r="I409" s="16">
        <v>41761.688402777778</v>
      </c>
      <c r="J409" s="1" t="s">
        <v>860</v>
      </c>
      <c r="K409" s="1" t="s">
        <v>18</v>
      </c>
      <c r="L409" s="1" t="s">
        <v>19</v>
      </c>
    </row>
    <row r="410" spans="1:16" ht="13" x14ac:dyDescent="0.15">
      <c r="A410" s="1">
        <v>262653</v>
      </c>
      <c r="B410" s="1">
        <v>0</v>
      </c>
      <c r="C410" s="1" t="s">
        <v>31</v>
      </c>
      <c r="D410" s="1" t="s">
        <v>27</v>
      </c>
      <c r="E410" s="1" t="s">
        <v>1103</v>
      </c>
      <c r="F410" s="1" t="s">
        <v>1104</v>
      </c>
      <c r="G410" s="1" t="s">
        <v>23</v>
      </c>
      <c r="I410" s="16">
        <v>41476.211921296293</v>
      </c>
      <c r="J410" s="1" t="s">
        <v>17</v>
      </c>
      <c r="K410" s="1" t="s">
        <v>18</v>
      </c>
      <c r="L410" s="1" t="s">
        <v>19</v>
      </c>
    </row>
    <row r="411" spans="1:16" ht="13" x14ac:dyDescent="0.15">
      <c r="A411" s="1">
        <v>147435</v>
      </c>
      <c r="B411" s="1">
        <v>0</v>
      </c>
      <c r="C411" s="1" t="s">
        <v>26</v>
      </c>
      <c r="D411" s="1" t="s">
        <v>27</v>
      </c>
      <c r="E411" s="1" t="s">
        <v>1105</v>
      </c>
      <c r="F411" s="1" t="s">
        <v>1106</v>
      </c>
      <c r="G411" s="1" t="s">
        <v>23</v>
      </c>
      <c r="I411" s="16">
        <v>41160.736678240741</v>
      </c>
      <c r="J411" s="1" t="s">
        <v>40</v>
      </c>
      <c r="K411" s="1" t="s">
        <v>18</v>
      </c>
      <c r="L411" s="1" t="s">
        <v>19</v>
      </c>
    </row>
    <row r="412" spans="1:16" ht="13" x14ac:dyDescent="0.15">
      <c r="A412" s="1">
        <v>92621</v>
      </c>
      <c r="B412" s="1">
        <v>0</v>
      </c>
      <c r="C412" s="1" t="s">
        <v>26</v>
      </c>
      <c r="D412" s="1" t="s">
        <v>27</v>
      </c>
      <c r="E412" s="1" t="s">
        <v>1107</v>
      </c>
      <c r="F412" s="1" t="s">
        <v>1108</v>
      </c>
      <c r="G412" s="1" t="s">
        <v>23</v>
      </c>
      <c r="I412" s="16">
        <v>40767.301585648151</v>
      </c>
      <c r="J412" s="1" t="s">
        <v>40</v>
      </c>
      <c r="K412" s="1" t="s">
        <v>18</v>
      </c>
      <c r="L412" s="1" t="s">
        <v>19</v>
      </c>
    </row>
    <row r="413" spans="1:16" ht="13" x14ac:dyDescent="0.15">
      <c r="A413" s="1">
        <v>138673</v>
      </c>
      <c r="B413" s="1">
        <v>0</v>
      </c>
      <c r="C413" s="1" t="s">
        <v>170</v>
      </c>
      <c r="D413" s="1" t="s">
        <v>27</v>
      </c>
      <c r="E413" s="1" t="s">
        <v>1109</v>
      </c>
      <c r="F413" s="1" t="s">
        <v>1110</v>
      </c>
      <c r="G413" s="1" t="s">
        <v>23</v>
      </c>
      <c r="I413" s="16">
        <v>41114.163530092592</v>
      </c>
      <c r="J413" s="1" t="s">
        <v>1111</v>
      </c>
      <c r="K413" s="1" t="s">
        <v>18</v>
      </c>
      <c r="L413" s="1" t="s">
        <v>19</v>
      </c>
    </row>
    <row r="414" spans="1:16" ht="13" x14ac:dyDescent="0.15">
      <c r="A414" s="1">
        <v>47866</v>
      </c>
      <c r="B414" s="1">
        <v>0</v>
      </c>
      <c r="C414" s="1" t="s">
        <v>26</v>
      </c>
      <c r="D414" s="1" t="s">
        <v>27</v>
      </c>
      <c r="E414" s="1" t="s">
        <v>1112</v>
      </c>
      <c r="F414" s="1" t="s">
        <v>29</v>
      </c>
      <c r="I414" s="16">
        <v>40358.702766203707</v>
      </c>
      <c r="J414" s="1" t="s">
        <v>72</v>
      </c>
      <c r="K414" s="1" t="s">
        <v>18</v>
      </c>
      <c r="L414" s="1" t="s">
        <v>19</v>
      </c>
    </row>
    <row r="415" spans="1:16" ht="13" x14ac:dyDescent="0.15">
      <c r="A415" s="1">
        <v>129569</v>
      </c>
      <c r="B415" s="1">
        <v>0</v>
      </c>
      <c r="C415" s="1" t="s">
        <v>527</v>
      </c>
      <c r="D415" s="1" t="s">
        <v>27</v>
      </c>
      <c r="E415" s="1" t="s">
        <v>1113</v>
      </c>
      <c r="F415" s="1" t="s">
        <v>1114</v>
      </c>
      <c r="G415" s="1" t="s">
        <v>23</v>
      </c>
      <c r="I415" s="16">
        <v>41053.625833333332</v>
      </c>
      <c r="J415" s="1" t="s">
        <v>40</v>
      </c>
      <c r="K415" s="1" t="s">
        <v>18</v>
      </c>
      <c r="L415" s="1" t="s">
        <v>19</v>
      </c>
    </row>
    <row r="416" spans="1:16" ht="13" x14ac:dyDescent="0.15">
      <c r="A416" s="1">
        <v>562986</v>
      </c>
      <c r="B416" s="1">
        <v>0</v>
      </c>
      <c r="D416" s="1" t="s">
        <v>27</v>
      </c>
      <c r="E416" s="1" t="s">
        <v>1115</v>
      </c>
      <c r="F416" s="1" t="s">
        <v>1116</v>
      </c>
      <c r="G416" s="1" t="s">
        <v>16</v>
      </c>
      <c r="I416" s="16">
        <v>42336.992037037038</v>
      </c>
      <c r="J416" s="1" t="s">
        <v>17</v>
      </c>
      <c r="K416" s="1" t="s">
        <v>18</v>
      </c>
      <c r="L416" s="1" t="s">
        <v>19</v>
      </c>
    </row>
    <row r="417" spans="1:20" ht="13" x14ac:dyDescent="0.15">
      <c r="A417" s="1">
        <v>102037</v>
      </c>
      <c r="B417" s="1">
        <v>0</v>
      </c>
      <c r="C417" s="1" t="s">
        <v>26</v>
      </c>
      <c r="D417" s="1" t="s">
        <v>27</v>
      </c>
      <c r="E417" s="1" t="s">
        <v>1117</v>
      </c>
      <c r="F417" s="1" t="s">
        <v>1118</v>
      </c>
      <c r="G417" s="1" t="s">
        <v>23</v>
      </c>
      <c r="I417" s="16">
        <v>40844.240474537037</v>
      </c>
      <c r="J417" s="1" t="s">
        <v>40</v>
      </c>
      <c r="K417" s="1" t="s">
        <v>18</v>
      </c>
      <c r="L417" s="1" t="s">
        <v>19</v>
      </c>
    </row>
    <row r="418" spans="1:20" ht="13" x14ac:dyDescent="0.15">
      <c r="A418" s="1">
        <v>91093</v>
      </c>
      <c r="B418" s="1">
        <v>0</v>
      </c>
      <c r="C418" s="1" t="s">
        <v>1119</v>
      </c>
      <c r="D418" s="1" t="s">
        <v>27</v>
      </c>
      <c r="E418" s="1" t="s">
        <v>1120</v>
      </c>
      <c r="F418" s="1" t="s">
        <v>1121</v>
      </c>
      <c r="G418" s="1" t="s">
        <v>23</v>
      </c>
      <c r="I418" s="16">
        <v>40754.590486111112</v>
      </c>
      <c r="J418" s="1" t="s">
        <v>40</v>
      </c>
      <c r="K418" s="1" t="s">
        <v>18</v>
      </c>
      <c r="L418" s="1" t="s">
        <v>19</v>
      </c>
    </row>
    <row r="419" spans="1:20" ht="13" x14ac:dyDescent="0.15">
      <c r="A419" s="1">
        <v>43967</v>
      </c>
      <c r="B419" s="1">
        <v>0</v>
      </c>
      <c r="C419" s="1" t="s">
        <v>1122</v>
      </c>
      <c r="D419" s="1" t="s">
        <v>27</v>
      </c>
      <c r="E419" s="1" t="s">
        <v>1123</v>
      </c>
      <c r="F419" s="1" t="s">
        <v>1124</v>
      </c>
      <c r="G419" s="1" t="s">
        <v>23</v>
      </c>
      <c r="I419" s="16">
        <v>40310.214212962965</v>
      </c>
      <c r="J419" s="1" t="s">
        <v>1125</v>
      </c>
      <c r="K419" s="1" t="s">
        <v>18</v>
      </c>
      <c r="L419" s="1" t="s">
        <v>19</v>
      </c>
    </row>
    <row r="420" spans="1:20" ht="13" x14ac:dyDescent="0.15">
      <c r="A420" s="1">
        <v>139464</v>
      </c>
      <c r="B420" s="1">
        <v>0</v>
      </c>
      <c r="C420" s="1" t="s">
        <v>26</v>
      </c>
      <c r="D420" s="1" t="s">
        <v>27</v>
      </c>
      <c r="E420" s="1" t="s">
        <v>1126</v>
      </c>
      <c r="F420" s="1" t="s">
        <v>1127</v>
      </c>
      <c r="G420" s="1" t="s">
        <v>23</v>
      </c>
      <c r="I420" s="16">
        <v>41118.133668981478</v>
      </c>
      <c r="J420" s="1" t="s">
        <v>40</v>
      </c>
      <c r="K420" s="1" t="s">
        <v>18</v>
      </c>
      <c r="L420" s="1" t="s">
        <v>19</v>
      </c>
    </row>
    <row r="421" spans="1:20" ht="13" x14ac:dyDescent="0.15">
      <c r="A421" s="1">
        <v>173399</v>
      </c>
      <c r="B421" s="1">
        <v>0</v>
      </c>
      <c r="C421" s="1" t="s">
        <v>26</v>
      </c>
      <c r="D421" s="1" t="s">
        <v>27</v>
      </c>
      <c r="E421" s="1" t="s">
        <v>1128</v>
      </c>
      <c r="F421" s="1" t="s">
        <v>1129</v>
      </c>
      <c r="G421" s="1" t="s">
        <v>23</v>
      </c>
      <c r="I421" s="16">
        <v>41305.696793981479</v>
      </c>
      <c r="J421" s="1" t="s">
        <v>40</v>
      </c>
      <c r="K421" s="1" t="s">
        <v>18</v>
      </c>
      <c r="L421" s="1" t="s">
        <v>19</v>
      </c>
    </row>
    <row r="422" spans="1:20" ht="13" x14ac:dyDescent="0.15">
      <c r="A422" s="1">
        <v>349898</v>
      </c>
      <c r="B422" s="1">
        <v>0</v>
      </c>
      <c r="C422" s="1" t="s">
        <v>522</v>
      </c>
      <c r="D422" s="1" t="s">
        <v>27</v>
      </c>
      <c r="E422" s="1" t="s">
        <v>1130</v>
      </c>
      <c r="F422" s="1" t="s">
        <v>1131</v>
      </c>
      <c r="G422" s="1" t="s">
        <v>23</v>
      </c>
      <c r="I422" s="16">
        <v>41704.572222222225</v>
      </c>
      <c r="J422" s="1" t="s">
        <v>854</v>
      </c>
      <c r="K422" s="1" t="s">
        <v>18</v>
      </c>
      <c r="L422" s="1" t="s">
        <v>19</v>
      </c>
    </row>
    <row r="423" spans="1:20" ht="13" x14ac:dyDescent="0.15">
      <c r="A423" s="1">
        <v>83743</v>
      </c>
      <c r="B423" s="1">
        <v>0</v>
      </c>
      <c r="C423" s="1" t="s">
        <v>26</v>
      </c>
      <c r="D423" s="1" t="s">
        <v>27</v>
      </c>
      <c r="E423" s="1" t="s">
        <v>1132</v>
      </c>
      <c r="F423" s="1" t="s">
        <v>1133</v>
      </c>
      <c r="G423" s="1" t="s">
        <v>23</v>
      </c>
      <c r="I423" s="16">
        <v>40687.677847222221</v>
      </c>
      <c r="J423" s="1" t="s">
        <v>40</v>
      </c>
      <c r="K423" s="1" t="s">
        <v>18</v>
      </c>
      <c r="L423" s="1" t="s">
        <v>19</v>
      </c>
    </row>
    <row r="424" spans="1:20" ht="13" x14ac:dyDescent="0.15">
      <c r="A424" s="1">
        <v>174020</v>
      </c>
      <c r="B424" s="1">
        <v>0</v>
      </c>
      <c r="C424" s="1" t="s">
        <v>26</v>
      </c>
      <c r="D424" s="1" t="s">
        <v>27</v>
      </c>
      <c r="E424" s="1" t="s">
        <v>1134</v>
      </c>
      <c r="F424" s="1" t="s">
        <v>395</v>
      </c>
      <c r="G424" s="1" t="s">
        <v>23</v>
      </c>
      <c r="I424" s="16">
        <v>41309.678854166668</v>
      </c>
      <c r="J424" s="1" t="s">
        <v>40</v>
      </c>
      <c r="K424" s="1" t="s">
        <v>18</v>
      </c>
      <c r="L424" s="1" t="s">
        <v>19</v>
      </c>
    </row>
    <row r="425" spans="1:20" ht="13" x14ac:dyDescent="0.15">
      <c r="A425" s="1">
        <v>618237</v>
      </c>
      <c r="B425" s="1">
        <v>0</v>
      </c>
      <c r="C425" s="1" t="s">
        <v>296</v>
      </c>
      <c r="D425" s="1" t="s">
        <v>27</v>
      </c>
      <c r="E425" s="1" t="s">
        <v>1135</v>
      </c>
      <c r="F425" s="1" t="s">
        <v>1136</v>
      </c>
      <c r="I425" s="16">
        <v>42529.393159722225</v>
      </c>
      <c r="J425" s="1" t="s">
        <v>68</v>
      </c>
      <c r="K425" s="1" t="s">
        <v>18</v>
      </c>
      <c r="L425" s="1" t="s">
        <v>19</v>
      </c>
    </row>
    <row r="426" spans="1:20" ht="13" x14ac:dyDescent="0.15">
      <c r="A426" s="1">
        <v>162620</v>
      </c>
      <c r="B426" s="1">
        <v>0</v>
      </c>
      <c r="C426" s="1" t="s">
        <v>26</v>
      </c>
      <c r="D426" s="1" t="s">
        <v>27</v>
      </c>
      <c r="E426" s="1" t="s">
        <v>1137</v>
      </c>
      <c r="F426" s="1" t="s">
        <v>707</v>
      </c>
      <c r="G426" s="1" t="s">
        <v>23</v>
      </c>
      <c r="I426" s="16">
        <v>41239.552025462966</v>
      </c>
      <c r="J426" s="1" t="s">
        <v>40</v>
      </c>
      <c r="K426" s="1" t="s">
        <v>18</v>
      </c>
      <c r="L426" s="1" t="s">
        <v>19</v>
      </c>
    </row>
    <row r="427" spans="1:20" ht="13" x14ac:dyDescent="0.15">
      <c r="A427" s="1">
        <v>162622</v>
      </c>
      <c r="B427" s="1">
        <v>2</v>
      </c>
      <c r="C427" s="1" t="s">
        <v>527</v>
      </c>
      <c r="D427" s="1" t="s">
        <v>27</v>
      </c>
      <c r="E427" s="1" t="s">
        <v>1138</v>
      </c>
      <c r="F427" s="1" t="s">
        <v>395</v>
      </c>
      <c r="G427" s="1" t="s">
        <v>23</v>
      </c>
      <c r="I427" s="16">
        <v>41239.556388888886</v>
      </c>
      <c r="J427" s="1" t="s">
        <v>40</v>
      </c>
      <c r="K427" s="1" t="s">
        <v>18</v>
      </c>
      <c r="L427" s="1" t="s">
        <v>19</v>
      </c>
      <c r="M427" s="1">
        <v>167423</v>
      </c>
      <c r="N427" s="1" t="s">
        <v>1139</v>
      </c>
      <c r="O427" s="16">
        <v>41265.438946759263</v>
      </c>
      <c r="P427" s="1" t="s">
        <v>44</v>
      </c>
      <c r="Q427" s="1">
        <v>166043</v>
      </c>
      <c r="R427" s="1" t="s">
        <v>1139</v>
      </c>
      <c r="S427" s="2">
        <v>41256.9455787037</v>
      </c>
      <c r="T427" s="1" t="s">
        <v>408</v>
      </c>
    </row>
    <row r="428" spans="1:20" ht="13" x14ac:dyDescent="0.15">
      <c r="A428" s="1">
        <v>120320</v>
      </c>
      <c r="B428" s="1">
        <v>0</v>
      </c>
      <c r="C428" s="1" t="s">
        <v>1140</v>
      </c>
      <c r="D428" s="1" t="s">
        <v>27</v>
      </c>
      <c r="E428" s="1" t="s">
        <v>1141</v>
      </c>
      <c r="F428" s="1" t="s">
        <v>1142</v>
      </c>
      <c r="G428" s="1" t="s">
        <v>159</v>
      </c>
      <c r="I428" s="16">
        <v>40995.032118055555</v>
      </c>
      <c r="J428" s="1" t="s">
        <v>398</v>
      </c>
      <c r="K428" s="1" t="s">
        <v>18</v>
      </c>
      <c r="L428" s="1" t="s">
        <v>19</v>
      </c>
    </row>
    <row r="429" spans="1:20" ht="13" x14ac:dyDescent="0.15">
      <c r="A429" s="1">
        <v>138208</v>
      </c>
      <c r="B429" s="1">
        <v>1</v>
      </c>
      <c r="C429" s="1" t="s">
        <v>514</v>
      </c>
      <c r="D429" s="1" t="s">
        <v>27</v>
      </c>
      <c r="E429" s="1" t="s">
        <v>1143</v>
      </c>
      <c r="F429" s="1" t="s">
        <v>1144</v>
      </c>
      <c r="G429" s="1" t="s">
        <v>23</v>
      </c>
      <c r="I429" s="16">
        <v>41110.307106481479</v>
      </c>
      <c r="J429" s="1" t="s">
        <v>408</v>
      </c>
      <c r="K429" s="1" t="s">
        <v>18</v>
      </c>
      <c r="L429" s="1" t="s">
        <v>19</v>
      </c>
      <c r="M429" s="1">
        <v>144441</v>
      </c>
      <c r="N429" s="1" t="s">
        <v>1145</v>
      </c>
      <c r="O429" s="16">
        <v>41144.751828703702</v>
      </c>
      <c r="P429" s="1" t="s">
        <v>44</v>
      </c>
    </row>
    <row r="430" spans="1:20" ht="13" x14ac:dyDescent="0.15">
      <c r="A430" s="1">
        <v>668724</v>
      </c>
      <c r="B430" s="1">
        <v>0</v>
      </c>
      <c r="C430" s="1" t="s">
        <v>12</v>
      </c>
      <c r="D430" s="1" t="s">
        <v>27</v>
      </c>
      <c r="E430" s="1" t="s">
        <v>1146</v>
      </c>
      <c r="F430" s="1" t="s">
        <v>1147</v>
      </c>
      <c r="G430" s="1" t="s">
        <v>159</v>
      </c>
      <c r="I430" s="16">
        <v>42699.664409722223</v>
      </c>
      <c r="J430" s="1" t="s">
        <v>1148</v>
      </c>
      <c r="K430" s="1" t="s">
        <v>18</v>
      </c>
      <c r="L430" s="1" t="s">
        <v>19</v>
      </c>
    </row>
    <row r="431" spans="1:20" ht="13" x14ac:dyDescent="0.15">
      <c r="A431" s="1">
        <v>643948</v>
      </c>
      <c r="B431" s="1">
        <v>0</v>
      </c>
      <c r="C431" s="1" t="s">
        <v>50</v>
      </c>
      <c r="D431" s="1" t="s">
        <v>27</v>
      </c>
      <c r="E431" s="1" t="s">
        <v>1149</v>
      </c>
      <c r="F431" s="1" t="s">
        <v>1150</v>
      </c>
      <c r="G431" s="1" t="s">
        <v>23</v>
      </c>
      <c r="I431" s="16">
        <v>42616.908321759256</v>
      </c>
      <c r="J431" s="1" t="s">
        <v>1151</v>
      </c>
      <c r="K431" s="1" t="s">
        <v>18</v>
      </c>
      <c r="L431" s="1" t="s">
        <v>19</v>
      </c>
    </row>
    <row r="432" spans="1:20" ht="13" x14ac:dyDescent="0.15">
      <c r="A432" s="1">
        <v>471990</v>
      </c>
      <c r="B432" s="1">
        <v>0</v>
      </c>
      <c r="C432" s="1" t="s">
        <v>12</v>
      </c>
      <c r="D432" s="1" t="s">
        <v>27</v>
      </c>
      <c r="E432" s="1" t="s">
        <v>1152</v>
      </c>
      <c r="F432" s="1" t="s">
        <v>1153</v>
      </c>
      <c r="G432" s="1" t="s">
        <v>23</v>
      </c>
      <c r="I432" s="16">
        <v>42094.26121527778</v>
      </c>
      <c r="J432" s="1" t="s">
        <v>17</v>
      </c>
      <c r="K432" s="1" t="s">
        <v>18</v>
      </c>
      <c r="L432" s="1" t="s">
        <v>19</v>
      </c>
    </row>
    <row r="433" spans="1:12" ht="13" x14ac:dyDescent="0.15">
      <c r="A433" s="1">
        <v>402407</v>
      </c>
      <c r="B433" s="1">
        <v>0</v>
      </c>
      <c r="D433" s="1" t="s">
        <v>27</v>
      </c>
      <c r="E433" s="1" t="s">
        <v>1154</v>
      </c>
      <c r="F433" s="1" t="s">
        <v>1155</v>
      </c>
      <c r="I433" s="16">
        <v>41862.451909722222</v>
      </c>
      <c r="J433" s="1" t="s">
        <v>68</v>
      </c>
      <c r="K433" s="1" t="s">
        <v>18</v>
      </c>
      <c r="L433" s="1" t="s">
        <v>19</v>
      </c>
    </row>
    <row r="434" spans="1:12" ht="13" x14ac:dyDescent="0.15">
      <c r="A434" s="1">
        <v>356235</v>
      </c>
      <c r="B434" s="1">
        <v>0</v>
      </c>
      <c r="C434" s="1" t="s">
        <v>1156</v>
      </c>
      <c r="D434" s="1" t="s">
        <v>27</v>
      </c>
      <c r="E434" s="1" t="s">
        <v>1157</v>
      </c>
      <c r="F434" s="1" t="s">
        <v>1158</v>
      </c>
      <c r="G434" s="1" t="s">
        <v>23</v>
      </c>
      <c r="I434" s="16">
        <v>41723.710219907407</v>
      </c>
      <c r="J434" s="1" t="s">
        <v>1159</v>
      </c>
      <c r="K434" s="1" t="s">
        <v>18</v>
      </c>
      <c r="L434" s="1" t="s">
        <v>19</v>
      </c>
    </row>
    <row r="435" spans="1:12" ht="13" x14ac:dyDescent="0.15">
      <c r="A435" s="1">
        <v>89402</v>
      </c>
      <c r="B435" s="1">
        <v>0</v>
      </c>
      <c r="D435" s="1" t="s">
        <v>27</v>
      </c>
      <c r="E435" s="1" t="s">
        <v>1160</v>
      </c>
      <c r="F435" s="1" t="s">
        <v>1161</v>
      </c>
      <c r="I435" s="16">
        <v>40739.386238425926</v>
      </c>
      <c r="J435" s="1" t="s">
        <v>836</v>
      </c>
      <c r="K435" s="1" t="s">
        <v>18</v>
      </c>
      <c r="L435" s="1" t="s">
        <v>19</v>
      </c>
    </row>
    <row r="436" spans="1:12" ht="13" x14ac:dyDescent="0.15">
      <c r="A436" s="1">
        <v>82152</v>
      </c>
      <c r="B436" s="1">
        <v>0</v>
      </c>
      <c r="D436" s="1" t="s">
        <v>27</v>
      </c>
      <c r="E436" s="1" t="s">
        <v>1162</v>
      </c>
      <c r="F436" s="1" t="s">
        <v>1163</v>
      </c>
      <c r="G436" s="1" t="s">
        <v>16</v>
      </c>
      <c r="I436" s="16">
        <v>40673.770995370367</v>
      </c>
      <c r="J436" s="1" t="s">
        <v>151</v>
      </c>
      <c r="K436" s="1" t="s">
        <v>18</v>
      </c>
      <c r="L436" s="1" t="s">
        <v>19</v>
      </c>
    </row>
    <row r="437" spans="1:12" ht="13" x14ac:dyDescent="0.15">
      <c r="A437" s="1">
        <v>303657</v>
      </c>
      <c r="B437" s="1">
        <v>0</v>
      </c>
      <c r="D437" s="1" t="s">
        <v>27</v>
      </c>
      <c r="E437" s="1" t="s">
        <v>788</v>
      </c>
      <c r="F437" s="1" t="s">
        <v>1164</v>
      </c>
      <c r="G437" s="1" t="s">
        <v>23</v>
      </c>
      <c r="I437" s="16">
        <v>41550.558576388888</v>
      </c>
      <c r="J437" s="1" t="s">
        <v>228</v>
      </c>
      <c r="K437" s="1" t="s">
        <v>18</v>
      </c>
      <c r="L437" s="1" t="s">
        <v>19</v>
      </c>
    </row>
    <row r="438" spans="1:12" ht="13" x14ac:dyDescent="0.15">
      <c r="A438" s="1">
        <v>102242</v>
      </c>
      <c r="B438" s="1">
        <v>0</v>
      </c>
      <c r="C438" s="1" t="s">
        <v>26</v>
      </c>
      <c r="D438" s="1" t="s">
        <v>27</v>
      </c>
      <c r="E438" s="1" t="s">
        <v>1165</v>
      </c>
      <c r="F438" s="1" t="s">
        <v>1166</v>
      </c>
      <c r="G438" s="1" t="s">
        <v>23</v>
      </c>
      <c r="I438" s="16">
        <v>40845.331967592596</v>
      </c>
      <c r="J438" s="1" t="s">
        <v>40</v>
      </c>
      <c r="K438" s="1" t="s">
        <v>18</v>
      </c>
      <c r="L438" s="1" t="s">
        <v>19</v>
      </c>
    </row>
    <row r="439" spans="1:12" ht="13" x14ac:dyDescent="0.15">
      <c r="A439" s="1">
        <v>167827</v>
      </c>
      <c r="B439" s="1">
        <v>0</v>
      </c>
      <c r="C439" s="1" t="s">
        <v>26</v>
      </c>
      <c r="D439" s="1" t="s">
        <v>27</v>
      </c>
      <c r="E439" s="1" t="s">
        <v>1167</v>
      </c>
      <c r="F439" s="1" t="s">
        <v>581</v>
      </c>
      <c r="G439" s="1" t="s">
        <v>23</v>
      </c>
      <c r="I439" s="16">
        <v>41272.130243055559</v>
      </c>
      <c r="J439" s="1" t="s">
        <v>40</v>
      </c>
      <c r="K439" s="1" t="s">
        <v>18</v>
      </c>
      <c r="L439" s="1" t="s">
        <v>19</v>
      </c>
    </row>
    <row r="440" spans="1:12" ht="13" x14ac:dyDescent="0.15">
      <c r="A440" s="1">
        <v>166708</v>
      </c>
      <c r="B440" s="1">
        <v>0</v>
      </c>
      <c r="C440" s="1" t="s">
        <v>1168</v>
      </c>
      <c r="D440" s="1" t="s">
        <v>27</v>
      </c>
      <c r="E440" s="1" t="s">
        <v>1169</v>
      </c>
      <c r="F440" s="1" t="s">
        <v>1170</v>
      </c>
      <c r="G440" s="1" t="s">
        <v>23</v>
      </c>
      <c r="I440" s="16">
        <v>41261.878229166665</v>
      </c>
      <c r="J440" s="1" t="s">
        <v>1171</v>
      </c>
      <c r="K440" s="1" t="s">
        <v>18</v>
      </c>
      <c r="L440" s="1" t="s">
        <v>19</v>
      </c>
    </row>
    <row r="441" spans="1:12" ht="13" x14ac:dyDescent="0.15">
      <c r="A441" s="1">
        <v>66473</v>
      </c>
      <c r="B441" s="1">
        <v>0</v>
      </c>
      <c r="C441" s="1" t="s">
        <v>26</v>
      </c>
      <c r="D441" s="1" t="s">
        <v>27</v>
      </c>
      <c r="E441" s="1" t="s">
        <v>1172</v>
      </c>
      <c r="F441" s="1" t="s">
        <v>1173</v>
      </c>
      <c r="G441" s="1" t="s">
        <v>23</v>
      </c>
      <c r="I441" s="16">
        <v>40522.89739583333</v>
      </c>
      <c r="J441" s="1" t="s">
        <v>1174</v>
      </c>
      <c r="K441" s="1" t="s">
        <v>18</v>
      </c>
      <c r="L441" s="1" t="s">
        <v>19</v>
      </c>
    </row>
    <row r="442" spans="1:12" ht="13" x14ac:dyDescent="0.15">
      <c r="A442" s="1">
        <v>276339</v>
      </c>
      <c r="B442" s="1">
        <v>0</v>
      </c>
      <c r="C442" s="1" t="s">
        <v>95</v>
      </c>
      <c r="D442" s="1" t="s">
        <v>27</v>
      </c>
      <c r="E442" s="1" t="s">
        <v>1175</v>
      </c>
      <c r="F442" s="1" t="s">
        <v>1176</v>
      </c>
      <c r="G442" s="1" t="s">
        <v>159</v>
      </c>
      <c r="I442" s="16">
        <v>41506.63590277778</v>
      </c>
      <c r="J442" s="1" t="s">
        <v>944</v>
      </c>
      <c r="K442" s="1" t="s">
        <v>18</v>
      </c>
      <c r="L442" s="1" t="s">
        <v>19</v>
      </c>
    </row>
    <row r="443" spans="1:12" ht="13" x14ac:dyDescent="0.15">
      <c r="A443" s="1">
        <v>168473</v>
      </c>
      <c r="B443" s="1">
        <v>0</v>
      </c>
      <c r="C443" s="1" t="s">
        <v>170</v>
      </c>
      <c r="D443" s="1" t="s">
        <v>27</v>
      </c>
      <c r="E443" s="1" t="s">
        <v>1177</v>
      </c>
      <c r="F443" s="1" t="s">
        <v>1178</v>
      </c>
      <c r="G443" s="1" t="s">
        <v>23</v>
      </c>
      <c r="I443" s="16">
        <v>41279.838252314818</v>
      </c>
      <c r="J443" s="1" t="s">
        <v>40</v>
      </c>
      <c r="K443" s="1" t="s">
        <v>18</v>
      </c>
      <c r="L443" s="1" t="s">
        <v>19</v>
      </c>
    </row>
    <row r="444" spans="1:12" ht="13" x14ac:dyDescent="0.15">
      <c r="A444" s="1">
        <v>48284</v>
      </c>
      <c r="B444" s="1">
        <v>0</v>
      </c>
      <c r="C444" s="1" t="s">
        <v>26</v>
      </c>
      <c r="D444" s="1" t="s">
        <v>27</v>
      </c>
      <c r="E444" s="1" t="s">
        <v>1179</v>
      </c>
      <c r="F444" s="1" t="s">
        <v>1180</v>
      </c>
      <c r="I444" s="16">
        <v>40363.341111111113</v>
      </c>
      <c r="J444" s="1" t="s">
        <v>190</v>
      </c>
      <c r="K444" s="1" t="s">
        <v>18</v>
      </c>
      <c r="L444" s="1" t="s">
        <v>19</v>
      </c>
    </row>
    <row r="445" spans="1:12" ht="13" x14ac:dyDescent="0.15">
      <c r="A445" s="1">
        <v>28574</v>
      </c>
      <c r="B445" s="1">
        <v>0</v>
      </c>
      <c r="D445" s="1" t="s">
        <v>27</v>
      </c>
      <c r="E445" s="1" t="s">
        <v>1181</v>
      </c>
      <c r="F445" s="1" t="s">
        <v>1182</v>
      </c>
      <c r="G445" s="1" t="s">
        <v>16</v>
      </c>
      <c r="I445" s="16">
        <v>40140.655995370369</v>
      </c>
      <c r="J445" s="1" t="s">
        <v>870</v>
      </c>
      <c r="K445" s="1" t="s">
        <v>18</v>
      </c>
      <c r="L445" s="1" t="s">
        <v>19</v>
      </c>
    </row>
    <row r="446" spans="1:12" ht="13" x14ac:dyDescent="0.15">
      <c r="A446" s="1">
        <v>59593</v>
      </c>
      <c r="B446" s="1">
        <v>0</v>
      </c>
      <c r="C446" s="1" t="s">
        <v>26</v>
      </c>
      <c r="D446" s="1" t="s">
        <v>27</v>
      </c>
      <c r="E446" s="1" t="s">
        <v>1183</v>
      </c>
      <c r="F446" s="1" t="s">
        <v>720</v>
      </c>
      <c r="G446" s="1" t="s">
        <v>23</v>
      </c>
      <c r="I446" s="16">
        <v>40469.735405092593</v>
      </c>
      <c r="J446" s="1" t="s">
        <v>398</v>
      </c>
      <c r="K446" s="1" t="s">
        <v>18</v>
      </c>
      <c r="L446" s="1" t="s">
        <v>19</v>
      </c>
    </row>
    <row r="447" spans="1:12" ht="13" x14ac:dyDescent="0.15">
      <c r="A447" s="1">
        <v>118593</v>
      </c>
      <c r="B447" s="1">
        <v>0</v>
      </c>
      <c r="C447" s="1" t="s">
        <v>41</v>
      </c>
      <c r="D447" s="1" t="s">
        <v>27</v>
      </c>
      <c r="E447" s="1" t="s">
        <v>1184</v>
      </c>
      <c r="F447" s="1" t="s">
        <v>1185</v>
      </c>
      <c r="G447" s="1" t="s">
        <v>23</v>
      </c>
      <c r="I447" s="16">
        <v>40984.560104166667</v>
      </c>
      <c r="J447" s="1" t="s">
        <v>544</v>
      </c>
      <c r="K447" s="1" t="s">
        <v>18</v>
      </c>
      <c r="L447" s="1" t="s">
        <v>19</v>
      </c>
    </row>
    <row r="448" spans="1:12" ht="13" x14ac:dyDescent="0.15">
      <c r="A448" s="1">
        <v>577105</v>
      </c>
      <c r="B448" s="1">
        <v>0</v>
      </c>
      <c r="C448" s="1" t="s">
        <v>522</v>
      </c>
      <c r="D448" s="1" t="s">
        <v>27</v>
      </c>
      <c r="E448" s="1" t="s">
        <v>1186</v>
      </c>
      <c r="F448" s="1" t="s">
        <v>1187</v>
      </c>
      <c r="G448" s="1" t="s">
        <v>23</v>
      </c>
      <c r="I448" s="16">
        <v>42382.49114583333</v>
      </c>
      <c r="J448" s="1" t="s">
        <v>247</v>
      </c>
      <c r="K448" s="1" t="s">
        <v>18</v>
      </c>
      <c r="L448" s="1" t="s">
        <v>19</v>
      </c>
    </row>
    <row r="449" spans="1:12" ht="13" x14ac:dyDescent="0.15">
      <c r="A449" s="1">
        <v>49377</v>
      </c>
      <c r="B449" s="1">
        <v>0</v>
      </c>
      <c r="C449" s="1" t="s">
        <v>1188</v>
      </c>
      <c r="D449" s="1" t="s">
        <v>27</v>
      </c>
      <c r="E449" s="1" t="s">
        <v>1189</v>
      </c>
      <c r="F449" s="1" t="s">
        <v>1190</v>
      </c>
      <c r="G449" s="1" t="s">
        <v>23</v>
      </c>
      <c r="I449" s="16">
        <v>40375.936863425923</v>
      </c>
      <c r="J449" s="1" t="s">
        <v>1064</v>
      </c>
      <c r="K449" s="1" t="s">
        <v>18</v>
      </c>
      <c r="L449" s="1" t="s">
        <v>19</v>
      </c>
    </row>
    <row r="450" spans="1:12" ht="13" x14ac:dyDescent="0.15">
      <c r="A450" s="1">
        <v>136296</v>
      </c>
      <c r="B450" s="1">
        <v>0</v>
      </c>
      <c r="C450" s="1" t="s">
        <v>41</v>
      </c>
      <c r="D450" s="1" t="s">
        <v>27</v>
      </c>
      <c r="E450" s="1" t="s">
        <v>1191</v>
      </c>
      <c r="F450" s="1" t="s">
        <v>1192</v>
      </c>
      <c r="G450" s="1" t="s">
        <v>23</v>
      </c>
      <c r="I450" s="16">
        <v>41099.089722222219</v>
      </c>
      <c r="J450" s="1" t="s">
        <v>40</v>
      </c>
      <c r="K450" s="1" t="s">
        <v>18</v>
      </c>
      <c r="L450" s="1" t="s">
        <v>19</v>
      </c>
    </row>
    <row r="451" spans="1:12" ht="13" x14ac:dyDescent="0.15">
      <c r="A451" s="1">
        <v>187243</v>
      </c>
      <c r="B451" s="1">
        <v>0</v>
      </c>
      <c r="C451" s="1" t="s">
        <v>26</v>
      </c>
      <c r="D451" s="1" t="s">
        <v>27</v>
      </c>
      <c r="E451" s="1" t="s">
        <v>1193</v>
      </c>
      <c r="F451" s="1" t="s">
        <v>1194</v>
      </c>
      <c r="G451" s="1" t="s">
        <v>23</v>
      </c>
      <c r="I451" s="16">
        <v>41345.727175925924</v>
      </c>
      <c r="J451" s="1" t="s">
        <v>40</v>
      </c>
      <c r="K451" s="1" t="s">
        <v>18</v>
      </c>
      <c r="L451" s="1" t="s">
        <v>19</v>
      </c>
    </row>
    <row r="452" spans="1:12" ht="13" x14ac:dyDescent="0.15">
      <c r="A452" s="1">
        <v>603732</v>
      </c>
      <c r="B452" s="1">
        <v>0</v>
      </c>
      <c r="C452" s="1" t="s">
        <v>305</v>
      </c>
      <c r="D452" s="1" t="s">
        <v>27</v>
      </c>
      <c r="E452" s="1" t="s">
        <v>1195</v>
      </c>
      <c r="F452" s="1" t="s">
        <v>1196</v>
      </c>
      <c r="G452" s="1" t="s">
        <v>23</v>
      </c>
      <c r="I452" s="16">
        <v>42474.926215277781</v>
      </c>
      <c r="J452" s="1" t="s">
        <v>311</v>
      </c>
      <c r="K452" s="1" t="s">
        <v>18</v>
      </c>
      <c r="L452" s="1" t="s">
        <v>19</v>
      </c>
    </row>
    <row r="453" spans="1:12" ht="13" x14ac:dyDescent="0.15">
      <c r="A453" s="1">
        <v>326860</v>
      </c>
      <c r="B453" s="1">
        <v>0</v>
      </c>
      <c r="C453" s="1" t="s">
        <v>268</v>
      </c>
      <c r="D453" s="1" t="s">
        <v>27</v>
      </c>
      <c r="E453" s="1" t="s">
        <v>1197</v>
      </c>
      <c r="F453" s="1" t="s">
        <v>1198</v>
      </c>
      <c r="G453" s="1" t="s">
        <v>23</v>
      </c>
      <c r="I453" s="16">
        <v>41616.945023148146</v>
      </c>
      <c r="J453" s="1" t="s">
        <v>17</v>
      </c>
      <c r="K453" s="1" t="s">
        <v>18</v>
      </c>
      <c r="L453" s="1" t="s">
        <v>19</v>
      </c>
    </row>
    <row r="454" spans="1:12" ht="13" x14ac:dyDescent="0.15">
      <c r="A454" s="1">
        <v>101018</v>
      </c>
      <c r="B454" s="1">
        <v>0</v>
      </c>
      <c r="C454" s="1" t="s">
        <v>1199</v>
      </c>
      <c r="D454" s="1" t="s">
        <v>27</v>
      </c>
      <c r="E454" s="1" t="s">
        <v>1200</v>
      </c>
      <c r="F454" s="1" t="s">
        <v>1201</v>
      </c>
      <c r="G454" s="1" t="s">
        <v>23</v>
      </c>
      <c r="I454" s="16">
        <v>40836.653865740744</v>
      </c>
      <c r="J454" s="1" t="s">
        <v>40</v>
      </c>
      <c r="K454" s="1" t="s">
        <v>18</v>
      </c>
      <c r="L454" s="1" t="s">
        <v>19</v>
      </c>
    </row>
    <row r="455" spans="1:12" ht="13" x14ac:dyDescent="0.15">
      <c r="A455" s="1">
        <v>46126</v>
      </c>
      <c r="B455" s="1">
        <v>0</v>
      </c>
      <c r="C455" s="1" t="s">
        <v>170</v>
      </c>
      <c r="D455" s="1" t="s">
        <v>27</v>
      </c>
      <c r="E455" s="1" t="s">
        <v>1202</v>
      </c>
      <c r="F455" s="1" t="s">
        <v>1203</v>
      </c>
      <c r="I455" s="16">
        <v>40338.108981481484</v>
      </c>
      <c r="J455" s="1" t="s">
        <v>40</v>
      </c>
      <c r="K455" s="1" t="s">
        <v>18</v>
      </c>
      <c r="L455" s="1" t="s">
        <v>19</v>
      </c>
    </row>
    <row r="456" spans="1:12" ht="13" x14ac:dyDescent="0.15">
      <c r="A456" s="1">
        <v>154284</v>
      </c>
      <c r="B456" s="1">
        <v>0</v>
      </c>
      <c r="C456" s="1" t="s">
        <v>26</v>
      </c>
      <c r="D456" s="1" t="s">
        <v>27</v>
      </c>
      <c r="E456" s="1" t="s">
        <v>1204</v>
      </c>
      <c r="F456" s="1" t="s">
        <v>1205</v>
      </c>
      <c r="G456" s="1" t="s">
        <v>23</v>
      </c>
      <c r="I456" s="16">
        <v>41187.483263888891</v>
      </c>
      <c r="J456" s="1" t="s">
        <v>40</v>
      </c>
      <c r="K456" s="1" t="s">
        <v>18</v>
      </c>
      <c r="L456" s="1" t="s">
        <v>19</v>
      </c>
    </row>
    <row r="457" spans="1:12" ht="13" x14ac:dyDescent="0.15">
      <c r="A457" s="1">
        <v>458870</v>
      </c>
      <c r="B457" s="1">
        <v>0</v>
      </c>
      <c r="D457" s="1" t="s">
        <v>27</v>
      </c>
      <c r="E457" s="1" t="s">
        <v>1206</v>
      </c>
      <c r="F457" s="1" t="s">
        <v>1207</v>
      </c>
      <c r="G457" s="1" t="s">
        <v>23</v>
      </c>
      <c r="I457" s="16">
        <v>42050.98228009259</v>
      </c>
      <c r="J457" s="1" t="s">
        <v>17</v>
      </c>
      <c r="K457" s="1" t="s">
        <v>18</v>
      </c>
      <c r="L457" s="1" t="s">
        <v>19</v>
      </c>
    </row>
    <row r="458" spans="1:12" ht="13" x14ac:dyDescent="0.15">
      <c r="A458" s="1">
        <v>678461</v>
      </c>
      <c r="B458" s="1">
        <v>0</v>
      </c>
      <c r="C458" s="1" t="s">
        <v>12</v>
      </c>
      <c r="D458" s="1" t="s">
        <v>27</v>
      </c>
      <c r="E458" s="1" t="s">
        <v>1208</v>
      </c>
      <c r="F458" s="1" t="s">
        <v>1209</v>
      </c>
      <c r="G458" s="1" t="s">
        <v>813</v>
      </c>
      <c r="I458" s="16">
        <v>42740.067986111113</v>
      </c>
      <c r="J458" s="1" t="s">
        <v>379</v>
      </c>
      <c r="K458" s="1" t="s">
        <v>18</v>
      </c>
      <c r="L458" s="1" t="s">
        <v>19</v>
      </c>
    </row>
    <row r="459" spans="1:12" ht="13" x14ac:dyDescent="0.15">
      <c r="A459" s="1">
        <v>78639</v>
      </c>
      <c r="B459" s="1">
        <v>0</v>
      </c>
      <c r="C459" s="1" t="s">
        <v>194</v>
      </c>
      <c r="D459" s="1" t="s">
        <v>27</v>
      </c>
      <c r="E459" s="1" t="s">
        <v>1210</v>
      </c>
      <c r="F459" s="1" t="s">
        <v>1211</v>
      </c>
      <c r="I459" s="16">
        <v>40639.822280092594</v>
      </c>
      <c r="J459" s="1" t="s">
        <v>1212</v>
      </c>
      <c r="K459" s="1" t="s">
        <v>18</v>
      </c>
      <c r="L459" s="1" t="s">
        <v>19</v>
      </c>
    </row>
    <row r="460" spans="1:12" ht="13" x14ac:dyDescent="0.15">
      <c r="A460" s="1">
        <v>671102</v>
      </c>
      <c r="B460" s="1">
        <v>0</v>
      </c>
      <c r="C460" s="1" t="s">
        <v>26</v>
      </c>
      <c r="D460" s="1" t="s">
        <v>27</v>
      </c>
      <c r="E460" s="1" t="s">
        <v>1213</v>
      </c>
      <c r="F460" s="1" t="s">
        <v>1214</v>
      </c>
      <c r="G460" s="1" t="s">
        <v>23</v>
      </c>
      <c r="I460" s="16">
        <v>42709.26866898148</v>
      </c>
      <c r="J460" s="1" t="s">
        <v>247</v>
      </c>
      <c r="K460" s="1" t="s">
        <v>18</v>
      </c>
      <c r="L460" s="1" t="s">
        <v>19</v>
      </c>
    </row>
    <row r="461" spans="1:12" ht="13" x14ac:dyDescent="0.15">
      <c r="A461" s="1">
        <v>487237</v>
      </c>
      <c r="B461" s="1">
        <v>0</v>
      </c>
      <c r="C461" s="1" t="s">
        <v>137</v>
      </c>
      <c r="D461" s="1" t="s">
        <v>27</v>
      </c>
      <c r="E461" s="1" t="s">
        <v>1215</v>
      </c>
      <c r="F461" s="1" t="s">
        <v>1216</v>
      </c>
      <c r="G461" s="1" t="s">
        <v>23</v>
      </c>
      <c r="I461" s="16">
        <v>42136.579375000001</v>
      </c>
      <c r="J461" s="1" t="s">
        <v>656</v>
      </c>
      <c r="K461" s="1" t="s">
        <v>18</v>
      </c>
      <c r="L461" s="1" t="s">
        <v>19</v>
      </c>
    </row>
    <row r="462" spans="1:12" ht="13" x14ac:dyDescent="0.15">
      <c r="A462" s="1">
        <v>67303</v>
      </c>
      <c r="B462" s="1">
        <v>0</v>
      </c>
      <c r="C462" s="1" t="s">
        <v>549</v>
      </c>
      <c r="D462" s="1" t="s">
        <v>27</v>
      </c>
      <c r="E462" s="1" t="s">
        <v>1217</v>
      </c>
      <c r="F462" s="1" t="s">
        <v>1218</v>
      </c>
      <c r="I462" s="16">
        <v>40529.566388888888</v>
      </c>
      <c r="J462" s="1" t="s">
        <v>190</v>
      </c>
      <c r="K462" s="1" t="s">
        <v>18</v>
      </c>
      <c r="L462" s="1" t="s">
        <v>19</v>
      </c>
    </row>
    <row r="463" spans="1:12" ht="13" x14ac:dyDescent="0.15">
      <c r="A463" s="1">
        <v>471000</v>
      </c>
      <c r="B463" s="1">
        <v>0</v>
      </c>
      <c r="D463" s="1" t="s">
        <v>27</v>
      </c>
      <c r="E463" s="1" t="s">
        <v>877</v>
      </c>
      <c r="F463" s="1" t="s">
        <v>1219</v>
      </c>
      <c r="G463" s="1" t="s">
        <v>23</v>
      </c>
      <c r="I463" s="16">
        <v>42089.8591087963</v>
      </c>
      <c r="J463" s="1" t="s">
        <v>17</v>
      </c>
      <c r="K463" s="1" t="s">
        <v>18</v>
      </c>
      <c r="L463" s="1" t="s">
        <v>19</v>
      </c>
    </row>
    <row r="464" spans="1:12" ht="13" x14ac:dyDescent="0.15">
      <c r="A464" s="1">
        <v>128159</v>
      </c>
      <c r="B464" s="1">
        <v>0</v>
      </c>
      <c r="C464" s="1" t="s">
        <v>26</v>
      </c>
      <c r="D464" s="1" t="s">
        <v>27</v>
      </c>
      <c r="E464" s="1" t="s">
        <v>1220</v>
      </c>
      <c r="F464" s="1" t="s">
        <v>381</v>
      </c>
      <c r="G464" s="1" t="s">
        <v>23</v>
      </c>
      <c r="I464" s="16">
        <v>41044.559907407405</v>
      </c>
      <c r="J464" s="1" t="s">
        <v>40</v>
      </c>
      <c r="K464" s="1" t="s">
        <v>18</v>
      </c>
      <c r="L464" s="1" t="s">
        <v>19</v>
      </c>
    </row>
    <row r="465" spans="1:16" ht="13" x14ac:dyDescent="0.15">
      <c r="A465" s="1">
        <v>128151</v>
      </c>
      <c r="B465" s="1">
        <v>0</v>
      </c>
      <c r="C465" s="1" t="s">
        <v>26</v>
      </c>
      <c r="D465" s="1" t="s">
        <v>27</v>
      </c>
      <c r="E465" s="1" t="s">
        <v>1221</v>
      </c>
      <c r="F465" s="1" t="s">
        <v>1222</v>
      </c>
      <c r="G465" s="1" t="s">
        <v>23</v>
      </c>
      <c r="I465" s="16">
        <v>41044.456377314818</v>
      </c>
      <c r="J465" s="1" t="s">
        <v>544</v>
      </c>
      <c r="K465" s="1" t="s">
        <v>18</v>
      </c>
      <c r="L465" s="1" t="s">
        <v>19</v>
      </c>
    </row>
    <row r="466" spans="1:16" ht="13" x14ac:dyDescent="0.15">
      <c r="A466" s="1">
        <v>382601</v>
      </c>
      <c r="B466" s="1">
        <v>0</v>
      </c>
      <c r="C466" s="1" t="s">
        <v>12</v>
      </c>
      <c r="D466" s="1" t="s">
        <v>27</v>
      </c>
      <c r="E466" s="1" t="s">
        <v>1223</v>
      </c>
      <c r="F466" s="1" t="s">
        <v>1224</v>
      </c>
      <c r="G466" s="1" t="s">
        <v>23</v>
      </c>
      <c r="I466" s="16">
        <v>41799.789629629631</v>
      </c>
      <c r="J466" s="1" t="s">
        <v>952</v>
      </c>
      <c r="K466" s="1" t="s">
        <v>18</v>
      </c>
      <c r="L466" s="1" t="s">
        <v>19</v>
      </c>
    </row>
    <row r="467" spans="1:16" ht="13" x14ac:dyDescent="0.15">
      <c r="A467" s="1">
        <v>382606</v>
      </c>
      <c r="B467" s="1">
        <v>0</v>
      </c>
      <c r="C467" s="1" t="s">
        <v>12</v>
      </c>
      <c r="D467" s="1" t="s">
        <v>27</v>
      </c>
      <c r="E467" s="1" t="s">
        <v>1225</v>
      </c>
      <c r="F467" s="1" t="s">
        <v>951</v>
      </c>
      <c r="G467" s="1" t="s">
        <v>23</v>
      </c>
      <c r="I467" s="16">
        <v>41799.796782407408</v>
      </c>
      <c r="J467" s="1" t="s">
        <v>952</v>
      </c>
      <c r="K467" s="1" t="s">
        <v>18</v>
      </c>
      <c r="L467" s="1" t="s">
        <v>19</v>
      </c>
    </row>
    <row r="468" spans="1:16" ht="13" x14ac:dyDescent="0.15">
      <c r="A468" s="1">
        <v>43307</v>
      </c>
      <c r="B468" s="1">
        <v>0</v>
      </c>
      <c r="D468" s="1" t="s">
        <v>27</v>
      </c>
      <c r="E468" s="1" t="s">
        <v>1226</v>
      </c>
      <c r="F468" s="1" t="s">
        <v>254</v>
      </c>
      <c r="I468" s="16">
        <v>40303.560995370368</v>
      </c>
      <c r="J468" s="1" t="s">
        <v>151</v>
      </c>
      <c r="K468" s="1" t="s">
        <v>18</v>
      </c>
      <c r="L468" s="1" t="s">
        <v>19</v>
      </c>
    </row>
    <row r="469" spans="1:16" ht="13" x14ac:dyDescent="0.15">
      <c r="A469" s="1">
        <v>43304</v>
      </c>
      <c r="B469" s="1">
        <v>0</v>
      </c>
      <c r="D469" s="1" t="s">
        <v>27</v>
      </c>
      <c r="E469" s="1" t="s">
        <v>1227</v>
      </c>
      <c r="F469" s="1" t="s">
        <v>1228</v>
      </c>
      <c r="G469" s="1" t="s">
        <v>16</v>
      </c>
      <c r="I469" s="16">
        <v>40303.522511574076</v>
      </c>
      <c r="J469" s="1" t="s">
        <v>151</v>
      </c>
      <c r="K469" s="1" t="s">
        <v>18</v>
      </c>
      <c r="L469" s="1" t="s">
        <v>19</v>
      </c>
    </row>
    <row r="470" spans="1:16" ht="13" x14ac:dyDescent="0.15">
      <c r="A470" s="1">
        <v>257852</v>
      </c>
      <c r="B470" s="1">
        <v>0</v>
      </c>
      <c r="C470" s="1" t="s">
        <v>727</v>
      </c>
      <c r="D470" s="1" t="s">
        <v>27</v>
      </c>
      <c r="E470" s="1" t="s">
        <v>1229</v>
      </c>
      <c r="F470" s="1" t="s">
        <v>1230</v>
      </c>
      <c r="G470" s="1" t="s">
        <v>23</v>
      </c>
      <c r="I470" s="16">
        <v>41462.610231481478</v>
      </c>
      <c r="J470" s="1" t="s">
        <v>193</v>
      </c>
      <c r="K470" s="1" t="s">
        <v>18</v>
      </c>
      <c r="L470" s="1" t="s">
        <v>19</v>
      </c>
    </row>
    <row r="471" spans="1:16" ht="13" x14ac:dyDescent="0.15">
      <c r="A471" s="1">
        <v>99553</v>
      </c>
      <c r="B471" s="1">
        <v>1</v>
      </c>
      <c r="C471" s="1" t="s">
        <v>1231</v>
      </c>
      <c r="D471" s="1" t="s">
        <v>27</v>
      </c>
      <c r="E471" s="1" t="s">
        <v>1232</v>
      </c>
      <c r="F471" s="1" t="s">
        <v>1233</v>
      </c>
      <c r="G471" s="1" t="s">
        <v>23</v>
      </c>
      <c r="I471" s="16">
        <v>40823.966319444444</v>
      </c>
      <c r="J471" s="1" t="s">
        <v>1234</v>
      </c>
      <c r="K471" s="1" t="s">
        <v>18</v>
      </c>
      <c r="L471" s="1" t="s">
        <v>19</v>
      </c>
      <c r="M471" s="1">
        <v>100104</v>
      </c>
      <c r="N471" s="1" t="s">
        <v>1235</v>
      </c>
      <c r="O471" s="16">
        <v>40828.87740740741</v>
      </c>
      <c r="P471" s="1" t="s">
        <v>1236</v>
      </c>
    </row>
    <row r="472" spans="1:16" ht="13" x14ac:dyDescent="0.15">
      <c r="A472" s="1">
        <v>530301</v>
      </c>
      <c r="B472" s="1">
        <v>0</v>
      </c>
      <c r="C472" s="1" t="s">
        <v>77</v>
      </c>
      <c r="D472" s="1" t="s">
        <v>27</v>
      </c>
      <c r="E472" s="1" t="s">
        <v>1237</v>
      </c>
      <c r="F472" s="1" t="s">
        <v>1238</v>
      </c>
      <c r="G472" s="1" t="s">
        <v>23</v>
      </c>
      <c r="I472" s="16">
        <v>42257.851817129631</v>
      </c>
      <c r="J472" s="1" t="s">
        <v>247</v>
      </c>
      <c r="K472" s="1" t="s">
        <v>18</v>
      </c>
      <c r="L472" s="1" t="s">
        <v>19</v>
      </c>
    </row>
    <row r="473" spans="1:16" ht="13" x14ac:dyDescent="0.15">
      <c r="A473" s="1">
        <v>52682</v>
      </c>
      <c r="B473" s="1">
        <v>0</v>
      </c>
      <c r="C473" s="1" t="s">
        <v>170</v>
      </c>
      <c r="D473" s="1" t="s">
        <v>27</v>
      </c>
      <c r="E473" s="1" t="s">
        <v>1239</v>
      </c>
      <c r="F473" s="1" t="s">
        <v>1240</v>
      </c>
      <c r="I473" s="16">
        <v>40409.165636574071</v>
      </c>
      <c r="J473" s="1" t="s">
        <v>1241</v>
      </c>
      <c r="K473" s="1" t="s">
        <v>18</v>
      </c>
      <c r="L473" s="1" t="s">
        <v>19</v>
      </c>
    </row>
    <row r="474" spans="1:16" ht="13" x14ac:dyDescent="0.15">
      <c r="A474" s="1">
        <v>143648</v>
      </c>
      <c r="B474" s="1">
        <v>0</v>
      </c>
      <c r="C474" s="1" t="s">
        <v>26</v>
      </c>
      <c r="D474" s="1" t="s">
        <v>27</v>
      </c>
      <c r="E474" s="1" t="s">
        <v>1242</v>
      </c>
      <c r="F474" s="1" t="s">
        <v>1243</v>
      </c>
      <c r="G474" s="1" t="s">
        <v>23</v>
      </c>
      <c r="I474" s="16">
        <v>41141.028171296297</v>
      </c>
      <c r="J474" s="1" t="s">
        <v>40</v>
      </c>
      <c r="K474" s="1" t="s">
        <v>18</v>
      </c>
      <c r="L474" s="1" t="s">
        <v>19</v>
      </c>
    </row>
    <row r="475" spans="1:16" ht="13" x14ac:dyDescent="0.15">
      <c r="A475" s="1">
        <v>337882</v>
      </c>
      <c r="B475" s="1">
        <v>1</v>
      </c>
      <c r="D475" s="1" t="s">
        <v>27</v>
      </c>
      <c r="E475" s="1" t="s">
        <v>1244</v>
      </c>
      <c r="F475" s="1" t="s">
        <v>1245</v>
      </c>
      <c r="I475" s="16">
        <v>41663.790092592593</v>
      </c>
      <c r="J475" s="1" t="s">
        <v>68</v>
      </c>
      <c r="K475" s="1" t="s">
        <v>18</v>
      </c>
      <c r="L475" s="1" t="s">
        <v>19</v>
      </c>
      <c r="M475" s="1">
        <v>337512</v>
      </c>
      <c r="N475" s="1" t="s">
        <v>1246</v>
      </c>
      <c r="O475" s="16">
        <v>41662.761863425927</v>
      </c>
      <c r="P475" s="1" t="s">
        <v>17</v>
      </c>
    </row>
    <row r="476" spans="1:16" ht="13" x14ac:dyDescent="0.15">
      <c r="A476" s="1">
        <v>167780</v>
      </c>
      <c r="B476" s="1">
        <v>0</v>
      </c>
      <c r="C476" s="1" t="s">
        <v>26</v>
      </c>
      <c r="D476" s="1" t="s">
        <v>27</v>
      </c>
      <c r="E476" s="1" t="s">
        <v>1247</v>
      </c>
      <c r="F476" s="1" t="s">
        <v>395</v>
      </c>
      <c r="G476" s="1" t="s">
        <v>23</v>
      </c>
      <c r="I476" s="16">
        <v>41271.776516203703</v>
      </c>
      <c r="J476" s="1" t="s">
        <v>40</v>
      </c>
      <c r="K476" s="1" t="s">
        <v>18</v>
      </c>
      <c r="L476" s="1" t="s">
        <v>19</v>
      </c>
    </row>
    <row r="477" spans="1:16" ht="13" x14ac:dyDescent="0.15">
      <c r="A477" s="1">
        <v>170715</v>
      </c>
      <c r="B477" s="1">
        <v>0</v>
      </c>
      <c r="C477" s="1" t="s">
        <v>1248</v>
      </c>
      <c r="D477" s="1" t="s">
        <v>27</v>
      </c>
      <c r="E477" s="1" t="s">
        <v>1249</v>
      </c>
      <c r="F477" s="1" t="s">
        <v>1250</v>
      </c>
      <c r="G477" s="1" t="s">
        <v>23</v>
      </c>
      <c r="I477" s="16">
        <v>41291.828912037039</v>
      </c>
      <c r="J477" s="1" t="s">
        <v>1251</v>
      </c>
      <c r="K477" s="1" t="s">
        <v>18</v>
      </c>
      <c r="L477" s="1" t="s">
        <v>19</v>
      </c>
    </row>
    <row r="478" spans="1:16" ht="13" x14ac:dyDescent="0.15">
      <c r="A478" s="1">
        <v>101624</v>
      </c>
      <c r="B478" s="1">
        <v>0</v>
      </c>
      <c r="C478" s="1" t="s">
        <v>1252</v>
      </c>
      <c r="D478" s="1" t="s">
        <v>27</v>
      </c>
      <c r="E478" s="1" t="s">
        <v>1253</v>
      </c>
      <c r="F478" s="1" t="s">
        <v>1254</v>
      </c>
      <c r="I478" s="16">
        <v>40842.063437500001</v>
      </c>
      <c r="J478" s="1" t="s">
        <v>1255</v>
      </c>
      <c r="K478" s="1" t="s">
        <v>18</v>
      </c>
      <c r="L478" s="1" t="s">
        <v>19</v>
      </c>
    </row>
    <row r="479" spans="1:16" ht="13" x14ac:dyDescent="0.15">
      <c r="A479" s="1">
        <v>57200</v>
      </c>
      <c r="B479" s="1">
        <v>0</v>
      </c>
      <c r="C479" s="1" t="s">
        <v>26</v>
      </c>
      <c r="D479" s="1" t="s">
        <v>27</v>
      </c>
      <c r="E479" s="1" t="s">
        <v>1256</v>
      </c>
      <c r="F479" s="1" t="s">
        <v>1257</v>
      </c>
      <c r="G479" s="1" t="s">
        <v>23</v>
      </c>
      <c r="I479" s="16">
        <v>40449.806574074071</v>
      </c>
      <c r="J479" s="1" t="s">
        <v>40</v>
      </c>
      <c r="K479" s="1" t="s">
        <v>18</v>
      </c>
      <c r="L479" s="1" t="s">
        <v>19</v>
      </c>
    </row>
    <row r="480" spans="1:16" ht="13" x14ac:dyDescent="0.15">
      <c r="A480" s="1">
        <v>99294</v>
      </c>
      <c r="B480" s="1">
        <v>0</v>
      </c>
      <c r="C480" s="1" t="s">
        <v>26</v>
      </c>
      <c r="D480" s="1" t="s">
        <v>27</v>
      </c>
      <c r="E480" s="1" t="s">
        <v>1258</v>
      </c>
      <c r="F480" s="1" t="s">
        <v>628</v>
      </c>
      <c r="G480" s="1" t="s">
        <v>23</v>
      </c>
      <c r="I480" s="16">
        <v>40822.289571759262</v>
      </c>
      <c r="J480" s="1" t="s">
        <v>44</v>
      </c>
      <c r="K480" s="1" t="s">
        <v>18</v>
      </c>
      <c r="L480" s="1" t="s">
        <v>19</v>
      </c>
    </row>
    <row r="481" spans="1:24" ht="13" x14ac:dyDescent="0.15">
      <c r="A481" s="1">
        <v>697847</v>
      </c>
      <c r="B481" s="1">
        <v>0</v>
      </c>
      <c r="C481" s="1" t="s">
        <v>12</v>
      </c>
      <c r="D481" s="1" t="s">
        <v>27</v>
      </c>
      <c r="E481" s="1" t="s">
        <v>1259</v>
      </c>
      <c r="F481" s="1" t="s">
        <v>1260</v>
      </c>
      <c r="G481" s="1" t="s">
        <v>813</v>
      </c>
      <c r="I481" s="16">
        <v>42796.544548611113</v>
      </c>
      <c r="J481" s="1" t="s">
        <v>68</v>
      </c>
      <c r="K481" s="1" t="s">
        <v>18</v>
      </c>
      <c r="L481" s="1" t="s">
        <v>19</v>
      </c>
    </row>
    <row r="482" spans="1:24" ht="13" x14ac:dyDescent="0.15">
      <c r="A482" s="1">
        <v>422824</v>
      </c>
      <c r="B482" s="1">
        <v>0</v>
      </c>
      <c r="D482" s="1" t="s">
        <v>27</v>
      </c>
      <c r="E482" s="1" t="s">
        <v>1024</v>
      </c>
      <c r="F482" s="1" t="s">
        <v>1261</v>
      </c>
      <c r="G482" s="1" t="s">
        <v>23</v>
      </c>
      <c r="I482" s="16">
        <v>41925.196423611109</v>
      </c>
      <c r="J482" s="1" t="s">
        <v>836</v>
      </c>
      <c r="K482" s="1" t="s">
        <v>18</v>
      </c>
      <c r="L482" s="1" t="s">
        <v>19</v>
      </c>
    </row>
    <row r="483" spans="1:24" ht="13" x14ac:dyDescent="0.15">
      <c r="A483" s="1">
        <v>139240</v>
      </c>
      <c r="B483" s="1">
        <v>0</v>
      </c>
      <c r="C483" s="1" t="s">
        <v>26</v>
      </c>
      <c r="D483" s="1" t="s">
        <v>27</v>
      </c>
      <c r="E483" s="1" t="s">
        <v>1262</v>
      </c>
      <c r="F483" s="1" t="s">
        <v>1263</v>
      </c>
      <c r="G483" s="1" t="s">
        <v>23</v>
      </c>
      <c r="I483" s="16">
        <v>41116.992303240739</v>
      </c>
      <c r="J483" s="1" t="s">
        <v>40</v>
      </c>
      <c r="K483" s="1" t="s">
        <v>18</v>
      </c>
      <c r="L483" s="1" t="s">
        <v>19</v>
      </c>
    </row>
    <row r="484" spans="1:24" ht="13" x14ac:dyDescent="0.15">
      <c r="A484" s="1">
        <v>481296</v>
      </c>
      <c r="B484" s="1">
        <v>0</v>
      </c>
      <c r="D484" s="1" t="s">
        <v>27</v>
      </c>
      <c r="E484" s="1" t="s">
        <v>1264</v>
      </c>
      <c r="F484" s="1" t="s">
        <v>1265</v>
      </c>
      <c r="G484" s="1" t="s">
        <v>540</v>
      </c>
      <c r="I484" s="16">
        <v>42119.083252314813</v>
      </c>
      <c r="J484" s="1" t="s">
        <v>151</v>
      </c>
      <c r="K484" s="1" t="s">
        <v>18</v>
      </c>
      <c r="L484" s="1" t="s">
        <v>19</v>
      </c>
    </row>
    <row r="485" spans="1:24" ht="13" x14ac:dyDescent="0.15">
      <c r="A485" s="1">
        <v>439319</v>
      </c>
      <c r="B485" s="1">
        <v>1</v>
      </c>
      <c r="C485" s="1" t="s">
        <v>663</v>
      </c>
      <c r="D485" s="1" t="s">
        <v>27</v>
      </c>
      <c r="E485" s="1" t="s">
        <v>1266</v>
      </c>
      <c r="F485" s="1" t="s">
        <v>1267</v>
      </c>
      <c r="G485" s="1" t="s">
        <v>23</v>
      </c>
      <c r="I485" s="16">
        <v>41978.126875000002</v>
      </c>
      <c r="J485" s="1" t="s">
        <v>17</v>
      </c>
      <c r="K485" s="1" t="s">
        <v>18</v>
      </c>
      <c r="L485" s="1" t="s">
        <v>19</v>
      </c>
      <c r="M485" s="1">
        <v>442534</v>
      </c>
      <c r="N485" s="1" t="s">
        <v>1268</v>
      </c>
      <c r="O485" s="16">
        <v>41988.991296296299</v>
      </c>
      <c r="P485" s="1" t="s">
        <v>68</v>
      </c>
    </row>
    <row r="486" spans="1:24" ht="13" x14ac:dyDescent="0.15">
      <c r="A486" s="1">
        <v>455857</v>
      </c>
      <c r="B486" s="1">
        <v>0</v>
      </c>
      <c r="C486" s="1" t="s">
        <v>73</v>
      </c>
      <c r="D486" s="1" t="s">
        <v>27</v>
      </c>
      <c r="E486" s="1" t="s">
        <v>1269</v>
      </c>
      <c r="F486" s="1" t="s">
        <v>1270</v>
      </c>
      <c r="G486" s="1" t="s">
        <v>23</v>
      </c>
      <c r="I486" s="16">
        <v>42040.865532407406</v>
      </c>
      <c r="J486" s="1" t="s">
        <v>1074</v>
      </c>
      <c r="K486" s="1" t="s">
        <v>18</v>
      </c>
      <c r="L486" s="1" t="s">
        <v>19</v>
      </c>
    </row>
    <row r="487" spans="1:24" ht="13" x14ac:dyDescent="0.15">
      <c r="A487" s="1">
        <v>125494</v>
      </c>
      <c r="B487" s="1">
        <v>0</v>
      </c>
      <c r="C487" s="1" t="s">
        <v>26</v>
      </c>
      <c r="D487" s="1" t="s">
        <v>27</v>
      </c>
      <c r="E487" s="1" t="s">
        <v>1271</v>
      </c>
      <c r="F487" s="1" t="s">
        <v>1272</v>
      </c>
      <c r="G487" s="1" t="s">
        <v>23</v>
      </c>
      <c r="I487" s="16">
        <v>41028.06590277778</v>
      </c>
      <c r="J487" s="1" t="s">
        <v>40</v>
      </c>
      <c r="K487" s="1" t="s">
        <v>18</v>
      </c>
      <c r="L487" s="1" t="s">
        <v>19</v>
      </c>
    </row>
    <row r="488" spans="1:24" ht="13" x14ac:dyDescent="0.15">
      <c r="A488" s="1">
        <v>85177</v>
      </c>
      <c r="B488" s="1">
        <v>0</v>
      </c>
      <c r="D488" s="1" t="s">
        <v>27</v>
      </c>
      <c r="E488" s="1" t="s">
        <v>1273</v>
      </c>
      <c r="F488" s="1" t="s">
        <v>1274</v>
      </c>
      <c r="G488" s="1" t="s">
        <v>16</v>
      </c>
      <c r="I488" s="16">
        <v>40701.541400462964</v>
      </c>
      <c r="J488" s="1" t="s">
        <v>190</v>
      </c>
      <c r="K488" s="1" t="s">
        <v>18</v>
      </c>
      <c r="L488" s="1" t="s">
        <v>19</v>
      </c>
    </row>
    <row r="489" spans="1:24" ht="13" x14ac:dyDescent="0.15">
      <c r="A489" s="1">
        <v>324969</v>
      </c>
      <c r="B489" s="1">
        <v>0</v>
      </c>
      <c r="C489" s="1" t="s">
        <v>927</v>
      </c>
      <c r="D489" s="1" t="s">
        <v>27</v>
      </c>
      <c r="E489" s="1" t="s">
        <v>1275</v>
      </c>
      <c r="F489" s="1" t="s">
        <v>1276</v>
      </c>
      <c r="G489" s="1" t="s">
        <v>353</v>
      </c>
      <c r="I489" s="16">
        <v>41610.958715277775</v>
      </c>
      <c r="J489" s="1" t="s">
        <v>1277</v>
      </c>
      <c r="K489" s="1" t="s">
        <v>18</v>
      </c>
      <c r="L489" s="1" t="s">
        <v>19</v>
      </c>
    </row>
    <row r="490" spans="1:24" ht="13" x14ac:dyDescent="0.15">
      <c r="A490" s="1">
        <v>150737</v>
      </c>
      <c r="B490" s="1">
        <v>3</v>
      </c>
      <c r="C490" s="1" t="s">
        <v>1278</v>
      </c>
      <c r="D490" s="1" t="s">
        <v>27</v>
      </c>
      <c r="E490" s="1" t="s">
        <v>1279</v>
      </c>
      <c r="F490" s="1" t="s">
        <v>1280</v>
      </c>
      <c r="G490" s="1" t="s">
        <v>23</v>
      </c>
      <c r="I490" s="16">
        <v>41171.34611111111</v>
      </c>
      <c r="J490" s="1" t="s">
        <v>40</v>
      </c>
      <c r="K490" s="1" t="s">
        <v>18</v>
      </c>
      <c r="L490" s="1" t="s">
        <v>19</v>
      </c>
      <c r="M490" s="1">
        <v>165671</v>
      </c>
      <c r="N490" s="1" t="s">
        <v>1281</v>
      </c>
      <c r="O490" s="16">
        <v>41255.668854166666</v>
      </c>
      <c r="P490" s="1" t="s">
        <v>1282</v>
      </c>
      <c r="Q490" s="1">
        <v>151744</v>
      </c>
      <c r="R490" s="1" t="s">
        <v>1281</v>
      </c>
      <c r="S490" s="2">
        <v>41174.634317129632</v>
      </c>
      <c r="T490" s="1" t="s">
        <v>641</v>
      </c>
      <c r="U490" s="1">
        <v>159158</v>
      </c>
      <c r="V490" s="1" t="s">
        <v>1283</v>
      </c>
      <c r="W490" s="4">
        <v>41215.709155092591</v>
      </c>
      <c r="X490" s="1" t="s">
        <v>692</v>
      </c>
    </row>
    <row r="491" spans="1:24" ht="13" x14ac:dyDescent="0.15">
      <c r="A491" s="1">
        <v>443115</v>
      </c>
      <c r="B491" s="1">
        <v>0</v>
      </c>
      <c r="D491" s="1" t="s">
        <v>27</v>
      </c>
      <c r="E491" s="1" t="s">
        <v>1284</v>
      </c>
      <c r="F491" s="1" t="s">
        <v>1285</v>
      </c>
      <c r="I491" s="16">
        <v>41990.465150462966</v>
      </c>
      <c r="J491" s="1" t="s">
        <v>68</v>
      </c>
      <c r="K491" s="1" t="s">
        <v>18</v>
      </c>
      <c r="L491" s="1" t="s">
        <v>19</v>
      </c>
    </row>
    <row r="492" spans="1:24" ht="13" x14ac:dyDescent="0.15">
      <c r="A492" s="1">
        <v>89552</v>
      </c>
      <c r="B492" s="1">
        <v>0</v>
      </c>
      <c r="C492" s="1" t="s">
        <v>26</v>
      </c>
      <c r="D492" s="1" t="s">
        <v>27</v>
      </c>
      <c r="E492" s="1" t="s">
        <v>1286</v>
      </c>
      <c r="F492" s="1" t="s">
        <v>1287</v>
      </c>
      <c r="G492" s="1" t="s">
        <v>23</v>
      </c>
      <c r="I492" s="16">
        <v>40741.675821759258</v>
      </c>
      <c r="J492" s="1" t="s">
        <v>40</v>
      </c>
      <c r="K492" s="1" t="s">
        <v>18</v>
      </c>
      <c r="L492" s="1" t="s">
        <v>19</v>
      </c>
    </row>
    <row r="493" spans="1:24" ht="13" x14ac:dyDescent="0.15">
      <c r="A493" s="1">
        <v>73235</v>
      </c>
      <c r="B493" s="1">
        <v>0</v>
      </c>
      <c r="C493" s="1" t="s">
        <v>26</v>
      </c>
      <c r="D493" s="1" t="s">
        <v>27</v>
      </c>
      <c r="E493" s="1" t="s">
        <v>1288</v>
      </c>
      <c r="F493" s="1" t="s">
        <v>1289</v>
      </c>
      <c r="G493" s="1" t="s">
        <v>23</v>
      </c>
      <c r="I493" s="16">
        <v>40591.022777777776</v>
      </c>
      <c r="J493" s="1" t="s">
        <v>92</v>
      </c>
      <c r="K493" s="1" t="s">
        <v>18</v>
      </c>
      <c r="L493" s="1" t="s">
        <v>19</v>
      </c>
    </row>
    <row r="494" spans="1:24" ht="13" x14ac:dyDescent="0.15">
      <c r="A494" s="1">
        <v>390563</v>
      </c>
      <c r="B494" s="1">
        <v>0</v>
      </c>
      <c r="D494" s="1" t="s">
        <v>27</v>
      </c>
      <c r="E494" s="1" t="s">
        <v>1290</v>
      </c>
      <c r="F494" s="1" t="s">
        <v>1291</v>
      </c>
      <c r="G494" s="1" t="s">
        <v>23</v>
      </c>
      <c r="I494" s="16">
        <v>41821.64738425926</v>
      </c>
      <c r="J494" s="1" t="s">
        <v>17</v>
      </c>
      <c r="K494" s="1" t="s">
        <v>18</v>
      </c>
      <c r="L494" s="1" t="s">
        <v>19</v>
      </c>
    </row>
    <row r="495" spans="1:24" ht="13" x14ac:dyDescent="0.15">
      <c r="A495" s="1">
        <v>286368</v>
      </c>
      <c r="B495" s="1">
        <v>0</v>
      </c>
      <c r="C495" s="1" t="s">
        <v>31</v>
      </c>
      <c r="D495" s="1" t="s">
        <v>27</v>
      </c>
      <c r="E495" s="1" t="s">
        <v>1292</v>
      </c>
      <c r="F495" s="1" t="s">
        <v>1293</v>
      </c>
      <c r="G495" s="1" t="s">
        <v>23</v>
      </c>
      <c r="I495" s="16">
        <v>41523.69866898148</v>
      </c>
      <c r="J495" s="1" t="s">
        <v>17</v>
      </c>
      <c r="K495" s="1" t="s">
        <v>18</v>
      </c>
      <c r="L495" s="1" t="s">
        <v>19</v>
      </c>
    </row>
    <row r="496" spans="1:24" ht="13" x14ac:dyDescent="0.15">
      <c r="A496" s="1">
        <v>541206</v>
      </c>
      <c r="B496" s="1">
        <v>1</v>
      </c>
      <c r="C496" s="1" t="s">
        <v>1294</v>
      </c>
      <c r="D496" s="1" t="s">
        <v>27</v>
      </c>
      <c r="E496" s="1" t="s">
        <v>1295</v>
      </c>
      <c r="F496" s="1" t="s">
        <v>1296</v>
      </c>
      <c r="G496" s="1" t="s">
        <v>23</v>
      </c>
      <c r="I496" s="16">
        <v>42285.68377314815</v>
      </c>
      <c r="J496" s="1" t="s">
        <v>247</v>
      </c>
      <c r="K496" s="1" t="s">
        <v>18</v>
      </c>
      <c r="L496" s="1" t="s">
        <v>19</v>
      </c>
      <c r="M496" s="1">
        <v>539510</v>
      </c>
      <c r="N496" s="1" t="s">
        <v>1297</v>
      </c>
      <c r="O496" s="16">
        <v>42282.775729166664</v>
      </c>
      <c r="P496" s="1" t="s">
        <v>17</v>
      </c>
    </row>
    <row r="497" spans="1:16" ht="13" x14ac:dyDescent="0.15">
      <c r="A497" s="1">
        <v>581294</v>
      </c>
      <c r="B497" s="1">
        <v>0</v>
      </c>
      <c r="C497" s="1" t="s">
        <v>1298</v>
      </c>
      <c r="D497" s="1" t="s">
        <v>27</v>
      </c>
      <c r="E497" s="1" t="s">
        <v>1299</v>
      </c>
      <c r="F497" s="1" t="s">
        <v>1300</v>
      </c>
      <c r="G497" s="1" t="s">
        <v>23</v>
      </c>
      <c r="I497" s="16">
        <v>42395.416759259257</v>
      </c>
      <c r="J497" s="1" t="s">
        <v>1301</v>
      </c>
      <c r="K497" s="1" t="s">
        <v>18</v>
      </c>
      <c r="L497" s="1" t="s">
        <v>19</v>
      </c>
    </row>
    <row r="498" spans="1:16" ht="13" x14ac:dyDescent="0.15">
      <c r="A498" s="1">
        <v>473253</v>
      </c>
      <c r="B498" s="1">
        <v>1</v>
      </c>
      <c r="C498" s="1" t="s">
        <v>829</v>
      </c>
      <c r="D498" s="1" t="s">
        <v>27</v>
      </c>
      <c r="E498" s="1" t="s">
        <v>1302</v>
      </c>
      <c r="F498" s="1" t="s">
        <v>1303</v>
      </c>
      <c r="G498" s="1" t="s">
        <v>23</v>
      </c>
      <c r="I498" s="16">
        <v>42096.73101851852</v>
      </c>
      <c r="J498" s="1" t="s">
        <v>98</v>
      </c>
      <c r="K498" s="1" t="s">
        <v>18</v>
      </c>
      <c r="L498" s="1" t="s">
        <v>19</v>
      </c>
      <c r="M498" s="1">
        <v>469145</v>
      </c>
      <c r="N498" s="1" t="s">
        <v>1304</v>
      </c>
      <c r="O498" s="16">
        <v>42083.564965277779</v>
      </c>
      <c r="P498" s="1" t="s">
        <v>1305</v>
      </c>
    </row>
    <row r="499" spans="1:16" ht="13" x14ac:dyDescent="0.15">
      <c r="A499" s="1">
        <v>428828</v>
      </c>
      <c r="B499" s="1">
        <v>0</v>
      </c>
      <c r="C499" s="1" t="s">
        <v>689</v>
      </c>
      <c r="D499" s="1" t="s">
        <v>27</v>
      </c>
      <c r="E499" s="1" t="s">
        <v>1306</v>
      </c>
      <c r="F499" s="1" t="s">
        <v>792</v>
      </c>
      <c r="G499" s="1" t="s">
        <v>23</v>
      </c>
      <c r="I499" s="16">
        <v>41942.710636574076</v>
      </c>
      <c r="J499" s="1" t="s">
        <v>17</v>
      </c>
      <c r="K499" s="1" t="s">
        <v>18</v>
      </c>
      <c r="L499" s="1" t="s">
        <v>19</v>
      </c>
    </row>
    <row r="500" spans="1:16" ht="13" x14ac:dyDescent="0.15">
      <c r="A500" s="1">
        <v>112093</v>
      </c>
      <c r="B500" s="1">
        <v>1</v>
      </c>
      <c r="C500" s="1" t="s">
        <v>26</v>
      </c>
      <c r="D500" s="1" t="s">
        <v>27</v>
      </c>
      <c r="E500" s="1" t="s">
        <v>1307</v>
      </c>
      <c r="F500" s="1" t="s">
        <v>1308</v>
      </c>
      <c r="G500" s="1" t="s">
        <v>23</v>
      </c>
      <c r="I500" s="16">
        <v>40939.648275462961</v>
      </c>
      <c r="J500" s="1" t="s">
        <v>40</v>
      </c>
      <c r="K500" s="1" t="s">
        <v>18</v>
      </c>
      <c r="L500" s="1" t="s">
        <v>19</v>
      </c>
      <c r="M500" s="1">
        <v>112745</v>
      </c>
      <c r="N500" s="1" t="s">
        <v>1309</v>
      </c>
      <c r="O500" s="16">
        <v>40944.509918981479</v>
      </c>
      <c r="P500" s="1" t="s">
        <v>148</v>
      </c>
    </row>
    <row r="501" spans="1:16" ht="13" x14ac:dyDescent="0.15">
      <c r="A501" s="1">
        <v>53230</v>
      </c>
      <c r="B501" s="1">
        <v>0</v>
      </c>
      <c r="C501" s="1" t="s">
        <v>26</v>
      </c>
      <c r="D501" s="1" t="s">
        <v>27</v>
      </c>
      <c r="E501" s="1" t="s">
        <v>1310</v>
      </c>
      <c r="F501" s="1" t="s">
        <v>1311</v>
      </c>
      <c r="G501" s="1" t="s">
        <v>23</v>
      </c>
      <c r="I501" s="16">
        <v>40414.786759259259</v>
      </c>
      <c r="J501" s="1" t="s">
        <v>1312</v>
      </c>
      <c r="K501" s="1" t="s">
        <v>18</v>
      </c>
      <c r="L501" s="1" t="s">
        <v>19</v>
      </c>
    </row>
    <row r="502" spans="1:16" ht="13" x14ac:dyDescent="0.15">
      <c r="A502" s="1">
        <v>443274</v>
      </c>
      <c r="B502" s="1">
        <v>0</v>
      </c>
      <c r="C502" s="1" t="s">
        <v>1313</v>
      </c>
      <c r="D502" s="1" t="s">
        <v>27</v>
      </c>
      <c r="E502" s="1" t="s">
        <v>1314</v>
      </c>
      <c r="F502" s="1" t="s">
        <v>1315</v>
      </c>
      <c r="G502" s="1" t="s">
        <v>23</v>
      </c>
      <c r="I502" s="16">
        <v>41990.813738425924</v>
      </c>
      <c r="J502" s="1" t="s">
        <v>669</v>
      </c>
      <c r="K502" s="1" t="s">
        <v>18</v>
      </c>
      <c r="L502" s="1" t="s">
        <v>19</v>
      </c>
    </row>
    <row r="503" spans="1:16" ht="13" x14ac:dyDescent="0.15">
      <c r="A503" s="1">
        <v>89142</v>
      </c>
      <c r="B503" s="1">
        <v>0</v>
      </c>
      <c r="C503" s="1" t="s">
        <v>477</v>
      </c>
      <c r="D503" s="1" t="s">
        <v>27</v>
      </c>
      <c r="E503" s="1" t="s">
        <v>1316</v>
      </c>
      <c r="F503" s="1" t="s">
        <v>1317</v>
      </c>
      <c r="I503" s="16">
        <v>40737.370891203704</v>
      </c>
      <c r="J503" s="1" t="s">
        <v>190</v>
      </c>
      <c r="K503" s="1" t="s">
        <v>18</v>
      </c>
      <c r="L503" s="1" t="s">
        <v>19</v>
      </c>
    </row>
    <row r="504" spans="1:16" ht="13" x14ac:dyDescent="0.15">
      <c r="A504" s="1">
        <v>304791</v>
      </c>
      <c r="B504" s="1">
        <v>0</v>
      </c>
      <c r="C504" s="1" t="s">
        <v>340</v>
      </c>
      <c r="D504" s="1" t="s">
        <v>27</v>
      </c>
      <c r="E504" s="1" t="s">
        <v>1318</v>
      </c>
      <c r="F504" s="1" t="s">
        <v>1319</v>
      </c>
      <c r="G504" s="1" t="s">
        <v>16</v>
      </c>
      <c r="I504" s="16">
        <v>41554.385752314818</v>
      </c>
      <c r="J504" s="1" t="s">
        <v>1320</v>
      </c>
      <c r="K504" s="1" t="s">
        <v>18</v>
      </c>
      <c r="L504" s="1" t="s">
        <v>19</v>
      </c>
    </row>
    <row r="505" spans="1:16" ht="13" x14ac:dyDescent="0.15">
      <c r="A505" s="1">
        <v>150545</v>
      </c>
      <c r="B505" s="1">
        <v>0</v>
      </c>
      <c r="C505" s="1" t="s">
        <v>26</v>
      </c>
      <c r="D505" s="1" t="s">
        <v>27</v>
      </c>
      <c r="E505" s="1" t="s">
        <v>1321</v>
      </c>
      <c r="F505" s="1" t="s">
        <v>1322</v>
      </c>
      <c r="G505" s="1" t="s">
        <v>23</v>
      </c>
      <c r="I505" s="16">
        <v>41170.543912037036</v>
      </c>
      <c r="J505" s="1" t="s">
        <v>1323</v>
      </c>
      <c r="K505" s="1" t="s">
        <v>18</v>
      </c>
      <c r="L505" s="1" t="s">
        <v>19</v>
      </c>
    </row>
    <row r="506" spans="1:16" ht="13" x14ac:dyDescent="0.15">
      <c r="A506" s="1">
        <v>491660</v>
      </c>
      <c r="B506" s="1">
        <v>0</v>
      </c>
      <c r="C506" s="1" t="s">
        <v>65</v>
      </c>
      <c r="D506" s="1" t="s">
        <v>27</v>
      </c>
      <c r="E506" s="1" t="s">
        <v>1324</v>
      </c>
      <c r="F506" s="1" t="s">
        <v>1325</v>
      </c>
      <c r="I506" s="16">
        <v>42148.389004629629</v>
      </c>
      <c r="J506" s="1" t="s">
        <v>68</v>
      </c>
      <c r="K506" s="1" t="s">
        <v>18</v>
      </c>
      <c r="L506" s="1" t="s">
        <v>19</v>
      </c>
    </row>
    <row r="507" spans="1:16" ht="13" x14ac:dyDescent="0.15">
      <c r="A507" s="1">
        <v>178003</v>
      </c>
      <c r="B507" s="1">
        <v>0</v>
      </c>
      <c r="C507" s="1" t="s">
        <v>26</v>
      </c>
      <c r="D507" s="1" t="s">
        <v>27</v>
      </c>
      <c r="E507" s="1" t="s">
        <v>1326</v>
      </c>
      <c r="F507" s="1" t="s">
        <v>1327</v>
      </c>
      <c r="G507" s="1" t="s">
        <v>23</v>
      </c>
      <c r="I507" s="16">
        <v>41330.020196759258</v>
      </c>
      <c r="J507" s="1" t="s">
        <v>40</v>
      </c>
      <c r="K507" s="1" t="s">
        <v>18</v>
      </c>
      <c r="L507" s="1" t="s">
        <v>19</v>
      </c>
    </row>
    <row r="508" spans="1:16" ht="13" x14ac:dyDescent="0.15">
      <c r="A508" s="1">
        <v>252712</v>
      </c>
      <c r="B508" s="1">
        <v>0</v>
      </c>
      <c r="C508" s="1" t="s">
        <v>26</v>
      </c>
      <c r="D508" s="1" t="s">
        <v>27</v>
      </c>
      <c r="E508" s="1" t="s">
        <v>1328</v>
      </c>
      <c r="F508" s="1" t="s">
        <v>1329</v>
      </c>
      <c r="G508" s="1" t="s">
        <v>23</v>
      </c>
      <c r="I508" s="16">
        <v>41446.644606481481</v>
      </c>
      <c r="J508" s="1" t="s">
        <v>435</v>
      </c>
      <c r="K508" s="1" t="s">
        <v>18</v>
      </c>
      <c r="L508" s="1" t="s">
        <v>19</v>
      </c>
    </row>
    <row r="509" spans="1:16" ht="13" x14ac:dyDescent="0.15">
      <c r="A509" s="1">
        <v>59314</v>
      </c>
      <c r="B509" s="1">
        <v>0</v>
      </c>
      <c r="C509" s="1" t="s">
        <v>26</v>
      </c>
      <c r="D509" s="1" t="s">
        <v>27</v>
      </c>
      <c r="E509" s="1" t="s">
        <v>1330</v>
      </c>
      <c r="F509" s="1" t="s">
        <v>1331</v>
      </c>
      <c r="G509" s="1" t="s">
        <v>23</v>
      </c>
      <c r="I509" s="16">
        <v>40466.154050925928</v>
      </c>
      <c r="J509" s="1" t="s">
        <v>40</v>
      </c>
      <c r="K509" s="1" t="s">
        <v>18</v>
      </c>
      <c r="L509" s="1" t="s">
        <v>19</v>
      </c>
    </row>
    <row r="510" spans="1:16" ht="13" x14ac:dyDescent="0.15">
      <c r="A510" s="1">
        <v>56692</v>
      </c>
      <c r="B510" s="1">
        <v>0</v>
      </c>
      <c r="C510" s="1" t="s">
        <v>26</v>
      </c>
      <c r="D510" s="1" t="s">
        <v>27</v>
      </c>
      <c r="E510" s="1" t="s">
        <v>1332</v>
      </c>
      <c r="F510" s="1" t="s">
        <v>112</v>
      </c>
      <c r="G510" s="1" t="s">
        <v>23</v>
      </c>
      <c r="I510" s="16">
        <v>40444.797812500001</v>
      </c>
      <c r="J510" s="1" t="s">
        <v>40</v>
      </c>
      <c r="K510" s="1" t="s">
        <v>18</v>
      </c>
      <c r="L510" s="1" t="s">
        <v>19</v>
      </c>
    </row>
    <row r="511" spans="1:16" ht="13" x14ac:dyDescent="0.15">
      <c r="A511" s="1">
        <v>116746</v>
      </c>
      <c r="B511" s="1">
        <v>0</v>
      </c>
      <c r="C511" s="1" t="s">
        <v>26</v>
      </c>
      <c r="D511" s="1" t="s">
        <v>27</v>
      </c>
      <c r="E511" s="1" t="s">
        <v>1333</v>
      </c>
      <c r="F511" s="1" t="s">
        <v>1334</v>
      </c>
      <c r="G511" s="1" t="s">
        <v>23</v>
      </c>
      <c r="I511" s="16">
        <v>40972.805127314816</v>
      </c>
      <c r="J511" s="1" t="s">
        <v>44</v>
      </c>
      <c r="K511" s="1" t="s">
        <v>18</v>
      </c>
      <c r="L511" s="1" t="s">
        <v>19</v>
      </c>
    </row>
    <row r="512" spans="1:16" ht="13" x14ac:dyDescent="0.15">
      <c r="A512" s="1">
        <v>223482</v>
      </c>
      <c r="B512" s="1">
        <v>0</v>
      </c>
      <c r="C512" s="1" t="s">
        <v>26</v>
      </c>
      <c r="D512" s="1" t="s">
        <v>27</v>
      </c>
      <c r="E512" s="1" t="s">
        <v>1335</v>
      </c>
      <c r="F512" s="1" t="s">
        <v>772</v>
      </c>
      <c r="G512" s="1" t="s">
        <v>23</v>
      </c>
      <c r="I512" s="16">
        <v>41358.123784722222</v>
      </c>
      <c r="J512" s="1" t="s">
        <v>40</v>
      </c>
      <c r="K512" s="1" t="s">
        <v>18</v>
      </c>
      <c r="L512" s="1" t="s">
        <v>19</v>
      </c>
    </row>
    <row r="513" spans="1:16" ht="13" x14ac:dyDescent="0.15">
      <c r="A513" s="1">
        <v>337071</v>
      </c>
      <c r="B513" s="1">
        <v>0</v>
      </c>
      <c r="C513" s="1" t="s">
        <v>1336</v>
      </c>
      <c r="D513" s="1" t="s">
        <v>27</v>
      </c>
      <c r="E513" s="1" t="s">
        <v>1337</v>
      </c>
      <c r="F513" s="1" t="s">
        <v>1338</v>
      </c>
      <c r="G513" s="1" t="s">
        <v>23</v>
      </c>
      <c r="I513" s="16">
        <v>41662.252812500003</v>
      </c>
      <c r="J513" s="1" t="s">
        <v>17</v>
      </c>
      <c r="K513" s="1" t="s">
        <v>18</v>
      </c>
      <c r="L513" s="1" t="s">
        <v>19</v>
      </c>
    </row>
    <row r="514" spans="1:16" ht="13" x14ac:dyDescent="0.15">
      <c r="A514" s="1">
        <v>135173</v>
      </c>
      <c r="B514" s="1">
        <v>1</v>
      </c>
      <c r="C514" s="1" t="s">
        <v>26</v>
      </c>
      <c r="D514" s="1" t="s">
        <v>27</v>
      </c>
      <c r="E514" s="1" t="s">
        <v>1339</v>
      </c>
      <c r="F514" s="1" t="s">
        <v>1340</v>
      </c>
      <c r="G514" s="1" t="s">
        <v>23</v>
      </c>
      <c r="I514" s="16">
        <v>41089.614907407406</v>
      </c>
      <c r="J514" s="1" t="s">
        <v>40</v>
      </c>
      <c r="K514" s="1" t="s">
        <v>18</v>
      </c>
      <c r="L514" s="1" t="s">
        <v>19</v>
      </c>
      <c r="M514" s="1">
        <v>138683</v>
      </c>
      <c r="N514" s="1" t="s">
        <v>1341</v>
      </c>
      <c r="O514" s="16">
        <v>41114.291226851848</v>
      </c>
      <c r="P514" s="1" t="s">
        <v>408</v>
      </c>
    </row>
    <row r="515" spans="1:16" ht="13" x14ac:dyDescent="0.15">
      <c r="A515" s="1">
        <v>61313</v>
      </c>
      <c r="B515" s="1">
        <v>0</v>
      </c>
      <c r="C515" s="1" t="s">
        <v>26</v>
      </c>
      <c r="D515" s="1" t="s">
        <v>27</v>
      </c>
      <c r="E515" s="1" t="s">
        <v>1342</v>
      </c>
      <c r="F515" s="1" t="s">
        <v>1173</v>
      </c>
      <c r="G515" s="1" t="s">
        <v>23</v>
      </c>
      <c r="I515" s="16">
        <v>40481.622083333335</v>
      </c>
      <c r="J515" s="1" t="s">
        <v>40</v>
      </c>
      <c r="K515" s="1" t="s">
        <v>18</v>
      </c>
      <c r="L515" s="1" t="s">
        <v>19</v>
      </c>
    </row>
    <row r="516" spans="1:16" ht="13" x14ac:dyDescent="0.15">
      <c r="A516" s="1">
        <v>60688</v>
      </c>
      <c r="B516" s="1">
        <v>0</v>
      </c>
      <c r="C516" s="1" t="s">
        <v>26</v>
      </c>
      <c r="D516" s="1" t="s">
        <v>27</v>
      </c>
      <c r="E516" s="1" t="s">
        <v>1343</v>
      </c>
      <c r="F516" s="1" t="s">
        <v>1344</v>
      </c>
      <c r="I516" s="16">
        <v>40477.250960648147</v>
      </c>
      <c r="J516" s="1" t="s">
        <v>30</v>
      </c>
      <c r="K516" s="1" t="s">
        <v>18</v>
      </c>
      <c r="L516" s="1" t="s">
        <v>19</v>
      </c>
    </row>
    <row r="517" spans="1:16" ht="13" x14ac:dyDescent="0.15">
      <c r="A517" s="1">
        <v>34498</v>
      </c>
      <c r="B517" s="1">
        <v>0</v>
      </c>
      <c r="D517" s="1" t="s">
        <v>27</v>
      </c>
      <c r="E517" s="1" t="s">
        <v>1345</v>
      </c>
      <c r="F517" s="1" t="s">
        <v>1346</v>
      </c>
      <c r="I517" s="16">
        <v>40212.927129629628</v>
      </c>
      <c r="J517" s="1" t="s">
        <v>151</v>
      </c>
      <c r="K517" s="1" t="s">
        <v>18</v>
      </c>
      <c r="L517" s="1" t="s">
        <v>19</v>
      </c>
    </row>
    <row r="518" spans="1:16" ht="13" x14ac:dyDescent="0.15">
      <c r="A518" s="1">
        <v>177932</v>
      </c>
      <c r="B518" s="1">
        <v>0</v>
      </c>
      <c r="C518" s="1" t="s">
        <v>26</v>
      </c>
      <c r="D518" s="1" t="s">
        <v>27</v>
      </c>
      <c r="E518" s="1" t="s">
        <v>1347</v>
      </c>
      <c r="F518" s="1" t="s">
        <v>1348</v>
      </c>
      <c r="G518" s="1" t="s">
        <v>23</v>
      </c>
      <c r="I518" s="16">
        <v>41329.091203703705</v>
      </c>
      <c r="J518" s="1" t="s">
        <v>40</v>
      </c>
      <c r="K518" s="1" t="s">
        <v>18</v>
      </c>
      <c r="L518" s="1" t="s">
        <v>19</v>
      </c>
    </row>
    <row r="519" spans="1:16" ht="13" x14ac:dyDescent="0.15">
      <c r="A519" s="1">
        <v>358057</v>
      </c>
      <c r="B519" s="1">
        <v>0</v>
      </c>
      <c r="C519" s="1" t="s">
        <v>101</v>
      </c>
      <c r="D519" s="1" t="s">
        <v>27</v>
      </c>
      <c r="E519" s="1" t="s">
        <v>1349</v>
      </c>
      <c r="F519" s="1" t="s">
        <v>1350</v>
      </c>
      <c r="G519" s="1" t="s">
        <v>23</v>
      </c>
      <c r="I519" s="16">
        <v>41729.109791666669</v>
      </c>
      <c r="J519" s="1" t="s">
        <v>17</v>
      </c>
      <c r="K519" s="1" t="s">
        <v>18</v>
      </c>
      <c r="L519" s="1" t="s">
        <v>19</v>
      </c>
    </row>
    <row r="520" spans="1:16" ht="13" x14ac:dyDescent="0.15">
      <c r="A520" s="1">
        <v>469480</v>
      </c>
      <c r="B520" s="1">
        <v>0</v>
      </c>
      <c r="C520" s="1" t="s">
        <v>101</v>
      </c>
      <c r="D520" s="1" t="s">
        <v>27</v>
      </c>
      <c r="E520" s="1" t="s">
        <v>1351</v>
      </c>
      <c r="F520" s="1" t="s">
        <v>1352</v>
      </c>
      <c r="G520" s="1" t="s">
        <v>23</v>
      </c>
      <c r="I520" s="16">
        <v>42085.360254629632</v>
      </c>
      <c r="J520" s="1" t="s">
        <v>17</v>
      </c>
      <c r="K520" s="1" t="s">
        <v>18</v>
      </c>
      <c r="L520" s="1" t="s">
        <v>19</v>
      </c>
    </row>
    <row r="521" spans="1:16" ht="13" x14ac:dyDescent="0.15">
      <c r="A521" s="1">
        <v>470837</v>
      </c>
      <c r="B521" s="1">
        <v>0</v>
      </c>
      <c r="C521" s="1" t="s">
        <v>137</v>
      </c>
      <c r="D521" s="1" t="s">
        <v>27</v>
      </c>
      <c r="E521" s="1" t="s">
        <v>1353</v>
      </c>
      <c r="F521" s="1" t="s">
        <v>1354</v>
      </c>
      <c r="G521" s="1" t="s">
        <v>23</v>
      </c>
      <c r="I521" s="16">
        <v>42089.488634259258</v>
      </c>
      <c r="J521" s="1" t="s">
        <v>656</v>
      </c>
      <c r="K521" s="1" t="s">
        <v>18</v>
      </c>
      <c r="L521" s="1" t="s">
        <v>19</v>
      </c>
    </row>
    <row r="522" spans="1:16" ht="13" x14ac:dyDescent="0.15">
      <c r="A522" s="1">
        <v>104151</v>
      </c>
      <c r="B522" s="1">
        <v>0</v>
      </c>
      <c r="C522" s="1" t="s">
        <v>26</v>
      </c>
      <c r="D522" s="1" t="s">
        <v>27</v>
      </c>
      <c r="E522" s="1" t="s">
        <v>1355</v>
      </c>
      <c r="F522" s="1" t="s">
        <v>1356</v>
      </c>
      <c r="G522" s="1" t="s">
        <v>540</v>
      </c>
      <c r="I522" s="16">
        <v>40861.731944444444</v>
      </c>
      <c r="J522" s="1" t="s">
        <v>241</v>
      </c>
      <c r="K522" s="1" t="s">
        <v>18</v>
      </c>
      <c r="L522" s="1" t="s">
        <v>19</v>
      </c>
    </row>
    <row r="523" spans="1:16" ht="13" x14ac:dyDescent="0.15">
      <c r="A523" s="1">
        <v>271939</v>
      </c>
      <c r="B523" s="1">
        <v>0</v>
      </c>
      <c r="C523" s="1" t="s">
        <v>1357</v>
      </c>
      <c r="D523" s="1" t="s">
        <v>27</v>
      </c>
      <c r="E523" s="1" t="s">
        <v>385</v>
      </c>
      <c r="F523" s="1" t="s">
        <v>1358</v>
      </c>
      <c r="G523" s="1" t="s">
        <v>23</v>
      </c>
      <c r="I523" s="16">
        <v>41499.214884259258</v>
      </c>
      <c r="J523" s="1" t="s">
        <v>408</v>
      </c>
      <c r="K523" s="1" t="s">
        <v>18</v>
      </c>
      <c r="L523" s="1" t="s">
        <v>19</v>
      </c>
    </row>
    <row r="524" spans="1:16" ht="13" x14ac:dyDescent="0.15">
      <c r="A524" s="1">
        <v>687844</v>
      </c>
      <c r="B524" s="1">
        <v>0</v>
      </c>
      <c r="C524" s="1" t="s">
        <v>522</v>
      </c>
      <c r="D524" s="1" t="s">
        <v>27</v>
      </c>
      <c r="E524" s="1" t="s">
        <v>1359</v>
      </c>
      <c r="F524" s="1" t="s">
        <v>1360</v>
      </c>
      <c r="G524" s="1" t="s">
        <v>23</v>
      </c>
      <c r="I524" s="16">
        <v>42768.253865740742</v>
      </c>
      <c r="J524" s="1" t="s">
        <v>1361</v>
      </c>
      <c r="K524" s="1" t="s">
        <v>18</v>
      </c>
      <c r="L524" s="1" t="s">
        <v>19</v>
      </c>
    </row>
    <row r="525" spans="1:16" ht="13" x14ac:dyDescent="0.15">
      <c r="A525" s="1">
        <v>89678</v>
      </c>
      <c r="B525" s="1">
        <v>0</v>
      </c>
      <c r="C525" s="1" t="s">
        <v>26</v>
      </c>
      <c r="D525" s="1" t="s">
        <v>27</v>
      </c>
      <c r="E525" s="1" t="s">
        <v>1362</v>
      </c>
      <c r="F525" s="1" t="s">
        <v>1363</v>
      </c>
      <c r="G525" s="1" t="s">
        <v>23</v>
      </c>
      <c r="I525" s="16">
        <v>40743.13554398148</v>
      </c>
      <c r="J525" s="1" t="s">
        <v>40</v>
      </c>
      <c r="K525" s="1" t="s">
        <v>18</v>
      </c>
      <c r="L525" s="1" t="s">
        <v>19</v>
      </c>
    </row>
    <row r="526" spans="1:16" ht="13" x14ac:dyDescent="0.15">
      <c r="A526" s="1">
        <v>622271</v>
      </c>
      <c r="B526" s="1">
        <v>0</v>
      </c>
      <c r="C526" s="1" t="s">
        <v>137</v>
      </c>
      <c r="D526" s="1" t="s">
        <v>27</v>
      </c>
      <c r="E526" s="1" t="s">
        <v>1364</v>
      </c>
      <c r="F526" s="1" t="s">
        <v>204</v>
      </c>
      <c r="G526" s="1" t="s">
        <v>23</v>
      </c>
      <c r="I526" s="16">
        <v>42543.51290509259</v>
      </c>
      <c r="J526" s="1" t="s">
        <v>1365</v>
      </c>
      <c r="K526" s="1" t="s">
        <v>18</v>
      </c>
      <c r="L526" s="1" t="s">
        <v>19</v>
      </c>
    </row>
    <row r="527" spans="1:16" ht="13" x14ac:dyDescent="0.15">
      <c r="A527" s="1">
        <v>628890</v>
      </c>
      <c r="B527" s="1">
        <v>0</v>
      </c>
      <c r="C527" s="1" t="s">
        <v>12</v>
      </c>
      <c r="D527" s="1" t="s">
        <v>27</v>
      </c>
      <c r="E527" s="1" t="s">
        <v>1366</v>
      </c>
      <c r="F527" s="1" t="s">
        <v>1367</v>
      </c>
      <c r="G527" s="1" t="s">
        <v>23</v>
      </c>
      <c r="I527" s="16">
        <v>42567.638159722221</v>
      </c>
      <c r="J527" s="1" t="s">
        <v>632</v>
      </c>
      <c r="K527" s="1" t="s">
        <v>18</v>
      </c>
      <c r="L527" s="1" t="s">
        <v>19</v>
      </c>
    </row>
    <row r="528" spans="1:16" ht="13" x14ac:dyDescent="0.15">
      <c r="A528" s="1">
        <v>413375</v>
      </c>
      <c r="B528" s="1">
        <v>0</v>
      </c>
      <c r="C528" s="1" t="s">
        <v>12</v>
      </c>
      <c r="D528" s="1" t="s">
        <v>27</v>
      </c>
      <c r="E528" s="1" t="s">
        <v>1368</v>
      </c>
      <c r="F528" s="1" t="s">
        <v>1369</v>
      </c>
      <c r="I528" s="16">
        <v>41893.838263888887</v>
      </c>
      <c r="J528" s="1" t="s">
        <v>68</v>
      </c>
      <c r="K528" s="1" t="s">
        <v>18</v>
      </c>
      <c r="L528" s="1" t="s">
        <v>19</v>
      </c>
    </row>
    <row r="529" spans="1:20" ht="13" x14ac:dyDescent="0.15">
      <c r="A529" s="1">
        <v>388757</v>
      </c>
      <c r="B529" s="1">
        <v>1</v>
      </c>
      <c r="C529" s="1" t="s">
        <v>268</v>
      </c>
      <c r="D529" s="1" t="s">
        <v>27</v>
      </c>
      <c r="E529" s="1" t="s">
        <v>1370</v>
      </c>
      <c r="F529" s="1" t="s">
        <v>1371</v>
      </c>
      <c r="G529" s="1" t="s">
        <v>23</v>
      </c>
      <c r="I529" s="16">
        <v>41815.640277777777</v>
      </c>
      <c r="J529" s="1" t="s">
        <v>17</v>
      </c>
      <c r="K529" s="1" t="s">
        <v>18</v>
      </c>
      <c r="L529" s="1" t="s">
        <v>19</v>
      </c>
      <c r="M529" s="1">
        <v>399713</v>
      </c>
      <c r="N529" s="1" t="s">
        <v>1372</v>
      </c>
      <c r="O529" s="16">
        <v>41852.772326388891</v>
      </c>
      <c r="P529" s="1" t="s">
        <v>1373</v>
      </c>
    </row>
    <row r="530" spans="1:20" ht="13" x14ac:dyDescent="0.15">
      <c r="A530" s="1">
        <v>659477</v>
      </c>
      <c r="B530" s="1">
        <v>0</v>
      </c>
      <c r="D530" s="1" t="s">
        <v>27</v>
      </c>
      <c r="E530" s="1" t="s">
        <v>1374</v>
      </c>
      <c r="F530" s="1" t="s">
        <v>1375</v>
      </c>
      <c r="G530" s="1" t="s">
        <v>353</v>
      </c>
      <c r="I530" s="16">
        <v>42669.241064814814</v>
      </c>
      <c r="J530" s="1" t="s">
        <v>40</v>
      </c>
      <c r="K530" s="1" t="s">
        <v>18</v>
      </c>
      <c r="L530" s="1" t="s">
        <v>19</v>
      </c>
    </row>
    <row r="531" spans="1:20" ht="13" x14ac:dyDescent="0.15">
      <c r="A531" s="1">
        <v>659475</v>
      </c>
      <c r="B531" s="1">
        <v>1</v>
      </c>
      <c r="C531" s="1" t="s">
        <v>101</v>
      </c>
      <c r="D531" s="1" t="s">
        <v>27</v>
      </c>
      <c r="E531" s="1" t="s">
        <v>1376</v>
      </c>
      <c r="F531" s="1" t="s">
        <v>1377</v>
      </c>
      <c r="G531" s="1" t="s">
        <v>56</v>
      </c>
      <c r="I531" s="16">
        <v>42669.224976851852</v>
      </c>
      <c r="J531" s="1" t="s">
        <v>40</v>
      </c>
      <c r="K531" s="1" t="s">
        <v>18</v>
      </c>
      <c r="L531" s="1" t="s">
        <v>19</v>
      </c>
      <c r="M531" s="1">
        <v>659756</v>
      </c>
      <c r="N531" s="1" t="s">
        <v>1378</v>
      </c>
      <c r="O531" s="16">
        <v>42669.833749999998</v>
      </c>
      <c r="P531" s="1" t="s">
        <v>17</v>
      </c>
    </row>
    <row r="532" spans="1:20" ht="13" x14ac:dyDescent="0.15">
      <c r="A532" s="1">
        <v>188092</v>
      </c>
      <c r="B532" s="1">
        <v>0</v>
      </c>
      <c r="C532" s="1" t="s">
        <v>1379</v>
      </c>
      <c r="D532" s="1" t="s">
        <v>27</v>
      </c>
      <c r="E532" s="1" t="s">
        <v>1380</v>
      </c>
      <c r="F532" s="1" t="s">
        <v>1381</v>
      </c>
      <c r="I532" s="16">
        <v>41345.879930555559</v>
      </c>
      <c r="J532" s="1" t="s">
        <v>408</v>
      </c>
      <c r="K532" s="1" t="s">
        <v>18</v>
      </c>
      <c r="L532" s="1" t="s">
        <v>19</v>
      </c>
    </row>
    <row r="533" spans="1:20" ht="13" x14ac:dyDescent="0.15">
      <c r="A533" s="1">
        <v>610799</v>
      </c>
      <c r="B533" s="1">
        <v>1</v>
      </c>
      <c r="C533" s="1" t="s">
        <v>576</v>
      </c>
      <c r="D533" s="1" t="s">
        <v>27</v>
      </c>
      <c r="E533" s="1" t="s">
        <v>1382</v>
      </c>
      <c r="F533" s="1" t="s">
        <v>1383</v>
      </c>
      <c r="G533" s="1" t="s">
        <v>16</v>
      </c>
      <c r="I533" s="16">
        <v>42500.824236111112</v>
      </c>
      <c r="J533" s="1" t="s">
        <v>1384</v>
      </c>
      <c r="K533" s="1" t="s">
        <v>18</v>
      </c>
      <c r="L533" s="1" t="s">
        <v>19</v>
      </c>
      <c r="M533" s="1">
        <v>590360</v>
      </c>
      <c r="N533" s="1" t="s">
        <v>1385</v>
      </c>
      <c r="O533" s="16">
        <v>42426.946377314816</v>
      </c>
      <c r="P533" s="1" t="s">
        <v>1386</v>
      </c>
    </row>
    <row r="534" spans="1:20" ht="13" x14ac:dyDescent="0.15">
      <c r="A534" s="1">
        <v>75712</v>
      </c>
      <c r="B534" s="1">
        <v>0</v>
      </c>
      <c r="C534" s="1" t="s">
        <v>26</v>
      </c>
      <c r="D534" s="1" t="s">
        <v>27</v>
      </c>
      <c r="E534" s="1" t="s">
        <v>1387</v>
      </c>
      <c r="F534" s="1" t="s">
        <v>1388</v>
      </c>
      <c r="I534" s="16">
        <v>40613.023645833331</v>
      </c>
      <c r="J534" s="1" t="s">
        <v>151</v>
      </c>
      <c r="K534" s="1" t="s">
        <v>18</v>
      </c>
      <c r="L534" s="1" t="s">
        <v>19</v>
      </c>
    </row>
    <row r="535" spans="1:20" ht="13" x14ac:dyDescent="0.15">
      <c r="A535" s="1">
        <v>104056</v>
      </c>
      <c r="B535" s="1">
        <v>0</v>
      </c>
      <c r="C535" s="1" t="s">
        <v>194</v>
      </c>
      <c r="D535" s="1" t="s">
        <v>27</v>
      </c>
      <c r="E535" s="1" t="s">
        <v>1389</v>
      </c>
      <c r="F535" s="1" t="s">
        <v>1390</v>
      </c>
      <c r="I535" s="16">
        <v>40860.589895833335</v>
      </c>
      <c r="J535" s="1" t="s">
        <v>190</v>
      </c>
      <c r="K535" s="1" t="s">
        <v>18</v>
      </c>
      <c r="L535" s="1" t="s">
        <v>19</v>
      </c>
    </row>
    <row r="536" spans="1:20" ht="13" x14ac:dyDescent="0.15">
      <c r="A536" s="1">
        <v>619217</v>
      </c>
      <c r="B536" s="1">
        <v>2</v>
      </c>
      <c r="C536" s="1" t="s">
        <v>1391</v>
      </c>
      <c r="D536" s="1" t="s">
        <v>27</v>
      </c>
      <c r="E536" s="1" t="s">
        <v>1392</v>
      </c>
      <c r="F536" s="1" t="s">
        <v>1393</v>
      </c>
      <c r="G536" s="1" t="s">
        <v>16</v>
      </c>
      <c r="I536" s="16">
        <v>42531.976377314815</v>
      </c>
      <c r="J536" s="1" t="s">
        <v>1394</v>
      </c>
      <c r="K536" s="1" t="s">
        <v>18</v>
      </c>
      <c r="L536" s="1" t="s">
        <v>19</v>
      </c>
      <c r="M536" s="1">
        <v>619368</v>
      </c>
      <c r="N536" s="1" t="s">
        <v>1395</v>
      </c>
      <c r="O536" s="16">
        <v>42533.159201388888</v>
      </c>
      <c r="P536" s="1" t="s">
        <v>17</v>
      </c>
      <c r="Q536" s="1">
        <v>619270</v>
      </c>
      <c r="R536" s="1" t="s">
        <v>1396</v>
      </c>
      <c r="S536" s="2">
        <v>42532.115405092591</v>
      </c>
      <c r="T536" s="1" t="s">
        <v>98</v>
      </c>
    </row>
    <row r="537" spans="1:20" ht="13" x14ac:dyDescent="0.15">
      <c r="A537" s="1">
        <v>688425</v>
      </c>
      <c r="B537" s="1">
        <v>0</v>
      </c>
      <c r="C537" s="1" t="s">
        <v>1397</v>
      </c>
      <c r="D537" s="1" t="s">
        <v>27</v>
      </c>
      <c r="E537" s="1" t="s">
        <v>1398</v>
      </c>
      <c r="F537" s="1" t="s">
        <v>1399</v>
      </c>
      <c r="G537" s="1" t="s">
        <v>1400</v>
      </c>
      <c r="I537" s="16">
        <v>42769.743807870371</v>
      </c>
      <c r="J537" s="1" t="s">
        <v>1401</v>
      </c>
      <c r="K537" s="1" t="s">
        <v>18</v>
      </c>
      <c r="L537" s="1" t="s">
        <v>19</v>
      </c>
    </row>
    <row r="538" spans="1:20" ht="13" x14ac:dyDescent="0.15">
      <c r="A538" s="1">
        <v>235638</v>
      </c>
      <c r="B538" s="1">
        <v>0</v>
      </c>
      <c r="D538" s="1" t="s">
        <v>27</v>
      </c>
      <c r="E538" s="1" t="s">
        <v>1402</v>
      </c>
      <c r="F538" s="1" t="s">
        <v>1403</v>
      </c>
      <c r="G538" s="1" t="s">
        <v>23</v>
      </c>
      <c r="I538" s="16">
        <v>41389.951296296298</v>
      </c>
      <c r="J538" s="1" t="s">
        <v>261</v>
      </c>
      <c r="K538" s="1" t="s">
        <v>18</v>
      </c>
      <c r="L538" s="1" t="s">
        <v>19</v>
      </c>
    </row>
    <row r="539" spans="1:20" ht="13" x14ac:dyDescent="0.15">
      <c r="A539" s="1">
        <v>82633</v>
      </c>
      <c r="B539" s="1">
        <v>0</v>
      </c>
      <c r="C539" s="1" t="s">
        <v>26</v>
      </c>
      <c r="D539" s="1" t="s">
        <v>27</v>
      </c>
      <c r="E539" s="1" t="s">
        <v>1404</v>
      </c>
      <c r="F539" s="1" t="s">
        <v>1405</v>
      </c>
      <c r="G539" s="1" t="s">
        <v>23</v>
      </c>
      <c r="I539" s="16">
        <v>40677.076956018522</v>
      </c>
      <c r="J539" s="1" t="s">
        <v>40</v>
      </c>
      <c r="K539" s="1" t="s">
        <v>18</v>
      </c>
      <c r="L539" s="1" t="s">
        <v>19</v>
      </c>
    </row>
    <row r="540" spans="1:20" ht="13" x14ac:dyDescent="0.15">
      <c r="A540" s="1">
        <v>297976</v>
      </c>
      <c r="B540" s="1">
        <v>0</v>
      </c>
      <c r="C540" s="1" t="s">
        <v>1406</v>
      </c>
      <c r="D540" s="1" t="s">
        <v>27</v>
      </c>
      <c r="E540" s="1" t="s">
        <v>318</v>
      </c>
      <c r="F540" s="1" t="s">
        <v>1407</v>
      </c>
      <c r="G540" s="1" t="s">
        <v>23</v>
      </c>
      <c r="I540" s="16">
        <v>41542.157754629632</v>
      </c>
      <c r="J540" s="1" t="s">
        <v>17</v>
      </c>
      <c r="K540" s="1" t="s">
        <v>18</v>
      </c>
      <c r="L540" s="1" t="s">
        <v>19</v>
      </c>
    </row>
    <row r="541" spans="1:20" ht="13" x14ac:dyDescent="0.15">
      <c r="A541" s="1">
        <v>509666</v>
      </c>
      <c r="B541" s="1">
        <v>0</v>
      </c>
      <c r="C541" s="1" t="s">
        <v>101</v>
      </c>
      <c r="D541" s="1" t="s">
        <v>27</v>
      </c>
      <c r="E541" s="1" t="s">
        <v>1408</v>
      </c>
      <c r="F541" s="1" t="s">
        <v>1409</v>
      </c>
      <c r="G541" s="1" t="s">
        <v>23</v>
      </c>
      <c r="I541" s="16">
        <v>42198.56009259259</v>
      </c>
      <c r="J541" s="1" t="s">
        <v>733</v>
      </c>
      <c r="K541" s="1" t="s">
        <v>18</v>
      </c>
      <c r="L541" s="1" t="s">
        <v>19</v>
      </c>
    </row>
    <row r="542" spans="1:20" ht="13" x14ac:dyDescent="0.15">
      <c r="A542" s="1">
        <v>121524</v>
      </c>
      <c r="B542" s="1">
        <v>0</v>
      </c>
      <c r="C542" s="1" t="s">
        <v>26</v>
      </c>
      <c r="D542" s="1" t="s">
        <v>27</v>
      </c>
      <c r="E542" s="1" t="s">
        <v>1410</v>
      </c>
      <c r="F542" s="1" t="s">
        <v>1411</v>
      </c>
      <c r="G542" s="1" t="s">
        <v>23</v>
      </c>
      <c r="I542" s="16">
        <v>41001.881516203706</v>
      </c>
      <c r="J542" s="1" t="s">
        <v>40</v>
      </c>
      <c r="K542" s="1" t="s">
        <v>18</v>
      </c>
      <c r="L542" s="1" t="s">
        <v>19</v>
      </c>
    </row>
    <row r="543" spans="1:20" ht="13" x14ac:dyDescent="0.15">
      <c r="A543" s="1">
        <v>50250</v>
      </c>
      <c r="B543" s="1">
        <v>0</v>
      </c>
      <c r="C543" s="1" t="s">
        <v>26</v>
      </c>
      <c r="D543" s="1" t="s">
        <v>27</v>
      </c>
      <c r="E543" s="1" t="s">
        <v>1412</v>
      </c>
      <c r="F543" s="1" t="s">
        <v>1413</v>
      </c>
      <c r="G543" s="1" t="s">
        <v>23</v>
      </c>
      <c r="I543" s="16">
        <v>40385.807708333334</v>
      </c>
      <c r="J543" s="1" t="s">
        <v>40</v>
      </c>
      <c r="K543" s="1" t="s">
        <v>18</v>
      </c>
      <c r="L543" s="1" t="s">
        <v>19</v>
      </c>
    </row>
    <row r="544" spans="1:20" ht="13" x14ac:dyDescent="0.15">
      <c r="A544" s="1">
        <v>284792</v>
      </c>
      <c r="B544" s="1">
        <v>0</v>
      </c>
      <c r="C544" s="1" t="s">
        <v>1414</v>
      </c>
      <c r="D544" s="1" t="s">
        <v>27</v>
      </c>
      <c r="E544" s="1" t="s">
        <v>1415</v>
      </c>
      <c r="F544" s="1" t="s">
        <v>1416</v>
      </c>
      <c r="G544" s="1" t="s">
        <v>23</v>
      </c>
      <c r="I544" s="16">
        <v>41520.948888888888</v>
      </c>
      <c r="J544" s="1" t="s">
        <v>1417</v>
      </c>
      <c r="K544" s="1" t="s">
        <v>18</v>
      </c>
      <c r="L544" s="1" t="s">
        <v>19</v>
      </c>
    </row>
    <row r="545" spans="1:16" ht="13" x14ac:dyDescent="0.15">
      <c r="A545" s="1">
        <v>304226</v>
      </c>
      <c r="B545" s="1">
        <v>0</v>
      </c>
      <c r="C545" s="1" t="s">
        <v>927</v>
      </c>
      <c r="D545" s="1" t="s">
        <v>27</v>
      </c>
      <c r="E545" s="1" t="s">
        <v>1418</v>
      </c>
      <c r="F545" s="1" t="s">
        <v>1419</v>
      </c>
      <c r="G545" s="1" t="s">
        <v>353</v>
      </c>
      <c r="I545" s="16">
        <v>41551.744976851849</v>
      </c>
      <c r="J545" s="1" t="s">
        <v>1420</v>
      </c>
      <c r="K545" s="1" t="s">
        <v>18</v>
      </c>
      <c r="L545" s="1" t="s">
        <v>19</v>
      </c>
    </row>
    <row r="546" spans="1:16" ht="13" x14ac:dyDescent="0.15">
      <c r="A546" s="1">
        <v>45659</v>
      </c>
      <c r="B546" s="1">
        <v>0</v>
      </c>
      <c r="C546" s="1" t="s">
        <v>26</v>
      </c>
      <c r="D546" s="1" t="s">
        <v>27</v>
      </c>
      <c r="E546" s="1" t="s">
        <v>1421</v>
      </c>
      <c r="F546" s="1" t="s">
        <v>1422</v>
      </c>
      <c r="I546" s="16">
        <v>40331.747893518521</v>
      </c>
      <c r="J546" s="1" t="s">
        <v>1423</v>
      </c>
      <c r="K546" s="1" t="s">
        <v>18</v>
      </c>
      <c r="L546" s="1" t="s">
        <v>19</v>
      </c>
    </row>
    <row r="547" spans="1:16" ht="13" x14ac:dyDescent="0.15">
      <c r="A547" s="1">
        <v>409023</v>
      </c>
      <c r="B547" s="1">
        <v>0</v>
      </c>
      <c r="D547" s="1" t="s">
        <v>27</v>
      </c>
      <c r="E547" s="1" t="s">
        <v>1424</v>
      </c>
      <c r="F547" s="1" t="s">
        <v>1425</v>
      </c>
      <c r="G547" s="1" t="s">
        <v>23</v>
      </c>
      <c r="I547" s="16">
        <v>41880.642511574071</v>
      </c>
      <c r="J547" s="1" t="s">
        <v>17</v>
      </c>
      <c r="K547" s="1" t="s">
        <v>18</v>
      </c>
      <c r="L547" s="1" t="s">
        <v>19</v>
      </c>
    </row>
    <row r="548" spans="1:16" ht="13" x14ac:dyDescent="0.15">
      <c r="A548" s="1">
        <v>382121</v>
      </c>
      <c r="B548" s="1">
        <v>0</v>
      </c>
      <c r="C548" s="1" t="s">
        <v>1426</v>
      </c>
      <c r="D548" s="1" t="s">
        <v>27</v>
      </c>
      <c r="E548" s="1" t="s">
        <v>1427</v>
      </c>
      <c r="F548" s="1" t="s">
        <v>1428</v>
      </c>
      <c r="G548" s="1" t="s">
        <v>23</v>
      </c>
      <c r="I548" s="16">
        <v>41797.614907407406</v>
      </c>
      <c r="J548" s="1" t="s">
        <v>17</v>
      </c>
      <c r="K548" s="1" t="s">
        <v>18</v>
      </c>
      <c r="L548" s="1" t="s">
        <v>19</v>
      </c>
    </row>
    <row r="549" spans="1:16" ht="13" x14ac:dyDescent="0.15">
      <c r="A549" s="1">
        <v>119230</v>
      </c>
      <c r="B549" s="1">
        <v>0</v>
      </c>
      <c r="C549" s="1" t="s">
        <v>26</v>
      </c>
      <c r="D549" s="1" t="s">
        <v>27</v>
      </c>
      <c r="E549" s="1" t="s">
        <v>1333</v>
      </c>
      <c r="F549" s="1" t="s">
        <v>1429</v>
      </c>
      <c r="G549" s="1" t="s">
        <v>23</v>
      </c>
      <c r="I549" s="16">
        <v>40989.070428240739</v>
      </c>
      <c r="J549" s="1" t="s">
        <v>40</v>
      </c>
      <c r="K549" s="1" t="s">
        <v>18</v>
      </c>
      <c r="L549" s="1" t="s">
        <v>19</v>
      </c>
    </row>
    <row r="550" spans="1:16" ht="13" x14ac:dyDescent="0.15">
      <c r="A550" s="1">
        <v>78948</v>
      </c>
      <c r="B550" s="1">
        <v>0</v>
      </c>
      <c r="C550" s="1" t="s">
        <v>26</v>
      </c>
      <c r="D550" s="1" t="s">
        <v>27</v>
      </c>
      <c r="E550" s="1" t="s">
        <v>1430</v>
      </c>
      <c r="F550" s="1" t="s">
        <v>1431</v>
      </c>
      <c r="G550" s="1" t="s">
        <v>23</v>
      </c>
      <c r="I550" s="16">
        <v>40643.334317129629</v>
      </c>
      <c r="J550" s="1" t="s">
        <v>40</v>
      </c>
      <c r="K550" s="1" t="s">
        <v>18</v>
      </c>
      <c r="L550" s="1" t="s">
        <v>19</v>
      </c>
    </row>
    <row r="551" spans="1:16" ht="13" x14ac:dyDescent="0.15">
      <c r="A551" s="1">
        <v>48857</v>
      </c>
      <c r="B551" s="1">
        <v>0</v>
      </c>
      <c r="C551" s="1" t="s">
        <v>1432</v>
      </c>
      <c r="D551" s="1" t="s">
        <v>27</v>
      </c>
      <c r="E551" s="1" t="s">
        <v>1433</v>
      </c>
      <c r="F551" s="1" t="s">
        <v>1434</v>
      </c>
      <c r="G551" s="1" t="s">
        <v>23</v>
      </c>
      <c r="I551" s="16">
        <v>40371.832141203704</v>
      </c>
      <c r="J551" s="1" t="s">
        <v>1435</v>
      </c>
      <c r="K551" s="1" t="s">
        <v>18</v>
      </c>
      <c r="L551" s="1" t="s">
        <v>19</v>
      </c>
    </row>
    <row r="552" spans="1:16" ht="13" x14ac:dyDescent="0.15">
      <c r="A552" s="1">
        <v>8198</v>
      </c>
      <c r="B552" s="1">
        <v>0</v>
      </c>
      <c r="C552" s="1" t="s">
        <v>1436</v>
      </c>
      <c r="D552" s="1" t="s">
        <v>27</v>
      </c>
      <c r="E552" s="1" t="s">
        <v>1437</v>
      </c>
      <c r="F552" s="1" t="s">
        <v>1438</v>
      </c>
      <c r="G552" s="1" t="s">
        <v>23</v>
      </c>
      <c r="I552" s="16">
        <v>39871.740335648145</v>
      </c>
      <c r="J552" s="1" t="s">
        <v>1439</v>
      </c>
      <c r="K552" s="1" t="s">
        <v>18</v>
      </c>
      <c r="L552" s="1" t="s">
        <v>19</v>
      </c>
    </row>
    <row r="553" spans="1:16" ht="13" x14ac:dyDescent="0.15">
      <c r="A553" s="1">
        <v>352374</v>
      </c>
      <c r="B553" s="1">
        <v>0</v>
      </c>
      <c r="C553" s="1" t="s">
        <v>77</v>
      </c>
      <c r="D553" s="1" t="s">
        <v>27</v>
      </c>
      <c r="E553" s="1" t="s">
        <v>1440</v>
      </c>
      <c r="F553" s="1" t="s">
        <v>1441</v>
      </c>
      <c r="G553" s="1" t="s">
        <v>23</v>
      </c>
      <c r="I553" s="16">
        <v>41711.937361111108</v>
      </c>
      <c r="J553" s="1" t="s">
        <v>40</v>
      </c>
      <c r="K553" s="1" t="s">
        <v>18</v>
      </c>
      <c r="L553" s="1" t="s">
        <v>19</v>
      </c>
    </row>
    <row r="554" spans="1:16" ht="13" x14ac:dyDescent="0.15">
      <c r="A554" s="1">
        <v>116162</v>
      </c>
      <c r="B554" s="1">
        <v>0</v>
      </c>
      <c r="C554" s="1" t="s">
        <v>26</v>
      </c>
      <c r="D554" s="1" t="s">
        <v>27</v>
      </c>
      <c r="E554" s="1" t="s">
        <v>1442</v>
      </c>
      <c r="F554" s="1" t="s">
        <v>1443</v>
      </c>
      <c r="G554" s="1" t="s">
        <v>23</v>
      </c>
      <c r="I554" s="16">
        <v>40967.939074074071</v>
      </c>
      <c r="J554" s="1" t="s">
        <v>1444</v>
      </c>
      <c r="K554" s="1" t="s">
        <v>18</v>
      </c>
      <c r="L554" s="1" t="s">
        <v>19</v>
      </c>
    </row>
    <row r="555" spans="1:16" ht="13" x14ac:dyDescent="0.15">
      <c r="A555" s="1">
        <v>67363</v>
      </c>
      <c r="B555" s="1">
        <v>0</v>
      </c>
      <c r="C555" s="1" t="s">
        <v>26</v>
      </c>
      <c r="D555" s="1" t="s">
        <v>27</v>
      </c>
      <c r="E555" s="1" t="s">
        <v>1445</v>
      </c>
      <c r="F555" s="1" t="s">
        <v>1446</v>
      </c>
      <c r="G555" s="1" t="s">
        <v>23</v>
      </c>
      <c r="I555" s="16">
        <v>40529.887523148151</v>
      </c>
      <c r="J555" s="1" t="s">
        <v>151</v>
      </c>
      <c r="K555" s="1" t="s">
        <v>18</v>
      </c>
      <c r="L555" s="1" t="s">
        <v>19</v>
      </c>
    </row>
    <row r="556" spans="1:16" ht="13" x14ac:dyDescent="0.15">
      <c r="A556" s="1">
        <v>347284</v>
      </c>
      <c r="B556" s="1">
        <v>0</v>
      </c>
      <c r="C556" s="1" t="s">
        <v>1447</v>
      </c>
      <c r="D556" s="1" t="s">
        <v>27</v>
      </c>
      <c r="E556" s="1" t="s">
        <v>1448</v>
      </c>
      <c r="F556" s="1" t="s">
        <v>1449</v>
      </c>
      <c r="G556" s="1" t="s">
        <v>23</v>
      </c>
      <c r="I556" s="16">
        <v>41696.918912037036</v>
      </c>
      <c r="J556" s="1" t="s">
        <v>339</v>
      </c>
      <c r="K556" s="1" t="s">
        <v>18</v>
      </c>
      <c r="L556" s="1" t="s">
        <v>19</v>
      </c>
    </row>
    <row r="557" spans="1:16" ht="13" x14ac:dyDescent="0.15">
      <c r="A557" s="1">
        <v>327729</v>
      </c>
      <c r="B557" s="1">
        <v>0</v>
      </c>
      <c r="C557" s="1" t="s">
        <v>280</v>
      </c>
      <c r="D557" s="1" t="s">
        <v>27</v>
      </c>
      <c r="E557" s="1" t="s">
        <v>1450</v>
      </c>
      <c r="F557" s="1" t="s">
        <v>1451</v>
      </c>
      <c r="G557" s="1" t="s">
        <v>23</v>
      </c>
      <c r="I557" s="16">
        <v>41619.707256944443</v>
      </c>
      <c r="J557" s="1" t="s">
        <v>17</v>
      </c>
      <c r="K557" s="1" t="s">
        <v>18</v>
      </c>
      <c r="L557" s="1" t="s">
        <v>19</v>
      </c>
    </row>
    <row r="558" spans="1:16" ht="13" x14ac:dyDescent="0.15">
      <c r="A558" s="1">
        <v>32915</v>
      </c>
      <c r="B558" s="1">
        <v>0</v>
      </c>
      <c r="D558" s="1" t="s">
        <v>27</v>
      </c>
      <c r="E558" s="1" t="s">
        <v>1452</v>
      </c>
      <c r="F558" s="1" t="s">
        <v>1453</v>
      </c>
      <c r="G558" s="1" t="s">
        <v>159</v>
      </c>
      <c r="I558" s="16">
        <v>40200.89271990741</v>
      </c>
      <c r="J558" s="1" t="s">
        <v>1241</v>
      </c>
      <c r="K558" s="1" t="s">
        <v>18</v>
      </c>
      <c r="L558" s="1" t="s">
        <v>19</v>
      </c>
    </row>
    <row r="559" spans="1:16" ht="13" x14ac:dyDescent="0.15">
      <c r="A559" s="1">
        <v>101065</v>
      </c>
      <c r="B559" s="1">
        <v>1</v>
      </c>
      <c r="C559" s="1" t="s">
        <v>26</v>
      </c>
      <c r="D559" s="1" t="s">
        <v>27</v>
      </c>
      <c r="E559" s="1" t="s">
        <v>1454</v>
      </c>
      <c r="F559" s="1" t="s">
        <v>1455</v>
      </c>
      <c r="G559" s="1" t="s">
        <v>23</v>
      </c>
      <c r="I559" s="16">
        <v>40836.855219907404</v>
      </c>
      <c r="J559" s="1" t="s">
        <v>40</v>
      </c>
      <c r="K559" s="1" t="s">
        <v>18</v>
      </c>
      <c r="L559" s="1" t="s">
        <v>19</v>
      </c>
      <c r="M559" s="1">
        <v>105363</v>
      </c>
      <c r="N559" s="1" t="s">
        <v>1456</v>
      </c>
      <c r="O559" s="16">
        <v>40871.46465277778</v>
      </c>
      <c r="P559" s="1" t="s">
        <v>1457</v>
      </c>
    </row>
    <row r="560" spans="1:16" ht="13" x14ac:dyDescent="0.15">
      <c r="A560" s="1">
        <v>54653</v>
      </c>
      <c r="B560" s="1">
        <v>0</v>
      </c>
      <c r="C560" s="1" t="s">
        <v>26</v>
      </c>
      <c r="D560" s="1" t="s">
        <v>27</v>
      </c>
      <c r="E560" s="1" t="s">
        <v>1458</v>
      </c>
      <c r="F560" s="1" t="s">
        <v>112</v>
      </c>
      <c r="G560" s="1" t="s">
        <v>23</v>
      </c>
      <c r="I560" s="16">
        <v>40428.147106481483</v>
      </c>
      <c r="J560" s="1" t="s">
        <v>40</v>
      </c>
      <c r="K560" s="1" t="s">
        <v>18</v>
      </c>
      <c r="L560" s="1" t="s">
        <v>19</v>
      </c>
    </row>
    <row r="561" spans="1:16" ht="13" x14ac:dyDescent="0.15">
      <c r="A561" s="1">
        <v>472618</v>
      </c>
      <c r="B561" s="1">
        <v>0</v>
      </c>
      <c r="C561" s="1" t="s">
        <v>1426</v>
      </c>
      <c r="D561" s="1" t="s">
        <v>27</v>
      </c>
      <c r="E561" s="1" t="s">
        <v>1459</v>
      </c>
      <c r="F561" s="1" t="s">
        <v>1460</v>
      </c>
      <c r="G561" s="1" t="s">
        <v>23</v>
      </c>
      <c r="I561" s="16">
        <v>42095.61378472222</v>
      </c>
      <c r="J561" s="1" t="s">
        <v>17</v>
      </c>
      <c r="K561" s="1" t="s">
        <v>18</v>
      </c>
      <c r="L561" s="1" t="s">
        <v>19</v>
      </c>
    </row>
    <row r="562" spans="1:16" ht="13" x14ac:dyDescent="0.15">
      <c r="A562" s="1">
        <v>177620</v>
      </c>
      <c r="B562" s="1">
        <v>0</v>
      </c>
      <c r="C562" s="1" t="s">
        <v>26</v>
      </c>
      <c r="D562" s="1" t="s">
        <v>27</v>
      </c>
      <c r="E562" s="1" t="s">
        <v>1461</v>
      </c>
      <c r="F562" s="1" t="s">
        <v>1462</v>
      </c>
      <c r="G562" s="1" t="s">
        <v>23</v>
      </c>
      <c r="I562" s="16">
        <v>41327.239490740743</v>
      </c>
      <c r="J562" s="1" t="s">
        <v>76</v>
      </c>
      <c r="K562" s="1" t="s">
        <v>18</v>
      </c>
      <c r="L562" s="1" t="s">
        <v>19</v>
      </c>
    </row>
    <row r="563" spans="1:16" ht="13" x14ac:dyDescent="0.15">
      <c r="A563" s="1">
        <v>551143</v>
      </c>
      <c r="B563" s="1">
        <v>0</v>
      </c>
      <c r="C563" s="1" t="s">
        <v>1463</v>
      </c>
      <c r="D563" s="1" t="s">
        <v>27</v>
      </c>
      <c r="E563" s="1" t="s">
        <v>1464</v>
      </c>
      <c r="F563" s="1" t="s">
        <v>1465</v>
      </c>
      <c r="G563" s="1" t="s">
        <v>16</v>
      </c>
      <c r="I563" s="16">
        <v>42311.980081018519</v>
      </c>
      <c r="J563" s="1" t="s">
        <v>17</v>
      </c>
      <c r="K563" s="1" t="s">
        <v>18</v>
      </c>
      <c r="L563" s="1" t="s">
        <v>19</v>
      </c>
    </row>
    <row r="564" spans="1:16" ht="13" x14ac:dyDescent="0.15">
      <c r="A564" s="1">
        <v>435880</v>
      </c>
      <c r="B564" s="1">
        <v>0</v>
      </c>
      <c r="C564" s="1" t="s">
        <v>689</v>
      </c>
      <c r="D564" s="1" t="s">
        <v>27</v>
      </c>
      <c r="E564" s="1" t="s">
        <v>1466</v>
      </c>
      <c r="F564" s="1" t="s">
        <v>1467</v>
      </c>
      <c r="G564" s="1" t="s">
        <v>23</v>
      </c>
      <c r="I564" s="16">
        <v>41966.27648148148</v>
      </c>
      <c r="J564" s="1" t="s">
        <v>17</v>
      </c>
      <c r="K564" s="1" t="s">
        <v>18</v>
      </c>
      <c r="L564" s="1" t="s">
        <v>19</v>
      </c>
    </row>
    <row r="565" spans="1:16" ht="13" x14ac:dyDescent="0.15">
      <c r="A565" s="1">
        <v>120222</v>
      </c>
      <c r="B565" s="1">
        <v>1</v>
      </c>
      <c r="C565" s="1" t="s">
        <v>26</v>
      </c>
      <c r="D565" s="1" t="s">
        <v>27</v>
      </c>
      <c r="E565" s="1" t="s">
        <v>1468</v>
      </c>
      <c r="F565" s="1" t="s">
        <v>1469</v>
      </c>
      <c r="G565" s="1" t="s">
        <v>23</v>
      </c>
      <c r="I565" s="16">
        <v>40994.787581018521</v>
      </c>
      <c r="J565" s="1" t="s">
        <v>44</v>
      </c>
      <c r="K565" s="1" t="s">
        <v>18</v>
      </c>
      <c r="L565" s="1" t="s">
        <v>19</v>
      </c>
      <c r="M565" s="1">
        <v>129677</v>
      </c>
      <c r="N565" s="1" t="s">
        <v>1470</v>
      </c>
      <c r="O565" s="16">
        <v>41053.98097222222</v>
      </c>
      <c r="P565" s="1" t="s">
        <v>40</v>
      </c>
    </row>
    <row r="566" spans="1:16" ht="13" x14ac:dyDescent="0.15">
      <c r="A566" s="1">
        <v>166324</v>
      </c>
      <c r="B566" s="1">
        <v>0</v>
      </c>
      <c r="C566" s="1" t="s">
        <v>527</v>
      </c>
      <c r="D566" s="1" t="s">
        <v>27</v>
      </c>
      <c r="E566" s="1" t="s">
        <v>1471</v>
      </c>
      <c r="F566" s="1" t="s">
        <v>581</v>
      </c>
      <c r="G566" s="1" t="s">
        <v>23</v>
      </c>
      <c r="I566" s="16">
        <v>41258.752881944441</v>
      </c>
      <c r="J566" s="1" t="s">
        <v>40</v>
      </c>
      <c r="K566" s="1" t="s">
        <v>18</v>
      </c>
      <c r="L566" s="1" t="s">
        <v>19</v>
      </c>
    </row>
    <row r="567" spans="1:16" ht="13" x14ac:dyDescent="0.15">
      <c r="A567" s="1">
        <v>113707</v>
      </c>
      <c r="B567" s="1">
        <v>0</v>
      </c>
      <c r="C567" s="1" t="s">
        <v>26</v>
      </c>
      <c r="D567" s="1" t="s">
        <v>27</v>
      </c>
      <c r="E567" s="1" t="s">
        <v>1472</v>
      </c>
      <c r="F567" s="1" t="s">
        <v>1473</v>
      </c>
      <c r="I567" s="16">
        <v>40949.858796296299</v>
      </c>
      <c r="J567" s="1" t="s">
        <v>44</v>
      </c>
      <c r="K567" s="1" t="s">
        <v>18</v>
      </c>
      <c r="L567" s="1" t="s">
        <v>19</v>
      </c>
    </row>
    <row r="568" spans="1:16" ht="13" x14ac:dyDescent="0.15">
      <c r="A568" s="1">
        <v>21338</v>
      </c>
      <c r="B568" s="1">
        <v>0</v>
      </c>
      <c r="C568" s="1" t="s">
        <v>26</v>
      </c>
      <c r="D568" s="1" t="s">
        <v>27</v>
      </c>
      <c r="E568" s="1" t="s">
        <v>1474</v>
      </c>
      <c r="F568" s="1" t="s">
        <v>1475</v>
      </c>
      <c r="G568" s="1" t="s">
        <v>23</v>
      </c>
      <c r="I568" s="16">
        <v>40065.058831018519</v>
      </c>
      <c r="J568" s="1" t="s">
        <v>1476</v>
      </c>
      <c r="K568" s="1" t="s">
        <v>18</v>
      </c>
      <c r="L568" s="1" t="s">
        <v>19</v>
      </c>
    </row>
    <row r="569" spans="1:16" ht="13" x14ac:dyDescent="0.15">
      <c r="A569" s="1">
        <v>34495</v>
      </c>
      <c r="B569" s="1">
        <v>0</v>
      </c>
      <c r="D569" s="1" t="s">
        <v>27</v>
      </c>
      <c r="E569" s="1" t="s">
        <v>1477</v>
      </c>
      <c r="F569" s="1" t="s">
        <v>1346</v>
      </c>
      <c r="I569" s="16">
        <v>40212.91815972222</v>
      </c>
      <c r="J569" s="1" t="s">
        <v>151</v>
      </c>
      <c r="K569" s="1" t="s">
        <v>18</v>
      </c>
      <c r="L569" s="1" t="s">
        <v>19</v>
      </c>
    </row>
    <row r="570" spans="1:16" ht="13" x14ac:dyDescent="0.15">
      <c r="A570" s="1">
        <v>39985</v>
      </c>
      <c r="B570" s="1">
        <v>0</v>
      </c>
      <c r="C570" s="1" t="s">
        <v>26</v>
      </c>
      <c r="D570" s="1" t="s">
        <v>27</v>
      </c>
      <c r="E570" s="1" t="s">
        <v>1478</v>
      </c>
      <c r="F570" s="1" t="s">
        <v>1479</v>
      </c>
      <c r="I570" s="16">
        <v>40268.606759259259</v>
      </c>
      <c r="J570" s="1" t="s">
        <v>398</v>
      </c>
      <c r="K570" s="1" t="s">
        <v>18</v>
      </c>
      <c r="L570" s="1" t="s">
        <v>19</v>
      </c>
    </row>
    <row r="571" spans="1:16" ht="13" x14ac:dyDescent="0.15">
      <c r="A571" s="1">
        <v>222770</v>
      </c>
      <c r="B571" s="1">
        <v>0</v>
      </c>
      <c r="C571" s="1" t="s">
        <v>26</v>
      </c>
      <c r="D571" s="1" t="s">
        <v>27</v>
      </c>
      <c r="E571" s="1" t="s">
        <v>1480</v>
      </c>
      <c r="F571" s="1" t="s">
        <v>1481</v>
      </c>
      <c r="G571" s="1" t="s">
        <v>23</v>
      </c>
      <c r="I571" s="16">
        <v>41354.7033912037</v>
      </c>
      <c r="J571" s="1" t="s">
        <v>40</v>
      </c>
      <c r="K571" s="1" t="s">
        <v>18</v>
      </c>
      <c r="L571" s="1" t="s">
        <v>19</v>
      </c>
    </row>
    <row r="572" spans="1:16" ht="13" x14ac:dyDescent="0.15">
      <c r="A572" s="1">
        <v>486945</v>
      </c>
      <c r="B572" s="1">
        <v>0</v>
      </c>
      <c r="C572" s="1" t="s">
        <v>65</v>
      </c>
      <c r="D572" s="1" t="s">
        <v>27</v>
      </c>
      <c r="E572" s="1" t="s">
        <v>1482</v>
      </c>
      <c r="F572" s="1" t="s">
        <v>1483</v>
      </c>
      <c r="G572" s="1" t="s">
        <v>23</v>
      </c>
      <c r="I572" s="16">
        <v>42135.937037037038</v>
      </c>
      <c r="J572" s="1" t="s">
        <v>17</v>
      </c>
      <c r="K572" s="1" t="s">
        <v>18</v>
      </c>
      <c r="L572" s="1" t="s">
        <v>19</v>
      </c>
    </row>
    <row r="573" spans="1:16" ht="13" x14ac:dyDescent="0.15">
      <c r="A573" s="1">
        <v>486944</v>
      </c>
      <c r="B573" s="1">
        <v>0</v>
      </c>
      <c r="C573" s="1" t="s">
        <v>65</v>
      </c>
      <c r="D573" s="1" t="s">
        <v>27</v>
      </c>
      <c r="E573" s="1" t="s">
        <v>1484</v>
      </c>
      <c r="F573" s="1" t="s">
        <v>1485</v>
      </c>
      <c r="G573" s="1" t="s">
        <v>23</v>
      </c>
      <c r="I573" s="16">
        <v>42135.936562499999</v>
      </c>
      <c r="J573" s="1" t="s">
        <v>17</v>
      </c>
      <c r="K573" s="1" t="s">
        <v>18</v>
      </c>
      <c r="L573" s="1" t="s">
        <v>19</v>
      </c>
    </row>
    <row r="574" spans="1:16" ht="13" x14ac:dyDescent="0.15">
      <c r="A574" s="1">
        <v>486947</v>
      </c>
      <c r="B574" s="1">
        <v>0</v>
      </c>
      <c r="C574" s="1" t="s">
        <v>65</v>
      </c>
      <c r="D574" s="1" t="s">
        <v>27</v>
      </c>
      <c r="E574" s="1" t="s">
        <v>1486</v>
      </c>
      <c r="F574" s="1" t="s">
        <v>1487</v>
      </c>
      <c r="G574" s="1" t="s">
        <v>23</v>
      </c>
      <c r="I574" s="16">
        <v>42135.938333333332</v>
      </c>
      <c r="J574" s="1" t="s">
        <v>17</v>
      </c>
      <c r="K574" s="1" t="s">
        <v>18</v>
      </c>
      <c r="L574" s="1" t="s">
        <v>19</v>
      </c>
    </row>
    <row r="575" spans="1:16" ht="13" x14ac:dyDescent="0.15">
      <c r="A575" s="1">
        <v>95672</v>
      </c>
      <c r="B575" s="1">
        <v>0</v>
      </c>
      <c r="C575" s="1" t="s">
        <v>26</v>
      </c>
      <c r="D575" s="1" t="s">
        <v>27</v>
      </c>
      <c r="E575" s="1" t="s">
        <v>1488</v>
      </c>
      <c r="F575" s="1" t="s">
        <v>1489</v>
      </c>
      <c r="G575" s="1" t="s">
        <v>23</v>
      </c>
      <c r="I575" s="16">
        <v>40793.693657407406</v>
      </c>
      <c r="J575" s="1" t="s">
        <v>40</v>
      </c>
      <c r="K575" s="1" t="s">
        <v>18</v>
      </c>
      <c r="L575" s="1" t="s">
        <v>19</v>
      </c>
    </row>
    <row r="576" spans="1:16" ht="13" x14ac:dyDescent="0.15">
      <c r="A576" s="1">
        <v>99465</v>
      </c>
      <c r="B576" s="1">
        <v>0</v>
      </c>
      <c r="C576" s="1" t="s">
        <v>26</v>
      </c>
      <c r="D576" s="1" t="s">
        <v>27</v>
      </c>
      <c r="E576" s="1" t="s">
        <v>1490</v>
      </c>
      <c r="F576" s="1" t="s">
        <v>1491</v>
      </c>
      <c r="G576" s="1" t="s">
        <v>23</v>
      </c>
      <c r="I576" s="16">
        <v>40823.647164351853</v>
      </c>
      <c r="J576" s="1" t="s">
        <v>1492</v>
      </c>
      <c r="K576" s="1" t="s">
        <v>18</v>
      </c>
      <c r="L576" s="1" t="s">
        <v>19</v>
      </c>
    </row>
    <row r="577" spans="1:20" ht="13" x14ac:dyDescent="0.15">
      <c r="A577" s="1">
        <v>437472</v>
      </c>
      <c r="B577" s="1">
        <v>0</v>
      </c>
      <c r="D577" s="1" t="s">
        <v>27</v>
      </c>
      <c r="E577" s="1" t="s">
        <v>1493</v>
      </c>
      <c r="F577" s="1" t="s">
        <v>1494</v>
      </c>
      <c r="G577" s="1" t="s">
        <v>353</v>
      </c>
      <c r="I577" s="16">
        <v>41971.57130787037</v>
      </c>
      <c r="J577" s="1" t="s">
        <v>17</v>
      </c>
      <c r="K577" s="1" t="s">
        <v>18</v>
      </c>
      <c r="L577" s="1" t="s">
        <v>19</v>
      </c>
    </row>
    <row r="578" spans="1:20" ht="13" x14ac:dyDescent="0.15">
      <c r="A578" s="1">
        <v>241139</v>
      </c>
      <c r="B578" s="1">
        <v>0</v>
      </c>
      <c r="C578" s="1" t="s">
        <v>26</v>
      </c>
      <c r="D578" s="1" t="s">
        <v>27</v>
      </c>
      <c r="E578" s="1" t="s">
        <v>394</v>
      </c>
      <c r="F578" s="1" t="s">
        <v>1495</v>
      </c>
      <c r="G578" s="1" t="s">
        <v>23</v>
      </c>
      <c r="I578" s="16">
        <v>41409.762106481481</v>
      </c>
      <c r="J578" s="1" t="s">
        <v>44</v>
      </c>
      <c r="K578" s="1" t="s">
        <v>18</v>
      </c>
      <c r="L578" s="1" t="s">
        <v>19</v>
      </c>
    </row>
    <row r="579" spans="1:20" ht="13" x14ac:dyDescent="0.15">
      <c r="A579" s="1">
        <v>69934</v>
      </c>
      <c r="B579" s="1">
        <v>0</v>
      </c>
      <c r="C579" s="1" t="s">
        <v>26</v>
      </c>
      <c r="D579" s="1" t="s">
        <v>27</v>
      </c>
      <c r="E579" s="1" t="s">
        <v>1496</v>
      </c>
      <c r="F579" s="1" t="s">
        <v>1497</v>
      </c>
      <c r="G579" s="1" t="s">
        <v>16</v>
      </c>
      <c r="I579" s="16">
        <v>40561.449687499997</v>
      </c>
      <c r="J579" s="1" t="s">
        <v>1498</v>
      </c>
      <c r="K579" s="1" t="s">
        <v>18</v>
      </c>
      <c r="L579" s="1" t="s">
        <v>19</v>
      </c>
    </row>
    <row r="580" spans="1:20" ht="13" x14ac:dyDescent="0.15">
      <c r="A580" s="1">
        <v>276042</v>
      </c>
      <c r="B580" s="1">
        <v>0</v>
      </c>
      <c r="C580" s="1" t="s">
        <v>1499</v>
      </c>
      <c r="D580" s="1" t="s">
        <v>27</v>
      </c>
      <c r="E580" s="1" t="s">
        <v>1500</v>
      </c>
      <c r="F580" s="1" t="s">
        <v>1501</v>
      </c>
      <c r="G580" s="1" t="s">
        <v>23</v>
      </c>
      <c r="I580" s="16">
        <v>41506.027650462966</v>
      </c>
      <c r="J580" s="1" t="s">
        <v>17</v>
      </c>
      <c r="K580" s="1" t="s">
        <v>18</v>
      </c>
      <c r="L580" s="1" t="s">
        <v>19</v>
      </c>
    </row>
    <row r="581" spans="1:20" ht="13" x14ac:dyDescent="0.15">
      <c r="A581" s="1">
        <v>329978</v>
      </c>
      <c r="B581" s="1">
        <v>0</v>
      </c>
      <c r="C581" s="1" t="s">
        <v>1502</v>
      </c>
      <c r="D581" s="1" t="s">
        <v>27</v>
      </c>
      <c r="E581" s="1" t="s">
        <v>1503</v>
      </c>
      <c r="F581" s="1" t="s">
        <v>1504</v>
      </c>
      <c r="G581" s="1" t="s">
        <v>23</v>
      </c>
      <c r="I581" s="16">
        <v>41627.848032407404</v>
      </c>
      <c r="J581" s="1" t="s">
        <v>193</v>
      </c>
      <c r="K581" s="1" t="s">
        <v>18</v>
      </c>
      <c r="L581" s="1" t="s">
        <v>19</v>
      </c>
    </row>
    <row r="582" spans="1:20" ht="13" x14ac:dyDescent="0.15">
      <c r="A582" s="1">
        <v>139814</v>
      </c>
      <c r="B582" s="1">
        <v>1</v>
      </c>
      <c r="C582" s="1" t="s">
        <v>26</v>
      </c>
      <c r="D582" s="1" t="s">
        <v>27</v>
      </c>
      <c r="E582" s="1" t="s">
        <v>1505</v>
      </c>
      <c r="F582" s="1" t="s">
        <v>1506</v>
      </c>
      <c r="G582" s="1" t="s">
        <v>23</v>
      </c>
      <c r="I582" s="16">
        <v>41121.683645833335</v>
      </c>
      <c r="J582" s="1" t="s">
        <v>76</v>
      </c>
      <c r="K582" s="1" t="s">
        <v>18</v>
      </c>
      <c r="L582" s="1" t="s">
        <v>19</v>
      </c>
      <c r="M582" s="1">
        <v>136840</v>
      </c>
      <c r="N582" s="1" t="s">
        <v>1507</v>
      </c>
      <c r="O582" s="16">
        <v>41101.723576388889</v>
      </c>
      <c r="P582" s="1" t="s">
        <v>1508</v>
      </c>
    </row>
    <row r="583" spans="1:20" ht="13" x14ac:dyDescent="0.15">
      <c r="A583" s="1">
        <v>372411</v>
      </c>
      <c r="B583" s="1">
        <v>0</v>
      </c>
      <c r="C583" s="1" t="s">
        <v>12</v>
      </c>
      <c r="D583" s="1" t="s">
        <v>27</v>
      </c>
      <c r="E583" s="1" t="s">
        <v>1509</v>
      </c>
      <c r="F583" s="1" t="s">
        <v>1510</v>
      </c>
      <c r="G583" s="1" t="s">
        <v>23</v>
      </c>
      <c r="I583" s="16">
        <v>41771.631180555552</v>
      </c>
      <c r="J583" s="1" t="s">
        <v>17</v>
      </c>
      <c r="K583" s="1" t="s">
        <v>18</v>
      </c>
      <c r="L583" s="1" t="s">
        <v>19</v>
      </c>
    </row>
    <row r="584" spans="1:20" ht="13" x14ac:dyDescent="0.15">
      <c r="A584" s="1">
        <v>582697</v>
      </c>
      <c r="B584" s="1">
        <v>0</v>
      </c>
      <c r="C584" s="1" t="s">
        <v>268</v>
      </c>
      <c r="D584" s="1" t="s">
        <v>27</v>
      </c>
      <c r="E584" s="1" t="s">
        <v>959</v>
      </c>
      <c r="F584" s="1" t="s">
        <v>1511</v>
      </c>
      <c r="G584" s="1" t="s">
        <v>16</v>
      </c>
      <c r="I584" s="16">
        <v>42399.252060185187</v>
      </c>
      <c r="J584" s="1" t="s">
        <v>17</v>
      </c>
      <c r="K584" s="1" t="s">
        <v>18</v>
      </c>
      <c r="L584" s="1" t="s">
        <v>19</v>
      </c>
    </row>
    <row r="585" spans="1:20" ht="13" x14ac:dyDescent="0.15">
      <c r="A585" s="1">
        <v>70244</v>
      </c>
      <c r="B585" s="1">
        <v>0</v>
      </c>
      <c r="C585" s="1" t="s">
        <v>26</v>
      </c>
      <c r="D585" s="1" t="s">
        <v>27</v>
      </c>
      <c r="E585" s="1" t="s">
        <v>1512</v>
      </c>
      <c r="F585" s="1" t="s">
        <v>430</v>
      </c>
      <c r="G585" s="1" t="s">
        <v>23</v>
      </c>
      <c r="I585" s="16">
        <v>40563.601817129631</v>
      </c>
      <c r="J585" s="1" t="s">
        <v>261</v>
      </c>
      <c r="K585" s="1" t="s">
        <v>18</v>
      </c>
      <c r="L585" s="1" t="s">
        <v>19</v>
      </c>
    </row>
    <row r="586" spans="1:20" ht="13" x14ac:dyDescent="0.15">
      <c r="A586" s="1">
        <v>179522</v>
      </c>
      <c r="B586" s="1">
        <v>2</v>
      </c>
      <c r="C586" s="1" t="s">
        <v>26</v>
      </c>
      <c r="D586" s="1" t="s">
        <v>27</v>
      </c>
      <c r="E586" s="1" t="s">
        <v>1513</v>
      </c>
      <c r="F586" s="1" t="s">
        <v>1514</v>
      </c>
      <c r="G586" s="1" t="s">
        <v>23</v>
      </c>
      <c r="I586" s="16">
        <v>41334.954756944448</v>
      </c>
      <c r="J586" s="1" t="s">
        <v>408</v>
      </c>
      <c r="K586" s="1" t="s">
        <v>18</v>
      </c>
      <c r="L586" s="1" t="s">
        <v>19</v>
      </c>
      <c r="M586" s="1">
        <v>265131</v>
      </c>
      <c r="N586" s="1" t="s">
        <v>1515</v>
      </c>
      <c r="O586" s="16">
        <v>41483.088055555556</v>
      </c>
      <c r="P586" s="1" t="s">
        <v>1516</v>
      </c>
      <c r="Q586" s="1">
        <v>222292</v>
      </c>
      <c r="R586" s="1" t="s">
        <v>1515</v>
      </c>
      <c r="S586" s="2">
        <v>41353.075613425928</v>
      </c>
      <c r="T586" s="1" t="s">
        <v>40</v>
      </c>
    </row>
    <row r="587" spans="1:20" ht="13" x14ac:dyDescent="0.15">
      <c r="A587" s="1">
        <v>76542</v>
      </c>
      <c r="B587" s="1">
        <v>0</v>
      </c>
      <c r="D587" s="1" t="s">
        <v>27</v>
      </c>
      <c r="E587" s="1" t="s">
        <v>1517</v>
      </c>
      <c r="F587" s="1" t="s">
        <v>1518</v>
      </c>
      <c r="I587" s="16">
        <v>40619.719375000001</v>
      </c>
      <c r="J587" s="1" t="s">
        <v>1519</v>
      </c>
      <c r="K587" s="1" t="s">
        <v>18</v>
      </c>
      <c r="L587" s="1" t="s">
        <v>19</v>
      </c>
    </row>
    <row r="588" spans="1:20" ht="13" x14ac:dyDescent="0.15">
      <c r="A588" s="1">
        <v>124924</v>
      </c>
      <c r="B588" s="1">
        <v>0</v>
      </c>
      <c r="C588" s="1" t="s">
        <v>26</v>
      </c>
      <c r="D588" s="1" t="s">
        <v>27</v>
      </c>
      <c r="E588" s="1" t="s">
        <v>1520</v>
      </c>
      <c r="F588" s="1" t="s">
        <v>1521</v>
      </c>
      <c r="G588" s="1" t="s">
        <v>23</v>
      </c>
      <c r="I588" s="16">
        <v>41023.971006944441</v>
      </c>
      <c r="J588" s="1" t="s">
        <v>40</v>
      </c>
      <c r="K588" s="1" t="s">
        <v>18</v>
      </c>
      <c r="L588" s="1" t="s">
        <v>19</v>
      </c>
    </row>
    <row r="589" spans="1:20" ht="13" x14ac:dyDescent="0.15">
      <c r="A589" s="1">
        <v>637320</v>
      </c>
      <c r="B589" s="1">
        <v>0</v>
      </c>
      <c r="C589" s="1" t="s">
        <v>50</v>
      </c>
      <c r="D589" s="1" t="s">
        <v>27</v>
      </c>
      <c r="E589" s="1" t="s">
        <v>1522</v>
      </c>
      <c r="F589" s="1" t="s">
        <v>1523</v>
      </c>
      <c r="G589" s="1" t="s">
        <v>540</v>
      </c>
      <c r="I589" s="16">
        <v>42594.704618055555</v>
      </c>
      <c r="J589" s="1" t="s">
        <v>454</v>
      </c>
      <c r="K589" s="1" t="s">
        <v>18</v>
      </c>
      <c r="L589" s="1" t="s">
        <v>19</v>
      </c>
    </row>
    <row r="590" spans="1:20" ht="13" x14ac:dyDescent="0.15">
      <c r="A590" s="1">
        <v>468933</v>
      </c>
      <c r="B590" s="1">
        <v>0</v>
      </c>
      <c r="D590" s="1" t="s">
        <v>27</v>
      </c>
      <c r="E590" s="1" t="s">
        <v>1524</v>
      </c>
      <c r="F590" s="1" t="s">
        <v>1525</v>
      </c>
      <c r="G590" s="1" t="s">
        <v>159</v>
      </c>
      <c r="I590" s="16">
        <v>42082.878194444442</v>
      </c>
      <c r="J590" s="1" t="s">
        <v>758</v>
      </c>
      <c r="K590" s="1" t="s">
        <v>18</v>
      </c>
      <c r="L590" s="1" t="s">
        <v>19</v>
      </c>
    </row>
    <row r="591" spans="1:20" ht="13" x14ac:dyDescent="0.15">
      <c r="A591" s="1">
        <v>468936</v>
      </c>
      <c r="B591" s="1">
        <v>0</v>
      </c>
      <c r="C591" s="1" t="s">
        <v>470</v>
      </c>
      <c r="D591" s="1" t="s">
        <v>27</v>
      </c>
      <c r="E591" s="1" t="s">
        <v>1526</v>
      </c>
      <c r="F591" s="1" t="s">
        <v>1527</v>
      </c>
      <c r="G591" s="1" t="s">
        <v>23</v>
      </c>
      <c r="I591" s="16">
        <v>42082.882175925923</v>
      </c>
      <c r="J591" s="1" t="s">
        <v>155</v>
      </c>
      <c r="K591" s="1" t="s">
        <v>18</v>
      </c>
      <c r="L591" s="1" t="s">
        <v>19</v>
      </c>
    </row>
    <row r="592" spans="1:20" ht="13" x14ac:dyDescent="0.15">
      <c r="A592" s="1">
        <v>257363</v>
      </c>
      <c r="B592" s="1">
        <v>0</v>
      </c>
      <c r="C592" s="1" t="s">
        <v>414</v>
      </c>
      <c r="D592" s="1" t="s">
        <v>27</v>
      </c>
      <c r="E592" s="1" t="s">
        <v>1528</v>
      </c>
      <c r="F592" s="1" t="s">
        <v>1529</v>
      </c>
      <c r="G592" s="1" t="s">
        <v>159</v>
      </c>
      <c r="I592" s="16">
        <v>41459.596377314818</v>
      </c>
      <c r="J592" s="1" t="s">
        <v>1530</v>
      </c>
      <c r="K592" s="1" t="s">
        <v>18</v>
      </c>
      <c r="L592" s="1" t="s">
        <v>19</v>
      </c>
    </row>
    <row r="593" spans="1:16" ht="13" x14ac:dyDescent="0.15">
      <c r="A593" s="1">
        <v>33053</v>
      </c>
      <c r="B593" s="1">
        <v>0</v>
      </c>
      <c r="D593" s="1" t="s">
        <v>27</v>
      </c>
      <c r="E593" s="1" t="s">
        <v>1531</v>
      </c>
      <c r="F593" s="1" t="s">
        <v>1346</v>
      </c>
      <c r="I593" s="16">
        <v>40203.455520833333</v>
      </c>
      <c r="J593" s="1" t="s">
        <v>435</v>
      </c>
      <c r="K593" s="1" t="s">
        <v>18</v>
      </c>
      <c r="L593" s="1" t="s">
        <v>19</v>
      </c>
    </row>
    <row r="594" spans="1:16" ht="13" x14ac:dyDescent="0.15">
      <c r="A594" s="1">
        <v>86502</v>
      </c>
      <c r="B594" s="1">
        <v>0</v>
      </c>
      <c r="C594" s="1" t="s">
        <v>26</v>
      </c>
      <c r="D594" s="1" t="s">
        <v>27</v>
      </c>
      <c r="E594" s="1" t="s">
        <v>1532</v>
      </c>
      <c r="F594" s="1" t="s">
        <v>1533</v>
      </c>
      <c r="G594" s="1" t="s">
        <v>23</v>
      </c>
      <c r="I594" s="16">
        <v>40711.607303240744</v>
      </c>
      <c r="J594" s="1" t="s">
        <v>44</v>
      </c>
      <c r="K594" s="1" t="s">
        <v>18</v>
      </c>
      <c r="L594" s="1" t="s">
        <v>19</v>
      </c>
    </row>
    <row r="595" spans="1:16" ht="13" x14ac:dyDescent="0.15">
      <c r="A595" s="1">
        <v>76771</v>
      </c>
      <c r="B595" s="1">
        <v>1</v>
      </c>
      <c r="C595" s="1" t="s">
        <v>145</v>
      </c>
      <c r="D595" s="1" t="s">
        <v>27</v>
      </c>
      <c r="E595" s="1" t="s">
        <v>1534</v>
      </c>
      <c r="F595" s="1" t="s">
        <v>1535</v>
      </c>
      <c r="G595" s="1" t="s">
        <v>23</v>
      </c>
      <c r="I595" s="16">
        <v>40621.336458333331</v>
      </c>
      <c r="J595" s="1" t="s">
        <v>445</v>
      </c>
      <c r="K595" s="1" t="s">
        <v>18</v>
      </c>
      <c r="L595" s="1" t="s">
        <v>19</v>
      </c>
      <c r="M595" s="1">
        <v>91288</v>
      </c>
      <c r="N595" s="1" t="s">
        <v>1536</v>
      </c>
      <c r="O595" s="16">
        <v>40756.969502314816</v>
      </c>
      <c r="P595" s="1" t="s">
        <v>1435</v>
      </c>
    </row>
    <row r="596" spans="1:16" ht="13" x14ac:dyDescent="0.15">
      <c r="A596" s="1">
        <v>434723</v>
      </c>
      <c r="B596" s="1">
        <v>0</v>
      </c>
      <c r="D596" s="1" t="s">
        <v>27</v>
      </c>
      <c r="E596" s="1" t="s">
        <v>1537</v>
      </c>
      <c r="F596" s="1" t="s">
        <v>1538</v>
      </c>
      <c r="G596" s="1" t="s">
        <v>23</v>
      </c>
      <c r="I596" s="16">
        <v>41962.64949074074</v>
      </c>
      <c r="J596" s="1" t="s">
        <v>17</v>
      </c>
      <c r="K596" s="1" t="s">
        <v>18</v>
      </c>
      <c r="L596" s="1" t="s">
        <v>19</v>
      </c>
    </row>
    <row r="597" spans="1:16" ht="13" x14ac:dyDescent="0.15">
      <c r="A597" s="1">
        <v>662769</v>
      </c>
      <c r="B597" s="1">
        <v>0</v>
      </c>
      <c r="C597" s="1" t="s">
        <v>1426</v>
      </c>
      <c r="D597" s="1" t="s">
        <v>27</v>
      </c>
      <c r="E597" s="1" t="s">
        <v>1539</v>
      </c>
      <c r="F597" s="1" t="s">
        <v>1540</v>
      </c>
      <c r="G597" s="1" t="s">
        <v>56</v>
      </c>
      <c r="I597" s="16">
        <v>42681.057384259257</v>
      </c>
      <c r="J597" s="1" t="s">
        <v>1541</v>
      </c>
      <c r="K597" s="1" t="s">
        <v>18</v>
      </c>
      <c r="L597" s="1" t="s">
        <v>19</v>
      </c>
    </row>
    <row r="598" spans="1:16" ht="13" x14ac:dyDescent="0.15">
      <c r="A598" s="1">
        <v>54500</v>
      </c>
      <c r="B598" s="1">
        <v>0</v>
      </c>
      <c r="C598" s="1" t="s">
        <v>26</v>
      </c>
      <c r="D598" s="1" t="s">
        <v>27</v>
      </c>
      <c r="E598" s="1" t="s">
        <v>1542</v>
      </c>
      <c r="F598" s="1" t="s">
        <v>1543</v>
      </c>
      <c r="I598" s="16">
        <v>40425.681828703702</v>
      </c>
      <c r="J598" s="1" t="s">
        <v>1544</v>
      </c>
      <c r="K598" s="1" t="s">
        <v>18</v>
      </c>
      <c r="L598" s="1" t="s">
        <v>19</v>
      </c>
    </row>
    <row r="599" spans="1:16" ht="13" x14ac:dyDescent="0.15">
      <c r="A599" s="1">
        <v>586798</v>
      </c>
      <c r="B599" s="1">
        <v>0</v>
      </c>
      <c r="C599" s="1" t="s">
        <v>1545</v>
      </c>
      <c r="D599" s="1" t="s">
        <v>27</v>
      </c>
      <c r="E599" s="1" t="s">
        <v>1546</v>
      </c>
      <c r="F599" s="1" t="s">
        <v>1547</v>
      </c>
      <c r="G599" s="1" t="s">
        <v>16</v>
      </c>
      <c r="I599" s="16">
        <v>42414.611550925925</v>
      </c>
      <c r="J599" s="1" t="s">
        <v>17</v>
      </c>
      <c r="K599" s="1" t="s">
        <v>18</v>
      </c>
      <c r="L599" s="1" t="s">
        <v>19</v>
      </c>
    </row>
    <row r="600" spans="1:16" ht="13" x14ac:dyDescent="0.15">
      <c r="A600" s="1">
        <v>470753</v>
      </c>
      <c r="B600" s="1">
        <v>0</v>
      </c>
      <c r="C600" s="1" t="s">
        <v>137</v>
      </c>
      <c r="D600" s="1" t="s">
        <v>27</v>
      </c>
      <c r="E600" s="1" t="s">
        <v>1548</v>
      </c>
      <c r="F600" s="1" t="s">
        <v>1549</v>
      </c>
      <c r="G600" s="1" t="s">
        <v>23</v>
      </c>
      <c r="I600" s="16">
        <v>42089.059166666666</v>
      </c>
      <c r="J600" s="1" t="s">
        <v>151</v>
      </c>
      <c r="K600" s="1" t="s">
        <v>18</v>
      </c>
      <c r="L600" s="1" t="s">
        <v>19</v>
      </c>
    </row>
    <row r="601" spans="1:16" ht="13" x14ac:dyDescent="0.15">
      <c r="A601" s="1">
        <v>99603</v>
      </c>
      <c r="B601" s="1">
        <v>0</v>
      </c>
      <c r="C601" s="1" t="s">
        <v>26</v>
      </c>
      <c r="D601" s="1" t="s">
        <v>27</v>
      </c>
      <c r="E601" s="1" t="s">
        <v>1550</v>
      </c>
      <c r="F601" s="1" t="s">
        <v>1201</v>
      </c>
      <c r="G601" s="1" t="s">
        <v>23</v>
      </c>
      <c r="I601" s="16">
        <v>40824.973055555558</v>
      </c>
      <c r="J601" s="1" t="s">
        <v>40</v>
      </c>
      <c r="K601" s="1" t="s">
        <v>18</v>
      </c>
      <c r="L601" s="1" t="s">
        <v>19</v>
      </c>
    </row>
    <row r="602" spans="1:16" ht="13" x14ac:dyDescent="0.15">
      <c r="A602" s="1">
        <v>299892</v>
      </c>
      <c r="B602" s="1">
        <v>0</v>
      </c>
      <c r="C602" s="1" t="s">
        <v>1551</v>
      </c>
      <c r="D602" s="1" t="s">
        <v>27</v>
      </c>
      <c r="E602" s="1" t="s">
        <v>1552</v>
      </c>
      <c r="F602" s="1" t="s">
        <v>1553</v>
      </c>
      <c r="I602" s="16">
        <v>41544.774768518517</v>
      </c>
      <c r="J602" s="1" t="s">
        <v>148</v>
      </c>
      <c r="K602" s="1" t="s">
        <v>18</v>
      </c>
      <c r="L602" s="1" t="s">
        <v>19</v>
      </c>
    </row>
    <row r="603" spans="1:16" ht="13" x14ac:dyDescent="0.15">
      <c r="A603" s="1">
        <v>399655</v>
      </c>
      <c r="B603" s="1">
        <v>0</v>
      </c>
      <c r="D603" s="1" t="s">
        <v>27</v>
      </c>
      <c r="E603" s="1" t="s">
        <v>1554</v>
      </c>
      <c r="F603" s="1" t="s">
        <v>1555</v>
      </c>
      <c r="G603" s="1" t="s">
        <v>23</v>
      </c>
      <c r="I603" s="16">
        <v>41852.672719907408</v>
      </c>
      <c r="J603" s="1" t="s">
        <v>17</v>
      </c>
      <c r="K603" s="1" t="s">
        <v>18</v>
      </c>
      <c r="L603" s="1" t="s">
        <v>19</v>
      </c>
    </row>
    <row r="604" spans="1:16" ht="13" x14ac:dyDescent="0.15">
      <c r="A604" s="1">
        <v>45983</v>
      </c>
      <c r="B604" s="1">
        <v>0</v>
      </c>
      <c r="C604" s="1" t="s">
        <v>26</v>
      </c>
      <c r="D604" s="1" t="s">
        <v>27</v>
      </c>
      <c r="E604" s="1" t="s">
        <v>1556</v>
      </c>
      <c r="F604" s="1" t="s">
        <v>1557</v>
      </c>
      <c r="I604" s="16">
        <v>40336.310636574075</v>
      </c>
      <c r="J604" s="1" t="s">
        <v>190</v>
      </c>
      <c r="K604" s="1" t="s">
        <v>18</v>
      </c>
      <c r="L604" s="1" t="s">
        <v>19</v>
      </c>
    </row>
    <row r="605" spans="1:16" ht="13" x14ac:dyDescent="0.15">
      <c r="A605" s="1">
        <v>189090</v>
      </c>
      <c r="B605" s="1">
        <v>0</v>
      </c>
      <c r="C605" s="1" t="s">
        <v>26</v>
      </c>
      <c r="D605" s="1" t="s">
        <v>27</v>
      </c>
      <c r="E605" s="1" t="s">
        <v>1045</v>
      </c>
      <c r="F605" s="1" t="s">
        <v>1558</v>
      </c>
      <c r="G605" s="1" t="s">
        <v>23</v>
      </c>
      <c r="I605" s="16">
        <v>41346.072210648148</v>
      </c>
      <c r="J605" s="1" t="s">
        <v>40</v>
      </c>
      <c r="K605" s="1" t="s">
        <v>18</v>
      </c>
      <c r="L605" s="1" t="s">
        <v>19</v>
      </c>
    </row>
    <row r="606" spans="1:16" ht="13" x14ac:dyDescent="0.15">
      <c r="A606" s="1">
        <v>156567</v>
      </c>
      <c r="B606" s="1">
        <v>0</v>
      </c>
      <c r="C606" s="1" t="s">
        <v>41</v>
      </c>
      <c r="D606" s="1" t="s">
        <v>27</v>
      </c>
      <c r="E606" s="1" t="s">
        <v>1559</v>
      </c>
      <c r="F606" s="1" t="s">
        <v>1560</v>
      </c>
      <c r="I606" s="16">
        <v>41200.272951388892</v>
      </c>
      <c r="J606" s="1" t="s">
        <v>44</v>
      </c>
      <c r="K606" s="1" t="s">
        <v>18</v>
      </c>
      <c r="L606" s="1" t="s">
        <v>19</v>
      </c>
    </row>
    <row r="607" spans="1:16" ht="13" x14ac:dyDescent="0.15">
      <c r="A607" s="1">
        <v>430353</v>
      </c>
      <c r="B607" s="1">
        <v>0</v>
      </c>
      <c r="D607" s="1" t="s">
        <v>27</v>
      </c>
      <c r="E607" s="1" t="s">
        <v>1561</v>
      </c>
      <c r="F607" s="1" t="s">
        <v>1562</v>
      </c>
      <c r="G607" s="1" t="s">
        <v>23</v>
      </c>
      <c r="I607" s="16">
        <v>41948.232418981483</v>
      </c>
      <c r="J607" s="1" t="s">
        <v>836</v>
      </c>
      <c r="K607" s="1" t="s">
        <v>18</v>
      </c>
      <c r="L607" s="1" t="s">
        <v>19</v>
      </c>
    </row>
    <row r="608" spans="1:16" ht="13" x14ac:dyDescent="0.15">
      <c r="A608" s="1">
        <v>386034</v>
      </c>
      <c r="B608" s="1">
        <v>0</v>
      </c>
      <c r="C608" s="1" t="s">
        <v>101</v>
      </c>
      <c r="D608" s="1" t="s">
        <v>27</v>
      </c>
      <c r="E608" s="1" t="s">
        <v>877</v>
      </c>
      <c r="F608" s="1" t="s">
        <v>1563</v>
      </c>
      <c r="G608" s="1" t="s">
        <v>23</v>
      </c>
      <c r="I608" s="16">
        <v>41808.217152777775</v>
      </c>
      <c r="J608" s="1" t="s">
        <v>17</v>
      </c>
      <c r="K608" s="1" t="s">
        <v>18</v>
      </c>
      <c r="L608" s="1" t="s">
        <v>19</v>
      </c>
    </row>
    <row r="609" spans="1:16" ht="13" x14ac:dyDescent="0.15">
      <c r="A609" s="1">
        <v>112694</v>
      </c>
      <c r="B609" s="1">
        <v>0</v>
      </c>
      <c r="C609" s="1" t="s">
        <v>26</v>
      </c>
      <c r="D609" s="1" t="s">
        <v>27</v>
      </c>
      <c r="E609" s="1" t="s">
        <v>1564</v>
      </c>
      <c r="F609" s="1" t="s">
        <v>1565</v>
      </c>
      <c r="G609" s="1" t="s">
        <v>23</v>
      </c>
      <c r="I609" s="16">
        <v>40943.389837962961</v>
      </c>
      <c r="J609" s="1" t="s">
        <v>40</v>
      </c>
      <c r="K609" s="1" t="s">
        <v>18</v>
      </c>
      <c r="L609" s="1" t="s">
        <v>19</v>
      </c>
    </row>
    <row r="610" spans="1:16" ht="13" x14ac:dyDescent="0.15">
      <c r="A610" s="1">
        <v>414504</v>
      </c>
      <c r="B610" s="1">
        <v>0</v>
      </c>
      <c r="C610" s="1" t="s">
        <v>12</v>
      </c>
      <c r="D610" s="1" t="s">
        <v>27</v>
      </c>
      <c r="E610" s="1" t="s">
        <v>1566</v>
      </c>
      <c r="F610" s="1" t="s">
        <v>1567</v>
      </c>
      <c r="I610" s="16">
        <v>41897.95511574074</v>
      </c>
      <c r="J610" s="1" t="s">
        <v>68</v>
      </c>
      <c r="K610" s="1" t="s">
        <v>18</v>
      </c>
      <c r="L610" s="1" t="s">
        <v>19</v>
      </c>
    </row>
    <row r="611" spans="1:16" ht="13" x14ac:dyDescent="0.15">
      <c r="A611" s="1">
        <v>79025</v>
      </c>
      <c r="B611" s="1">
        <v>0</v>
      </c>
      <c r="C611" s="1" t="s">
        <v>26</v>
      </c>
      <c r="D611" s="1" t="s">
        <v>27</v>
      </c>
      <c r="E611" s="1" t="s">
        <v>1568</v>
      </c>
      <c r="F611" s="1" t="s">
        <v>1569</v>
      </c>
      <c r="G611" s="1" t="s">
        <v>23</v>
      </c>
      <c r="I611" s="16">
        <v>40644.522604166668</v>
      </c>
      <c r="J611" s="1" t="s">
        <v>40</v>
      </c>
      <c r="K611" s="1" t="s">
        <v>18</v>
      </c>
      <c r="L611" s="1" t="s">
        <v>19</v>
      </c>
    </row>
    <row r="612" spans="1:16" ht="13" x14ac:dyDescent="0.15">
      <c r="A612" s="1">
        <v>467644</v>
      </c>
      <c r="B612" s="1">
        <v>0</v>
      </c>
      <c r="C612" s="1" t="s">
        <v>268</v>
      </c>
      <c r="D612" s="1" t="s">
        <v>27</v>
      </c>
      <c r="E612" s="1" t="s">
        <v>1570</v>
      </c>
      <c r="F612" s="1" t="s">
        <v>1571</v>
      </c>
      <c r="G612" s="1" t="s">
        <v>23</v>
      </c>
      <c r="I612" s="16">
        <v>42079.74894675926</v>
      </c>
      <c r="J612" s="1" t="s">
        <v>17</v>
      </c>
      <c r="K612" s="1" t="s">
        <v>18</v>
      </c>
      <c r="L612" s="1" t="s">
        <v>19</v>
      </c>
    </row>
    <row r="613" spans="1:16" ht="13" x14ac:dyDescent="0.15">
      <c r="A613" s="1">
        <v>429666</v>
      </c>
      <c r="B613" s="1">
        <v>0</v>
      </c>
      <c r="D613" s="1" t="s">
        <v>27</v>
      </c>
      <c r="E613" s="1" t="s">
        <v>1572</v>
      </c>
      <c r="F613" s="1" t="s">
        <v>1573</v>
      </c>
      <c r="I613" s="16">
        <v>41946.627997685187</v>
      </c>
      <c r="J613" s="1" t="s">
        <v>408</v>
      </c>
      <c r="K613" s="1" t="s">
        <v>18</v>
      </c>
      <c r="L613" s="1" t="s">
        <v>19</v>
      </c>
    </row>
    <row r="614" spans="1:16" ht="13" x14ac:dyDescent="0.15">
      <c r="A614" s="1">
        <v>99104</v>
      </c>
      <c r="B614" s="1">
        <v>0</v>
      </c>
      <c r="C614" s="1" t="s">
        <v>26</v>
      </c>
      <c r="D614" s="1" t="s">
        <v>27</v>
      </c>
      <c r="E614" s="1" t="s">
        <v>1574</v>
      </c>
      <c r="F614" s="1" t="s">
        <v>888</v>
      </c>
      <c r="G614" s="1" t="s">
        <v>23</v>
      </c>
      <c r="I614" s="16">
        <v>40820.946793981479</v>
      </c>
      <c r="J614" s="1" t="s">
        <v>398</v>
      </c>
      <c r="K614" s="1" t="s">
        <v>18</v>
      </c>
      <c r="L614" s="1" t="s">
        <v>19</v>
      </c>
    </row>
    <row r="615" spans="1:16" ht="13" x14ac:dyDescent="0.15">
      <c r="A615" s="1">
        <v>147625</v>
      </c>
      <c r="B615" s="1">
        <v>0</v>
      </c>
      <c r="C615" s="1" t="s">
        <v>170</v>
      </c>
      <c r="D615" s="1" t="s">
        <v>27</v>
      </c>
      <c r="E615" s="1" t="s">
        <v>1575</v>
      </c>
      <c r="F615" s="1" t="s">
        <v>1576</v>
      </c>
      <c r="G615" s="1" t="s">
        <v>1577</v>
      </c>
      <c r="I615" s="16">
        <v>41162.776712962965</v>
      </c>
      <c r="J615" s="1" t="s">
        <v>1277</v>
      </c>
      <c r="K615" s="1" t="s">
        <v>18</v>
      </c>
      <c r="L615" s="1" t="s">
        <v>19</v>
      </c>
    </row>
    <row r="616" spans="1:16" ht="13" x14ac:dyDescent="0.15">
      <c r="A616" s="1">
        <v>136235</v>
      </c>
      <c r="B616" s="1">
        <v>0</v>
      </c>
      <c r="C616" s="1" t="s">
        <v>26</v>
      </c>
      <c r="D616" s="1" t="s">
        <v>27</v>
      </c>
      <c r="E616" s="1" t="s">
        <v>1578</v>
      </c>
      <c r="F616" s="1" t="s">
        <v>1579</v>
      </c>
      <c r="G616" s="1" t="s">
        <v>23</v>
      </c>
      <c r="I616" s="16">
        <v>41097.720011574071</v>
      </c>
      <c r="J616" s="1" t="s">
        <v>544</v>
      </c>
      <c r="K616" s="1" t="s">
        <v>18</v>
      </c>
      <c r="L616" s="1" t="s">
        <v>19</v>
      </c>
    </row>
    <row r="617" spans="1:16" ht="13" x14ac:dyDescent="0.15">
      <c r="A617" s="1">
        <v>124669</v>
      </c>
      <c r="B617" s="1">
        <v>0</v>
      </c>
      <c r="C617" s="1" t="s">
        <v>41</v>
      </c>
      <c r="D617" s="1" t="s">
        <v>27</v>
      </c>
      <c r="E617" s="1" t="s">
        <v>1580</v>
      </c>
      <c r="F617" s="1" t="s">
        <v>1581</v>
      </c>
      <c r="G617" s="1" t="s">
        <v>23</v>
      </c>
      <c r="I617" s="16">
        <v>41022.737337962964</v>
      </c>
      <c r="J617" s="1" t="s">
        <v>44</v>
      </c>
      <c r="K617" s="1" t="s">
        <v>18</v>
      </c>
      <c r="L617" s="1" t="s">
        <v>19</v>
      </c>
    </row>
    <row r="618" spans="1:16" ht="13" x14ac:dyDescent="0.15">
      <c r="A618" s="1">
        <v>86900</v>
      </c>
      <c r="B618" s="1">
        <v>0</v>
      </c>
      <c r="C618" s="1" t="s">
        <v>170</v>
      </c>
      <c r="D618" s="1" t="s">
        <v>27</v>
      </c>
      <c r="E618" s="1" t="s">
        <v>1582</v>
      </c>
      <c r="F618" s="1" t="s">
        <v>1583</v>
      </c>
      <c r="I618" s="16">
        <v>40715.206516203703</v>
      </c>
      <c r="J618" s="1" t="s">
        <v>836</v>
      </c>
      <c r="K618" s="1" t="s">
        <v>18</v>
      </c>
      <c r="L618" s="1" t="s">
        <v>19</v>
      </c>
    </row>
    <row r="619" spans="1:16" ht="13" x14ac:dyDescent="0.15">
      <c r="A619" s="1">
        <v>587227</v>
      </c>
      <c r="B619" s="1">
        <v>0</v>
      </c>
      <c r="C619" s="1" t="s">
        <v>12</v>
      </c>
      <c r="D619" s="1" t="s">
        <v>27</v>
      </c>
      <c r="E619" s="1" t="s">
        <v>1584</v>
      </c>
      <c r="F619" s="1" t="s">
        <v>1585</v>
      </c>
      <c r="G619" s="1" t="s">
        <v>23</v>
      </c>
      <c r="I619" s="16">
        <v>42416.947847222225</v>
      </c>
      <c r="J619" s="1" t="s">
        <v>1074</v>
      </c>
      <c r="K619" s="1" t="s">
        <v>18</v>
      </c>
      <c r="L619" s="1" t="s">
        <v>19</v>
      </c>
    </row>
    <row r="620" spans="1:16" ht="13" x14ac:dyDescent="0.15">
      <c r="A620" s="1">
        <v>132890</v>
      </c>
      <c r="B620" s="1">
        <v>1</v>
      </c>
      <c r="C620" s="1" t="s">
        <v>549</v>
      </c>
      <c r="D620" s="1" t="s">
        <v>27</v>
      </c>
      <c r="E620" s="1" t="s">
        <v>1586</v>
      </c>
      <c r="F620" s="1" t="s">
        <v>1587</v>
      </c>
      <c r="G620" s="1" t="s">
        <v>23</v>
      </c>
      <c r="I620" s="16">
        <v>41074.949687499997</v>
      </c>
      <c r="J620" s="1" t="s">
        <v>1588</v>
      </c>
      <c r="K620" s="1" t="s">
        <v>18</v>
      </c>
      <c r="L620" s="1" t="s">
        <v>19</v>
      </c>
      <c r="M620" s="1">
        <v>135706</v>
      </c>
      <c r="N620" s="1" t="s">
        <v>1589</v>
      </c>
      <c r="O620" s="16">
        <v>41094.300717592596</v>
      </c>
      <c r="P620" s="1" t="s">
        <v>1590</v>
      </c>
    </row>
    <row r="621" spans="1:16" ht="13" x14ac:dyDescent="0.15">
      <c r="A621" s="1">
        <v>99138</v>
      </c>
      <c r="B621" s="1">
        <v>0</v>
      </c>
      <c r="C621" s="1" t="s">
        <v>26</v>
      </c>
      <c r="D621" s="1" t="s">
        <v>27</v>
      </c>
      <c r="E621" s="1" t="s">
        <v>1591</v>
      </c>
      <c r="F621" s="1" t="s">
        <v>1592</v>
      </c>
      <c r="G621" s="1" t="s">
        <v>23</v>
      </c>
      <c r="I621" s="16">
        <v>40821.306944444441</v>
      </c>
      <c r="J621" s="1" t="s">
        <v>44</v>
      </c>
      <c r="K621" s="1" t="s">
        <v>18</v>
      </c>
      <c r="L621" s="1" t="s">
        <v>19</v>
      </c>
    </row>
    <row r="622" spans="1:16" ht="13" x14ac:dyDescent="0.15">
      <c r="A622" s="1">
        <v>390176</v>
      </c>
      <c r="B622" s="1">
        <v>0</v>
      </c>
      <c r="C622" s="1" t="s">
        <v>1593</v>
      </c>
      <c r="D622" s="1" t="s">
        <v>27</v>
      </c>
      <c r="E622" s="1" t="s">
        <v>1594</v>
      </c>
      <c r="F622" s="1" t="s">
        <v>1595</v>
      </c>
      <c r="G622" s="1" t="s">
        <v>23</v>
      </c>
      <c r="I622" s="16">
        <v>41820.648680555554</v>
      </c>
      <c r="J622" s="1" t="s">
        <v>17</v>
      </c>
      <c r="K622" s="1" t="s">
        <v>18</v>
      </c>
      <c r="L622" s="1" t="s">
        <v>19</v>
      </c>
    </row>
    <row r="623" spans="1:16" ht="13" x14ac:dyDescent="0.15">
      <c r="A623" s="1">
        <v>390174</v>
      </c>
      <c r="B623" s="1">
        <v>0</v>
      </c>
      <c r="C623" s="1" t="s">
        <v>1596</v>
      </c>
      <c r="D623" s="1" t="s">
        <v>27</v>
      </c>
      <c r="E623" s="1" t="s">
        <v>1597</v>
      </c>
      <c r="F623" s="1" t="s">
        <v>1598</v>
      </c>
      <c r="G623" s="1" t="s">
        <v>23</v>
      </c>
      <c r="I623" s="16">
        <v>41820.644386574073</v>
      </c>
      <c r="J623" s="1" t="s">
        <v>17</v>
      </c>
      <c r="K623" s="1" t="s">
        <v>18</v>
      </c>
      <c r="L623" s="1" t="s">
        <v>19</v>
      </c>
    </row>
    <row r="624" spans="1:16" ht="13" x14ac:dyDescent="0.15">
      <c r="A624" s="1">
        <v>158060</v>
      </c>
      <c r="B624" s="1">
        <v>0</v>
      </c>
      <c r="C624" s="1" t="s">
        <v>26</v>
      </c>
      <c r="D624" s="1" t="s">
        <v>27</v>
      </c>
      <c r="E624" s="1" t="s">
        <v>1599</v>
      </c>
      <c r="F624" s="1" t="s">
        <v>707</v>
      </c>
      <c r="G624" s="1" t="s">
        <v>23</v>
      </c>
      <c r="I624" s="16">
        <v>41208.664097222223</v>
      </c>
      <c r="J624" s="1" t="s">
        <v>40</v>
      </c>
      <c r="K624" s="1" t="s">
        <v>18</v>
      </c>
      <c r="L624" s="1" t="s">
        <v>19</v>
      </c>
    </row>
    <row r="625" spans="1:16" ht="13" x14ac:dyDescent="0.15">
      <c r="A625" s="1">
        <v>58731</v>
      </c>
      <c r="B625" s="1">
        <v>0</v>
      </c>
      <c r="C625" s="1" t="s">
        <v>170</v>
      </c>
      <c r="D625" s="1" t="s">
        <v>27</v>
      </c>
      <c r="E625" s="1" t="s">
        <v>1600</v>
      </c>
      <c r="F625" s="1" t="s">
        <v>1601</v>
      </c>
      <c r="G625" s="1" t="s">
        <v>23</v>
      </c>
      <c r="I625" s="16">
        <v>40462.327210648145</v>
      </c>
      <c r="J625" s="1" t="s">
        <v>1602</v>
      </c>
      <c r="K625" s="1" t="s">
        <v>18</v>
      </c>
      <c r="L625" s="1" t="s">
        <v>19</v>
      </c>
    </row>
    <row r="626" spans="1:16" ht="13" x14ac:dyDescent="0.15">
      <c r="A626" s="1">
        <v>356095</v>
      </c>
      <c r="B626" s="1">
        <v>0</v>
      </c>
      <c r="C626" s="1" t="s">
        <v>1294</v>
      </c>
      <c r="D626" s="1" t="s">
        <v>27</v>
      </c>
      <c r="E626" s="1" t="s">
        <v>1603</v>
      </c>
      <c r="F626" s="1" t="s">
        <v>1604</v>
      </c>
      <c r="G626" s="1" t="s">
        <v>23</v>
      </c>
      <c r="I626" s="16">
        <v>41723.442743055559</v>
      </c>
      <c r="J626" s="1" t="s">
        <v>68</v>
      </c>
      <c r="K626" s="1" t="s">
        <v>18</v>
      </c>
      <c r="L626" s="1" t="s">
        <v>19</v>
      </c>
    </row>
    <row r="627" spans="1:16" ht="13" x14ac:dyDescent="0.15">
      <c r="A627" s="1">
        <v>65942</v>
      </c>
      <c r="B627" s="1">
        <v>0</v>
      </c>
      <c r="C627" s="1" t="s">
        <v>26</v>
      </c>
      <c r="D627" s="1" t="s">
        <v>27</v>
      </c>
      <c r="E627" s="1" t="s">
        <v>1605</v>
      </c>
      <c r="F627" s="1" t="s">
        <v>720</v>
      </c>
      <c r="G627" s="1" t="s">
        <v>23</v>
      </c>
      <c r="I627" s="16">
        <v>40520.923726851855</v>
      </c>
      <c r="J627" s="1" t="s">
        <v>398</v>
      </c>
      <c r="K627" s="1" t="s">
        <v>18</v>
      </c>
      <c r="L627" s="1" t="s">
        <v>19</v>
      </c>
    </row>
    <row r="628" spans="1:16" ht="13" x14ac:dyDescent="0.15">
      <c r="A628" s="1">
        <v>382667</v>
      </c>
      <c r="B628" s="1">
        <v>0</v>
      </c>
      <c r="C628" s="1" t="s">
        <v>12</v>
      </c>
      <c r="D628" s="1" t="s">
        <v>27</v>
      </c>
      <c r="E628" s="1" t="s">
        <v>1606</v>
      </c>
      <c r="F628" s="1" t="s">
        <v>1607</v>
      </c>
      <c r="G628" s="1" t="s">
        <v>23</v>
      </c>
      <c r="I628" s="16">
        <v>41799.878298611111</v>
      </c>
      <c r="J628" s="1" t="s">
        <v>1608</v>
      </c>
      <c r="K628" s="1" t="s">
        <v>18</v>
      </c>
      <c r="L628" s="1" t="s">
        <v>19</v>
      </c>
    </row>
    <row r="629" spans="1:16" ht="13" x14ac:dyDescent="0.15">
      <c r="A629" s="1">
        <v>69628</v>
      </c>
      <c r="B629" s="1">
        <v>0</v>
      </c>
      <c r="C629" s="1" t="s">
        <v>26</v>
      </c>
      <c r="D629" s="1" t="s">
        <v>27</v>
      </c>
      <c r="E629" s="1" t="s">
        <v>1609</v>
      </c>
      <c r="F629" s="1" t="s">
        <v>1610</v>
      </c>
      <c r="G629" s="1" t="s">
        <v>23</v>
      </c>
      <c r="I629" s="16">
        <v>40557.186828703707</v>
      </c>
      <c r="J629" s="1" t="s">
        <v>92</v>
      </c>
      <c r="K629" s="1" t="s">
        <v>18</v>
      </c>
      <c r="L629" s="1" t="s">
        <v>19</v>
      </c>
    </row>
    <row r="630" spans="1:16" ht="13" x14ac:dyDescent="0.15">
      <c r="A630" s="1">
        <v>282088</v>
      </c>
      <c r="B630" s="1">
        <v>0</v>
      </c>
      <c r="C630" s="1" t="s">
        <v>268</v>
      </c>
      <c r="D630" s="1" t="s">
        <v>27</v>
      </c>
      <c r="E630" s="1" t="s">
        <v>1611</v>
      </c>
      <c r="F630" s="1" t="s">
        <v>1612</v>
      </c>
      <c r="G630" s="1" t="s">
        <v>23</v>
      </c>
      <c r="I630" s="16">
        <v>41516.193206018521</v>
      </c>
      <c r="J630" s="1" t="s">
        <v>330</v>
      </c>
      <c r="K630" s="1" t="s">
        <v>18</v>
      </c>
      <c r="L630" s="1" t="s">
        <v>19</v>
      </c>
    </row>
    <row r="631" spans="1:16" ht="13" x14ac:dyDescent="0.15">
      <c r="A631" s="1">
        <v>552046</v>
      </c>
      <c r="B631" s="1">
        <v>0</v>
      </c>
      <c r="C631" s="1" t="s">
        <v>12</v>
      </c>
      <c r="D631" s="1" t="s">
        <v>27</v>
      </c>
      <c r="E631" s="1" t="s">
        <v>1613</v>
      </c>
      <c r="F631" s="1" t="s">
        <v>1614</v>
      </c>
      <c r="G631" s="1" t="s">
        <v>16</v>
      </c>
      <c r="I631" s="16">
        <v>42313.867314814815</v>
      </c>
      <c r="J631" s="1" t="s">
        <v>17</v>
      </c>
      <c r="K631" s="1" t="s">
        <v>18</v>
      </c>
      <c r="L631" s="1" t="s">
        <v>19</v>
      </c>
    </row>
    <row r="632" spans="1:16" ht="13" x14ac:dyDescent="0.15">
      <c r="A632" s="1">
        <v>53394</v>
      </c>
      <c r="B632" s="1">
        <v>0</v>
      </c>
      <c r="C632" s="1" t="s">
        <v>905</v>
      </c>
      <c r="D632" s="1" t="s">
        <v>27</v>
      </c>
      <c r="E632" s="1" t="s">
        <v>1615</v>
      </c>
      <c r="F632" s="1" t="s">
        <v>1616</v>
      </c>
      <c r="G632" s="1" t="s">
        <v>23</v>
      </c>
      <c r="I632" s="16">
        <v>40416.149907407409</v>
      </c>
      <c r="J632" s="1" t="s">
        <v>40</v>
      </c>
      <c r="K632" s="1" t="s">
        <v>18</v>
      </c>
      <c r="L632" s="1" t="s">
        <v>19</v>
      </c>
    </row>
    <row r="633" spans="1:16" ht="13" x14ac:dyDescent="0.15">
      <c r="A633" s="1">
        <v>529310</v>
      </c>
      <c r="B633" s="1">
        <v>0</v>
      </c>
      <c r="C633" s="1" t="s">
        <v>12</v>
      </c>
      <c r="D633" s="1" t="s">
        <v>27</v>
      </c>
      <c r="E633" s="1" t="s">
        <v>1617</v>
      </c>
      <c r="F633" s="1" t="s">
        <v>1618</v>
      </c>
      <c r="G633" s="1" t="s">
        <v>16</v>
      </c>
      <c r="I633" s="16">
        <v>42255.629166666666</v>
      </c>
      <c r="J633" s="1" t="s">
        <v>17</v>
      </c>
      <c r="K633" s="1" t="s">
        <v>18</v>
      </c>
      <c r="L633" s="1" t="s">
        <v>19</v>
      </c>
    </row>
    <row r="634" spans="1:16" ht="13" x14ac:dyDescent="0.15">
      <c r="A634" s="1">
        <v>599003</v>
      </c>
      <c r="B634" s="1">
        <v>0</v>
      </c>
      <c r="C634" s="1" t="s">
        <v>101</v>
      </c>
      <c r="D634" s="1" t="s">
        <v>27</v>
      </c>
      <c r="E634" s="1" t="s">
        <v>1619</v>
      </c>
      <c r="F634" s="1" t="s">
        <v>1620</v>
      </c>
      <c r="G634" s="1" t="s">
        <v>16</v>
      </c>
      <c r="I634" s="16">
        <v>42459.319768518515</v>
      </c>
      <c r="J634" s="1" t="s">
        <v>17</v>
      </c>
      <c r="K634" s="1" t="s">
        <v>18</v>
      </c>
      <c r="L634" s="1" t="s">
        <v>19</v>
      </c>
    </row>
    <row r="635" spans="1:16" ht="13" x14ac:dyDescent="0.15">
      <c r="A635" s="1">
        <v>620553</v>
      </c>
      <c r="B635" s="1">
        <v>1</v>
      </c>
      <c r="C635" s="1" t="s">
        <v>101</v>
      </c>
      <c r="D635" s="1" t="s">
        <v>27</v>
      </c>
      <c r="E635" s="1" t="s">
        <v>1621</v>
      </c>
      <c r="F635" s="1" t="s">
        <v>1622</v>
      </c>
      <c r="G635" s="1" t="s">
        <v>23</v>
      </c>
      <c r="I635" s="16">
        <v>42537.153344907405</v>
      </c>
      <c r="J635" s="1" t="s">
        <v>1623</v>
      </c>
      <c r="K635" s="1" t="s">
        <v>18</v>
      </c>
      <c r="L635" s="1" t="s">
        <v>19</v>
      </c>
      <c r="M635" s="1">
        <v>620749</v>
      </c>
      <c r="N635" s="1" t="s">
        <v>1624</v>
      </c>
      <c r="O635" s="16">
        <v>42537.652037037034</v>
      </c>
      <c r="P635" s="1" t="s">
        <v>17</v>
      </c>
    </row>
    <row r="636" spans="1:16" ht="13" x14ac:dyDescent="0.15">
      <c r="A636" s="1">
        <v>280128</v>
      </c>
      <c r="B636" s="1">
        <v>0</v>
      </c>
      <c r="C636" s="1" t="s">
        <v>1625</v>
      </c>
      <c r="D636" s="1" t="s">
        <v>27</v>
      </c>
      <c r="E636" s="1" t="s">
        <v>1626</v>
      </c>
      <c r="F636" s="1" t="s">
        <v>1627</v>
      </c>
      <c r="G636" s="1" t="s">
        <v>353</v>
      </c>
      <c r="I636" s="16">
        <v>41513.559537037036</v>
      </c>
      <c r="J636" s="1" t="s">
        <v>1628</v>
      </c>
      <c r="K636" s="1" t="s">
        <v>18</v>
      </c>
      <c r="L636" s="1" t="s">
        <v>19</v>
      </c>
    </row>
    <row r="637" spans="1:16" ht="13" x14ac:dyDescent="0.15">
      <c r="A637" s="1">
        <v>123709</v>
      </c>
      <c r="B637" s="1">
        <v>0</v>
      </c>
      <c r="C637" s="1" t="s">
        <v>170</v>
      </c>
      <c r="D637" s="1" t="s">
        <v>27</v>
      </c>
      <c r="E637" s="1" t="s">
        <v>1629</v>
      </c>
      <c r="F637" s="1" t="s">
        <v>1630</v>
      </c>
      <c r="G637" s="1" t="s">
        <v>159</v>
      </c>
      <c r="I637" s="16">
        <v>41015.971331018518</v>
      </c>
      <c r="J637" s="1" t="s">
        <v>1171</v>
      </c>
      <c r="K637" s="1" t="s">
        <v>18</v>
      </c>
      <c r="L637" s="1" t="s">
        <v>19</v>
      </c>
    </row>
    <row r="638" spans="1:16" ht="13" x14ac:dyDescent="0.15">
      <c r="A638" s="1">
        <v>162114</v>
      </c>
      <c r="B638" s="1">
        <v>0</v>
      </c>
      <c r="C638" s="1" t="s">
        <v>170</v>
      </c>
      <c r="D638" s="1" t="s">
        <v>27</v>
      </c>
      <c r="E638" s="1" t="s">
        <v>1631</v>
      </c>
      <c r="F638" s="1" t="s">
        <v>1632</v>
      </c>
      <c r="I638" s="16">
        <v>41233.899930555555</v>
      </c>
      <c r="J638" s="1" t="s">
        <v>193</v>
      </c>
      <c r="K638" s="1" t="s">
        <v>18</v>
      </c>
      <c r="L638" s="1" t="s">
        <v>19</v>
      </c>
    </row>
    <row r="639" spans="1:16" ht="13" x14ac:dyDescent="0.15">
      <c r="A639" s="1">
        <v>404513</v>
      </c>
      <c r="B639" s="1">
        <v>0</v>
      </c>
      <c r="D639" s="1" t="s">
        <v>27</v>
      </c>
      <c r="E639" s="1" t="s">
        <v>1633</v>
      </c>
      <c r="F639" s="1" t="s">
        <v>122</v>
      </c>
      <c r="G639" s="1" t="s">
        <v>23</v>
      </c>
      <c r="I639" s="16">
        <v>41869.131597222222</v>
      </c>
      <c r="J639" s="1" t="s">
        <v>17</v>
      </c>
      <c r="K639" s="1" t="s">
        <v>18</v>
      </c>
      <c r="L639" s="1" t="s">
        <v>19</v>
      </c>
    </row>
    <row r="640" spans="1:16" ht="13" x14ac:dyDescent="0.15">
      <c r="A640" s="1">
        <v>457680</v>
      </c>
      <c r="B640" s="1">
        <v>0</v>
      </c>
      <c r="C640" s="1" t="s">
        <v>137</v>
      </c>
      <c r="D640" s="1" t="s">
        <v>27</v>
      </c>
      <c r="E640" s="1" t="s">
        <v>1215</v>
      </c>
      <c r="F640" s="1" t="s">
        <v>1634</v>
      </c>
      <c r="I640" s="16">
        <v>42046.660763888889</v>
      </c>
      <c r="J640" s="1" t="s">
        <v>656</v>
      </c>
      <c r="K640" s="1" t="s">
        <v>18</v>
      </c>
      <c r="L640" s="1" t="s">
        <v>19</v>
      </c>
    </row>
    <row r="641" spans="1:16" ht="13" x14ac:dyDescent="0.15">
      <c r="A641" s="1">
        <v>597532</v>
      </c>
      <c r="B641" s="1">
        <v>0</v>
      </c>
      <c r="C641" s="1" t="s">
        <v>927</v>
      </c>
      <c r="D641" s="1" t="s">
        <v>27</v>
      </c>
      <c r="E641" s="1" t="s">
        <v>1635</v>
      </c>
      <c r="F641" s="1" t="s">
        <v>1636</v>
      </c>
      <c r="I641" s="16">
        <v>42453.30201388889</v>
      </c>
      <c r="J641" s="1" t="s">
        <v>247</v>
      </c>
      <c r="K641" s="1" t="s">
        <v>18</v>
      </c>
      <c r="L641" s="1" t="s">
        <v>19</v>
      </c>
    </row>
    <row r="642" spans="1:16" ht="13" x14ac:dyDescent="0.15">
      <c r="A642" s="1">
        <v>485419</v>
      </c>
      <c r="B642" s="1">
        <v>0</v>
      </c>
      <c r="D642" s="1" t="s">
        <v>27</v>
      </c>
      <c r="E642" s="1" t="s">
        <v>1637</v>
      </c>
      <c r="F642" s="1" t="s">
        <v>1638</v>
      </c>
      <c r="G642" s="1" t="s">
        <v>23</v>
      </c>
      <c r="I642" s="16">
        <v>42131.159201388888</v>
      </c>
      <c r="J642" s="1" t="s">
        <v>17</v>
      </c>
      <c r="K642" s="1" t="s">
        <v>18</v>
      </c>
      <c r="L642" s="1" t="s">
        <v>19</v>
      </c>
    </row>
    <row r="643" spans="1:16" ht="13" x14ac:dyDescent="0.15">
      <c r="A643" s="1">
        <v>322937</v>
      </c>
      <c r="B643" s="1">
        <v>0</v>
      </c>
      <c r="C643" s="1" t="s">
        <v>268</v>
      </c>
      <c r="D643" s="1" t="s">
        <v>27</v>
      </c>
      <c r="E643" s="1" t="s">
        <v>1197</v>
      </c>
      <c r="F643" s="1" t="s">
        <v>1639</v>
      </c>
      <c r="G643" s="1" t="s">
        <v>23</v>
      </c>
      <c r="I643" s="16">
        <v>41601.679178240738</v>
      </c>
      <c r="J643" s="1" t="s">
        <v>17</v>
      </c>
      <c r="K643" s="1" t="s">
        <v>18</v>
      </c>
      <c r="L643" s="1" t="s">
        <v>19</v>
      </c>
    </row>
    <row r="644" spans="1:16" ht="13" x14ac:dyDescent="0.15">
      <c r="A644" s="1">
        <v>176056</v>
      </c>
      <c r="B644" s="1">
        <v>0</v>
      </c>
      <c r="C644" s="1" t="s">
        <v>843</v>
      </c>
      <c r="D644" s="1" t="s">
        <v>27</v>
      </c>
      <c r="E644" s="1" t="s">
        <v>1640</v>
      </c>
      <c r="F644" s="1" t="s">
        <v>1641</v>
      </c>
      <c r="G644" s="1" t="s">
        <v>23</v>
      </c>
      <c r="I644" s="16">
        <v>41318.816550925927</v>
      </c>
      <c r="J644" s="1" t="s">
        <v>155</v>
      </c>
      <c r="K644" s="1" t="s">
        <v>18</v>
      </c>
      <c r="L644" s="1" t="s">
        <v>19</v>
      </c>
    </row>
    <row r="645" spans="1:16" ht="13" x14ac:dyDescent="0.15">
      <c r="A645" s="1">
        <v>164682</v>
      </c>
      <c r="B645" s="1">
        <v>1</v>
      </c>
      <c r="C645" s="1" t="s">
        <v>682</v>
      </c>
      <c r="D645" s="1" t="s">
        <v>27</v>
      </c>
      <c r="E645" s="1" t="s">
        <v>1642</v>
      </c>
      <c r="F645" s="1" t="s">
        <v>1643</v>
      </c>
      <c r="G645" s="1" t="s">
        <v>23</v>
      </c>
      <c r="I645" s="16">
        <v>41249.883912037039</v>
      </c>
      <c r="J645" s="1" t="s">
        <v>1171</v>
      </c>
      <c r="K645" s="1" t="s">
        <v>18</v>
      </c>
      <c r="L645" s="1" t="s">
        <v>19</v>
      </c>
      <c r="M645" s="1">
        <v>164634</v>
      </c>
      <c r="N645" s="1" t="s">
        <v>1644</v>
      </c>
      <c r="O645" s="16">
        <v>41249.790208333332</v>
      </c>
      <c r="P645" s="1" t="s">
        <v>1645</v>
      </c>
    </row>
    <row r="646" spans="1:16" ht="13" x14ac:dyDescent="0.15">
      <c r="A646" s="1">
        <v>242114</v>
      </c>
      <c r="B646" s="1">
        <v>0</v>
      </c>
      <c r="C646" s="1" t="s">
        <v>31</v>
      </c>
      <c r="D646" s="1" t="s">
        <v>27</v>
      </c>
      <c r="E646" s="1" t="s">
        <v>1646</v>
      </c>
      <c r="F646" s="1" t="s">
        <v>1647</v>
      </c>
      <c r="G646" s="1" t="s">
        <v>23</v>
      </c>
      <c r="I646" s="16">
        <v>41414.007337962961</v>
      </c>
      <c r="J646" s="1" t="s">
        <v>40</v>
      </c>
      <c r="K646" s="1" t="s">
        <v>18</v>
      </c>
      <c r="L646" s="1" t="s">
        <v>19</v>
      </c>
    </row>
    <row r="647" spans="1:16" ht="13" x14ac:dyDescent="0.15">
      <c r="A647" s="1">
        <v>102359</v>
      </c>
      <c r="B647" s="1">
        <v>0</v>
      </c>
      <c r="C647" s="1" t="s">
        <v>26</v>
      </c>
      <c r="D647" s="1" t="s">
        <v>27</v>
      </c>
      <c r="E647" s="1" t="s">
        <v>1648</v>
      </c>
      <c r="F647" s="1" t="s">
        <v>1649</v>
      </c>
      <c r="G647" s="1" t="s">
        <v>23</v>
      </c>
      <c r="I647" s="16">
        <v>40847.571111111109</v>
      </c>
      <c r="J647" s="1" t="s">
        <v>544</v>
      </c>
      <c r="K647" s="1" t="s">
        <v>18</v>
      </c>
      <c r="L647" s="1" t="s">
        <v>19</v>
      </c>
    </row>
    <row r="648" spans="1:16" ht="13" x14ac:dyDescent="0.15">
      <c r="A648" s="1">
        <v>464792</v>
      </c>
      <c r="B648" s="1">
        <v>0</v>
      </c>
      <c r="D648" s="1" t="s">
        <v>27</v>
      </c>
      <c r="E648" s="1" t="s">
        <v>1650</v>
      </c>
      <c r="F648" s="1" t="s">
        <v>1651</v>
      </c>
      <c r="G648" s="1" t="s">
        <v>23</v>
      </c>
      <c r="I648" s="16">
        <v>42069.819467592592</v>
      </c>
      <c r="J648" s="1" t="s">
        <v>17</v>
      </c>
      <c r="K648" s="1" t="s">
        <v>18</v>
      </c>
      <c r="L648" s="1" t="s">
        <v>19</v>
      </c>
    </row>
    <row r="649" spans="1:16" ht="13" x14ac:dyDescent="0.15">
      <c r="A649" s="1">
        <v>408426</v>
      </c>
      <c r="B649" s="1">
        <v>0</v>
      </c>
      <c r="D649" s="1" t="s">
        <v>27</v>
      </c>
      <c r="E649" s="1" t="s">
        <v>1652</v>
      </c>
      <c r="F649" s="1" t="s">
        <v>1653</v>
      </c>
      <c r="G649" s="1" t="s">
        <v>353</v>
      </c>
      <c r="I649" s="16">
        <v>41879.113217592596</v>
      </c>
      <c r="J649" s="1" t="s">
        <v>1654</v>
      </c>
      <c r="K649" s="1" t="s">
        <v>18</v>
      </c>
      <c r="L649" s="1" t="s">
        <v>19</v>
      </c>
    </row>
    <row r="650" spans="1:16" ht="13" x14ac:dyDescent="0.15">
      <c r="A650" s="1">
        <v>169973</v>
      </c>
      <c r="B650" s="1">
        <v>0</v>
      </c>
      <c r="C650" s="1" t="s">
        <v>1502</v>
      </c>
      <c r="D650" s="1" t="s">
        <v>27</v>
      </c>
      <c r="E650" s="1" t="s">
        <v>1655</v>
      </c>
      <c r="F650" s="1" t="s">
        <v>1656</v>
      </c>
      <c r="G650" s="1" t="s">
        <v>16</v>
      </c>
      <c r="I650" s="16">
        <v>41289.097245370373</v>
      </c>
      <c r="J650" s="1" t="s">
        <v>151</v>
      </c>
      <c r="K650" s="1" t="s">
        <v>18</v>
      </c>
      <c r="L650" s="1" t="s">
        <v>19</v>
      </c>
    </row>
    <row r="651" spans="1:16" ht="13" x14ac:dyDescent="0.15">
      <c r="A651" s="1">
        <v>132690</v>
      </c>
      <c r="B651" s="1">
        <v>0</v>
      </c>
      <c r="C651" s="1" t="s">
        <v>26</v>
      </c>
      <c r="D651" s="1" t="s">
        <v>27</v>
      </c>
      <c r="E651" s="1" t="s">
        <v>1657</v>
      </c>
      <c r="F651" s="1" t="s">
        <v>1658</v>
      </c>
      <c r="G651" s="1" t="s">
        <v>23</v>
      </c>
      <c r="I651" s="16">
        <v>41074.061747685184</v>
      </c>
      <c r="J651" s="1" t="s">
        <v>40</v>
      </c>
      <c r="K651" s="1" t="s">
        <v>18</v>
      </c>
      <c r="L651" s="1" t="s">
        <v>19</v>
      </c>
    </row>
    <row r="652" spans="1:16" ht="13" x14ac:dyDescent="0.15">
      <c r="A652" s="1">
        <v>44740</v>
      </c>
      <c r="B652" s="1">
        <v>0</v>
      </c>
      <c r="C652" s="1" t="s">
        <v>26</v>
      </c>
      <c r="D652" s="1" t="s">
        <v>27</v>
      </c>
      <c r="E652" s="1" t="s">
        <v>1659</v>
      </c>
      <c r="F652" s="1" t="s">
        <v>451</v>
      </c>
      <c r="I652" s="16">
        <v>40319.46603009259</v>
      </c>
      <c r="J652" s="1" t="s">
        <v>151</v>
      </c>
      <c r="K652" s="1" t="s">
        <v>18</v>
      </c>
      <c r="L652" s="1" t="s">
        <v>19</v>
      </c>
    </row>
    <row r="653" spans="1:16" ht="13" x14ac:dyDescent="0.15">
      <c r="A653" s="1">
        <v>122029</v>
      </c>
      <c r="B653" s="1">
        <v>1</v>
      </c>
      <c r="C653" s="1" t="s">
        <v>41</v>
      </c>
      <c r="D653" s="1" t="s">
        <v>27</v>
      </c>
      <c r="E653" s="1" t="s">
        <v>879</v>
      </c>
      <c r="F653" s="1" t="s">
        <v>1660</v>
      </c>
      <c r="G653" s="1" t="s">
        <v>23</v>
      </c>
      <c r="I653" s="16">
        <v>41003.899282407408</v>
      </c>
      <c r="J653" s="1" t="s">
        <v>40</v>
      </c>
      <c r="K653" s="1" t="s">
        <v>18</v>
      </c>
      <c r="L653" s="1" t="s">
        <v>19</v>
      </c>
      <c r="M653" s="1">
        <v>127885</v>
      </c>
      <c r="N653" s="1" t="s">
        <v>1661</v>
      </c>
      <c r="O653" s="16">
        <v>41040.983090277776</v>
      </c>
      <c r="P653" s="1" t="s">
        <v>544</v>
      </c>
    </row>
    <row r="654" spans="1:16" ht="13" x14ac:dyDescent="0.15">
      <c r="A654" s="1">
        <v>314088</v>
      </c>
      <c r="B654" s="1">
        <v>0</v>
      </c>
      <c r="C654" s="1" t="s">
        <v>95</v>
      </c>
      <c r="D654" s="1" t="s">
        <v>27</v>
      </c>
      <c r="E654" s="1" t="s">
        <v>1662</v>
      </c>
      <c r="F654" s="1" t="s">
        <v>1663</v>
      </c>
      <c r="G654" s="1" t="s">
        <v>23</v>
      </c>
      <c r="I654" s="16">
        <v>41579.625127314815</v>
      </c>
      <c r="J654" s="1" t="s">
        <v>17</v>
      </c>
      <c r="K654" s="1" t="s">
        <v>18</v>
      </c>
      <c r="L654" s="1" t="s">
        <v>19</v>
      </c>
    </row>
    <row r="655" spans="1:16" ht="13" x14ac:dyDescent="0.15">
      <c r="A655" s="1">
        <v>76784</v>
      </c>
      <c r="B655" s="1">
        <v>0</v>
      </c>
      <c r="C655" s="1" t="s">
        <v>133</v>
      </c>
      <c r="D655" s="1" t="s">
        <v>27</v>
      </c>
      <c r="E655" s="1" t="s">
        <v>1664</v>
      </c>
      <c r="F655" s="1" t="s">
        <v>1665</v>
      </c>
      <c r="G655" s="1" t="s">
        <v>23</v>
      </c>
      <c r="I655" s="16">
        <v>40621.659930555557</v>
      </c>
      <c r="J655" s="1" t="s">
        <v>40</v>
      </c>
      <c r="K655" s="1" t="s">
        <v>18</v>
      </c>
      <c r="L655" s="1" t="s">
        <v>19</v>
      </c>
    </row>
    <row r="656" spans="1:16" ht="13" x14ac:dyDescent="0.15">
      <c r="A656" s="1">
        <v>628304</v>
      </c>
      <c r="B656" s="1">
        <v>0</v>
      </c>
      <c r="C656" s="1" t="s">
        <v>12</v>
      </c>
      <c r="D656" s="1" t="s">
        <v>27</v>
      </c>
      <c r="E656" s="1" t="s">
        <v>1666</v>
      </c>
      <c r="F656" s="1" t="s">
        <v>1667</v>
      </c>
      <c r="G656" s="1" t="s">
        <v>23</v>
      </c>
      <c r="I656" s="16">
        <v>42565.721979166665</v>
      </c>
      <c r="J656" s="1" t="s">
        <v>632</v>
      </c>
      <c r="K656" s="1" t="s">
        <v>18</v>
      </c>
      <c r="L656" s="1" t="s">
        <v>19</v>
      </c>
    </row>
    <row r="657" spans="1:16" ht="13" x14ac:dyDescent="0.15">
      <c r="A657" s="1">
        <v>103259</v>
      </c>
      <c r="B657" s="1">
        <v>0</v>
      </c>
      <c r="C657" s="1" t="s">
        <v>145</v>
      </c>
      <c r="D657" s="1" t="s">
        <v>27</v>
      </c>
      <c r="E657" s="1" t="s">
        <v>1668</v>
      </c>
      <c r="F657" s="1" t="s">
        <v>1669</v>
      </c>
      <c r="G657" s="1" t="s">
        <v>23</v>
      </c>
      <c r="I657" s="16">
        <v>40854.843564814815</v>
      </c>
      <c r="J657" s="1" t="s">
        <v>958</v>
      </c>
      <c r="K657" s="1" t="s">
        <v>18</v>
      </c>
      <c r="L657" s="1" t="s">
        <v>19</v>
      </c>
    </row>
    <row r="658" spans="1:16" ht="13" x14ac:dyDescent="0.15">
      <c r="A658" s="1">
        <v>632709</v>
      </c>
      <c r="B658" s="1">
        <v>0</v>
      </c>
      <c r="C658" s="1" t="s">
        <v>12</v>
      </c>
      <c r="D658" s="1" t="s">
        <v>27</v>
      </c>
      <c r="E658" s="1" t="s">
        <v>1670</v>
      </c>
      <c r="F658" s="1" t="s">
        <v>1671</v>
      </c>
      <c r="G658" s="1" t="s">
        <v>23</v>
      </c>
      <c r="I658" s="16">
        <v>42580.539456018516</v>
      </c>
      <c r="J658" s="1" t="s">
        <v>76</v>
      </c>
      <c r="K658" s="1" t="s">
        <v>18</v>
      </c>
      <c r="L658" s="1" t="s">
        <v>19</v>
      </c>
    </row>
    <row r="659" spans="1:16" ht="13" x14ac:dyDescent="0.15">
      <c r="A659" s="1">
        <v>559310</v>
      </c>
      <c r="B659" s="1">
        <v>0</v>
      </c>
      <c r="C659" s="1" t="s">
        <v>576</v>
      </c>
      <c r="D659" s="1" t="s">
        <v>27</v>
      </c>
      <c r="E659" s="1" t="s">
        <v>1672</v>
      </c>
      <c r="F659" s="1" t="s">
        <v>1673</v>
      </c>
      <c r="G659" s="1" t="s">
        <v>23</v>
      </c>
      <c r="I659" s="16">
        <v>42328.859826388885</v>
      </c>
      <c r="J659" s="1" t="s">
        <v>454</v>
      </c>
      <c r="K659" s="1" t="s">
        <v>18</v>
      </c>
      <c r="L659" s="1" t="s">
        <v>19</v>
      </c>
    </row>
    <row r="660" spans="1:16" ht="13" x14ac:dyDescent="0.15">
      <c r="A660" s="1">
        <v>288771</v>
      </c>
      <c r="B660" s="1">
        <v>0</v>
      </c>
      <c r="C660" s="1" t="s">
        <v>31</v>
      </c>
      <c r="D660" s="1" t="s">
        <v>27</v>
      </c>
      <c r="E660" s="1" t="s">
        <v>1674</v>
      </c>
      <c r="F660" s="1" t="s">
        <v>235</v>
      </c>
      <c r="G660" s="1" t="s">
        <v>23</v>
      </c>
      <c r="I660" s="16">
        <v>41527.663587962961</v>
      </c>
      <c r="J660" s="1" t="s">
        <v>17</v>
      </c>
      <c r="K660" s="1" t="s">
        <v>18</v>
      </c>
      <c r="L660" s="1" t="s">
        <v>19</v>
      </c>
    </row>
    <row r="661" spans="1:16" ht="13" x14ac:dyDescent="0.15">
      <c r="A661" s="1">
        <v>421720</v>
      </c>
      <c r="B661" s="1">
        <v>0</v>
      </c>
      <c r="C661" s="1" t="s">
        <v>268</v>
      </c>
      <c r="D661" s="1" t="s">
        <v>27</v>
      </c>
      <c r="E661" s="1" t="s">
        <v>1675</v>
      </c>
      <c r="F661" s="1" t="s">
        <v>1676</v>
      </c>
      <c r="G661" s="1" t="s">
        <v>23</v>
      </c>
      <c r="I661" s="16">
        <v>41921.107638888891</v>
      </c>
      <c r="J661" s="1" t="s">
        <v>1677</v>
      </c>
      <c r="K661" s="1" t="s">
        <v>18</v>
      </c>
      <c r="L661" s="1" t="s">
        <v>19</v>
      </c>
    </row>
    <row r="662" spans="1:16" ht="13" x14ac:dyDescent="0.15">
      <c r="A662" s="1">
        <v>413743</v>
      </c>
      <c r="B662" s="1">
        <v>0</v>
      </c>
      <c r="D662" s="1" t="s">
        <v>27</v>
      </c>
      <c r="E662" s="1" t="s">
        <v>1678</v>
      </c>
      <c r="F662" s="1" t="s">
        <v>1679</v>
      </c>
      <c r="G662" s="1" t="s">
        <v>23</v>
      </c>
      <c r="I662" s="16">
        <v>41894.693958333337</v>
      </c>
      <c r="J662" s="1" t="s">
        <v>17</v>
      </c>
      <c r="K662" s="1" t="s">
        <v>18</v>
      </c>
      <c r="L662" s="1" t="s">
        <v>19</v>
      </c>
    </row>
    <row r="663" spans="1:16" ht="13" x14ac:dyDescent="0.15">
      <c r="A663" s="1">
        <v>413744</v>
      </c>
      <c r="B663" s="1">
        <v>0</v>
      </c>
      <c r="D663" s="1" t="s">
        <v>27</v>
      </c>
      <c r="E663" s="1" t="s">
        <v>1680</v>
      </c>
      <c r="F663" s="1" t="s">
        <v>1681</v>
      </c>
      <c r="G663" s="1" t="s">
        <v>23</v>
      </c>
      <c r="I663" s="16">
        <v>41894.694224537037</v>
      </c>
      <c r="J663" s="1" t="s">
        <v>17</v>
      </c>
      <c r="K663" s="1" t="s">
        <v>18</v>
      </c>
      <c r="L663" s="1" t="s">
        <v>19</v>
      </c>
    </row>
    <row r="664" spans="1:16" ht="13" x14ac:dyDescent="0.15">
      <c r="A664" s="1">
        <v>145544</v>
      </c>
      <c r="B664" s="1">
        <v>0</v>
      </c>
      <c r="C664" s="1" t="s">
        <v>1682</v>
      </c>
      <c r="D664" s="1" t="s">
        <v>27</v>
      </c>
      <c r="E664" s="1" t="s">
        <v>1683</v>
      </c>
      <c r="F664" s="1" t="s">
        <v>1684</v>
      </c>
      <c r="G664" s="1" t="s">
        <v>23</v>
      </c>
      <c r="I664" s="16">
        <v>41150.812268518515</v>
      </c>
      <c r="J664" s="1" t="s">
        <v>44</v>
      </c>
      <c r="K664" s="1" t="s">
        <v>18</v>
      </c>
      <c r="L664" s="1" t="s">
        <v>19</v>
      </c>
    </row>
    <row r="665" spans="1:16" ht="13" x14ac:dyDescent="0.15">
      <c r="A665" s="1">
        <v>400339</v>
      </c>
      <c r="B665" s="1">
        <v>0</v>
      </c>
      <c r="D665" s="1" t="s">
        <v>27</v>
      </c>
      <c r="E665" s="1" t="s">
        <v>1685</v>
      </c>
      <c r="F665" s="1" t="s">
        <v>1686</v>
      </c>
      <c r="G665" s="1" t="s">
        <v>23</v>
      </c>
      <c r="I665" s="16">
        <v>41855.643958333334</v>
      </c>
      <c r="J665" s="1" t="s">
        <v>17</v>
      </c>
      <c r="K665" s="1" t="s">
        <v>18</v>
      </c>
      <c r="L665" s="1" t="s">
        <v>19</v>
      </c>
    </row>
    <row r="666" spans="1:16" ht="13" x14ac:dyDescent="0.15">
      <c r="A666" s="1">
        <v>64331</v>
      </c>
      <c r="B666" s="1">
        <v>0</v>
      </c>
      <c r="C666" s="1" t="s">
        <v>26</v>
      </c>
      <c r="D666" s="1" t="s">
        <v>27</v>
      </c>
      <c r="E666" s="1" t="s">
        <v>1687</v>
      </c>
      <c r="F666" s="1" t="s">
        <v>1173</v>
      </c>
      <c r="G666" s="1" t="s">
        <v>23</v>
      </c>
      <c r="I666" s="16">
        <v>40506.67359953704</v>
      </c>
      <c r="J666" s="1" t="s">
        <v>40</v>
      </c>
      <c r="K666" s="1" t="s">
        <v>18</v>
      </c>
      <c r="L666" s="1" t="s">
        <v>19</v>
      </c>
    </row>
    <row r="667" spans="1:16" ht="13" x14ac:dyDescent="0.15">
      <c r="A667" s="1">
        <v>613869</v>
      </c>
      <c r="B667" s="1">
        <v>0</v>
      </c>
      <c r="C667" s="1" t="s">
        <v>268</v>
      </c>
      <c r="D667" s="1" t="s">
        <v>27</v>
      </c>
      <c r="E667" s="1" t="s">
        <v>1688</v>
      </c>
      <c r="F667" s="1" t="s">
        <v>1689</v>
      </c>
      <c r="G667" s="1" t="s">
        <v>23</v>
      </c>
      <c r="I667" s="16">
        <v>42512.822071759256</v>
      </c>
      <c r="J667" s="1" t="s">
        <v>68</v>
      </c>
      <c r="K667" s="1" t="s">
        <v>18</v>
      </c>
      <c r="L667" s="1" t="s">
        <v>19</v>
      </c>
    </row>
    <row r="668" spans="1:16" ht="13" x14ac:dyDescent="0.15">
      <c r="A668" s="1">
        <v>95761</v>
      </c>
      <c r="B668" s="1">
        <v>1</v>
      </c>
      <c r="C668" s="1" t="s">
        <v>26</v>
      </c>
      <c r="D668" s="1" t="s">
        <v>27</v>
      </c>
      <c r="E668" s="1" t="s">
        <v>1690</v>
      </c>
      <c r="F668" s="1" t="s">
        <v>94</v>
      </c>
      <c r="G668" s="1" t="s">
        <v>23</v>
      </c>
      <c r="I668" s="16">
        <v>40794.133148148147</v>
      </c>
      <c r="J668" s="1" t="s">
        <v>40</v>
      </c>
      <c r="K668" s="1" t="s">
        <v>18</v>
      </c>
      <c r="L668" s="1" t="s">
        <v>19</v>
      </c>
      <c r="M668" s="1">
        <v>84770</v>
      </c>
      <c r="N668" s="1" t="s">
        <v>1691</v>
      </c>
      <c r="O668" s="16">
        <v>40696.869560185187</v>
      </c>
      <c r="P668" s="1" t="s">
        <v>552</v>
      </c>
    </row>
    <row r="669" spans="1:16" ht="13" x14ac:dyDescent="0.15">
      <c r="A669" s="1">
        <v>495682</v>
      </c>
      <c r="B669" s="1">
        <v>0</v>
      </c>
      <c r="C669" s="1" t="s">
        <v>305</v>
      </c>
      <c r="D669" s="1" t="s">
        <v>27</v>
      </c>
      <c r="E669" s="1" t="s">
        <v>1692</v>
      </c>
      <c r="F669" s="1" t="s">
        <v>1693</v>
      </c>
      <c r="G669" s="1" t="s">
        <v>23</v>
      </c>
      <c r="I669" s="16">
        <v>42157.706342592595</v>
      </c>
      <c r="J669" s="1" t="s">
        <v>17</v>
      </c>
      <c r="K669" s="1" t="s">
        <v>18</v>
      </c>
      <c r="L669" s="1" t="s">
        <v>19</v>
      </c>
    </row>
    <row r="670" spans="1:16" ht="13" x14ac:dyDescent="0.15">
      <c r="A670" s="1">
        <v>83235</v>
      </c>
      <c r="B670" s="1">
        <v>0</v>
      </c>
      <c r="C670" s="1" t="s">
        <v>26</v>
      </c>
      <c r="D670" s="1" t="s">
        <v>27</v>
      </c>
      <c r="E670" s="1" t="s">
        <v>1694</v>
      </c>
      <c r="F670" s="1" t="s">
        <v>1695</v>
      </c>
      <c r="G670" s="1" t="s">
        <v>23</v>
      </c>
      <c r="I670" s="16">
        <v>40682.682476851849</v>
      </c>
      <c r="J670" s="1" t="s">
        <v>40</v>
      </c>
      <c r="K670" s="1" t="s">
        <v>18</v>
      </c>
      <c r="L670" s="1" t="s">
        <v>19</v>
      </c>
    </row>
    <row r="671" spans="1:16" ht="13" x14ac:dyDescent="0.15">
      <c r="A671" s="1">
        <v>557981</v>
      </c>
      <c r="B671" s="1">
        <v>0</v>
      </c>
      <c r="C671" s="1" t="s">
        <v>522</v>
      </c>
      <c r="D671" s="1" t="s">
        <v>27</v>
      </c>
      <c r="E671" s="1" t="s">
        <v>1696</v>
      </c>
      <c r="F671" s="1" t="s">
        <v>1697</v>
      </c>
      <c r="G671" s="1" t="s">
        <v>23</v>
      </c>
      <c r="I671" s="16">
        <v>42326.929560185185</v>
      </c>
      <c r="J671" s="1" t="s">
        <v>68</v>
      </c>
      <c r="K671" s="1" t="s">
        <v>18</v>
      </c>
      <c r="L671" s="1" t="s">
        <v>19</v>
      </c>
    </row>
    <row r="672" spans="1:16" ht="13" x14ac:dyDescent="0.15">
      <c r="A672" s="1">
        <v>583445</v>
      </c>
      <c r="B672" s="1">
        <v>0</v>
      </c>
      <c r="C672" s="1" t="s">
        <v>77</v>
      </c>
      <c r="D672" s="1" t="s">
        <v>27</v>
      </c>
      <c r="E672" s="1" t="s">
        <v>1698</v>
      </c>
      <c r="F672" s="1" t="s">
        <v>1699</v>
      </c>
      <c r="G672" s="1" t="s">
        <v>23</v>
      </c>
      <c r="I672" s="16">
        <v>42402.884502314817</v>
      </c>
      <c r="J672" s="1" t="s">
        <v>24</v>
      </c>
      <c r="K672" s="1" t="s">
        <v>18</v>
      </c>
      <c r="L672" s="1" t="s">
        <v>19</v>
      </c>
    </row>
    <row r="673" spans="1:16" ht="13" x14ac:dyDescent="0.15">
      <c r="A673" s="1">
        <v>252062</v>
      </c>
      <c r="B673" s="1">
        <v>0</v>
      </c>
      <c r="C673" s="1" t="s">
        <v>1700</v>
      </c>
      <c r="D673" s="1" t="s">
        <v>27</v>
      </c>
      <c r="E673" s="1" t="s">
        <v>1701</v>
      </c>
      <c r="F673" s="1" t="s">
        <v>1702</v>
      </c>
      <c r="G673" s="1" t="s">
        <v>23</v>
      </c>
      <c r="I673" s="16">
        <v>41445.064675925925</v>
      </c>
      <c r="J673" s="1" t="s">
        <v>405</v>
      </c>
      <c r="K673" s="1" t="s">
        <v>18</v>
      </c>
      <c r="L673" s="1" t="s">
        <v>19</v>
      </c>
    </row>
    <row r="674" spans="1:16" ht="13" x14ac:dyDescent="0.15">
      <c r="A674" s="1">
        <v>352043</v>
      </c>
      <c r="B674" s="1">
        <v>1</v>
      </c>
      <c r="C674" s="1" t="s">
        <v>280</v>
      </c>
      <c r="D674" s="1" t="s">
        <v>27</v>
      </c>
      <c r="E674" s="1" t="s">
        <v>1703</v>
      </c>
      <c r="F674" s="1" t="s">
        <v>1704</v>
      </c>
      <c r="G674" s="1" t="s">
        <v>23</v>
      </c>
      <c r="I674" s="16">
        <v>41711.262245370373</v>
      </c>
      <c r="J674" s="1" t="s">
        <v>1705</v>
      </c>
      <c r="K674" s="1" t="s">
        <v>18</v>
      </c>
      <c r="L674" s="1" t="s">
        <v>19</v>
      </c>
      <c r="M674" s="1">
        <v>364430</v>
      </c>
      <c r="N674" s="1" t="s">
        <v>1706</v>
      </c>
      <c r="O674" s="16">
        <v>41746.401817129627</v>
      </c>
      <c r="P674" s="1" t="s">
        <v>1707</v>
      </c>
    </row>
    <row r="675" spans="1:16" ht="13" x14ac:dyDescent="0.15">
      <c r="A675" s="1">
        <v>108605</v>
      </c>
      <c r="B675" s="1">
        <v>0</v>
      </c>
      <c r="C675" s="1" t="s">
        <v>170</v>
      </c>
      <c r="D675" s="1" t="s">
        <v>27</v>
      </c>
      <c r="E675" s="1" t="s">
        <v>1708</v>
      </c>
      <c r="F675" s="1" t="s">
        <v>1709</v>
      </c>
      <c r="G675" s="1" t="s">
        <v>23</v>
      </c>
      <c r="I675" s="16">
        <v>40902.863587962966</v>
      </c>
      <c r="J675" s="1" t="s">
        <v>44</v>
      </c>
      <c r="K675" s="1" t="s">
        <v>18</v>
      </c>
      <c r="L675" s="1" t="s">
        <v>19</v>
      </c>
    </row>
    <row r="676" spans="1:16" ht="13" x14ac:dyDescent="0.15">
      <c r="A676" s="1">
        <v>113755</v>
      </c>
      <c r="B676" s="1">
        <v>0</v>
      </c>
      <c r="C676" s="1" t="s">
        <v>26</v>
      </c>
      <c r="D676" s="1" t="s">
        <v>27</v>
      </c>
      <c r="E676" s="1" t="s">
        <v>1611</v>
      </c>
      <c r="F676" s="1" t="s">
        <v>1710</v>
      </c>
      <c r="G676" s="1" t="s">
        <v>23</v>
      </c>
      <c r="I676" s="16">
        <v>40950.001203703701</v>
      </c>
      <c r="J676" s="1" t="s">
        <v>40</v>
      </c>
      <c r="K676" s="1" t="s">
        <v>18</v>
      </c>
      <c r="L676" s="1" t="s">
        <v>19</v>
      </c>
    </row>
    <row r="677" spans="1:16" ht="13" x14ac:dyDescent="0.15">
      <c r="A677" s="1">
        <v>109556</v>
      </c>
      <c r="B677" s="1">
        <v>0</v>
      </c>
      <c r="C677" s="1" t="s">
        <v>26</v>
      </c>
      <c r="D677" s="1" t="s">
        <v>27</v>
      </c>
      <c r="E677" s="1" t="s">
        <v>1711</v>
      </c>
      <c r="F677" s="1" t="s">
        <v>1712</v>
      </c>
      <c r="G677" s="1" t="s">
        <v>23</v>
      </c>
      <c r="I677" s="16">
        <v>40916.762395833335</v>
      </c>
      <c r="J677" s="1" t="s">
        <v>544</v>
      </c>
      <c r="K677" s="1" t="s">
        <v>18</v>
      </c>
      <c r="L677" s="1" t="s">
        <v>19</v>
      </c>
    </row>
    <row r="678" spans="1:16" ht="13" x14ac:dyDescent="0.15">
      <c r="A678" s="1">
        <v>101172</v>
      </c>
      <c r="B678" s="1">
        <v>0</v>
      </c>
      <c r="C678" s="1" t="s">
        <v>549</v>
      </c>
      <c r="D678" s="1" t="s">
        <v>27</v>
      </c>
      <c r="E678" s="1" t="s">
        <v>1713</v>
      </c>
      <c r="F678" s="1" t="s">
        <v>1714</v>
      </c>
      <c r="I678" s="16">
        <v>40837.748032407406</v>
      </c>
      <c r="J678" s="1" t="s">
        <v>1715</v>
      </c>
      <c r="K678" s="1" t="s">
        <v>18</v>
      </c>
      <c r="L678" s="1" t="s">
        <v>19</v>
      </c>
    </row>
    <row r="679" spans="1:16" ht="13" x14ac:dyDescent="0.15">
      <c r="A679" s="1">
        <v>93420</v>
      </c>
      <c r="B679" s="1">
        <v>0</v>
      </c>
      <c r="C679" s="1" t="s">
        <v>26</v>
      </c>
      <c r="D679" s="1" t="s">
        <v>27</v>
      </c>
      <c r="E679" s="1" t="s">
        <v>1716</v>
      </c>
      <c r="F679" s="1" t="s">
        <v>1717</v>
      </c>
      <c r="G679" s="1" t="s">
        <v>23</v>
      </c>
      <c r="I679" s="16">
        <v>40773.878148148149</v>
      </c>
      <c r="J679" s="1" t="s">
        <v>44</v>
      </c>
      <c r="K679" s="1" t="s">
        <v>18</v>
      </c>
      <c r="L679" s="1" t="s">
        <v>19</v>
      </c>
    </row>
    <row r="680" spans="1:16" ht="13" x14ac:dyDescent="0.15">
      <c r="A680" s="1">
        <v>51670</v>
      </c>
      <c r="B680" s="1">
        <v>0</v>
      </c>
      <c r="C680" s="1" t="s">
        <v>1718</v>
      </c>
      <c r="D680" s="1" t="s">
        <v>27</v>
      </c>
      <c r="E680" s="1" t="s">
        <v>1719</v>
      </c>
      <c r="F680" s="1" t="s">
        <v>1720</v>
      </c>
      <c r="G680" s="1" t="s">
        <v>23</v>
      </c>
      <c r="I680" s="16">
        <v>40400.340995370374</v>
      </c>
      <c r="J680" s="1" t="s">
        <v>263</v>
      </c>
      <c r="K680" s="1" t="s">
        <v>18</v>
      </c>
      <c r="L680" s="1" t="s">
        <v>19</v>
      </c>
    </row>
    <row r="681" spans="1:16" ht="13" x14ac:dyDescent="0.15">
      <c r="A681" s="1">
        <v>329651</v>
      </c>
      <c r="B681" s="1">
        <v>1</v>
      </c>
      <c r="C681" s="1" t="s">
        <v>73</v>
      </c>
      <c r="D681" s="1" t="s">
        <v>27</v>
      </c>
      <c r="E681" s="1" t="s">
        <v>1721</v>
      </c>
      <c r="F681" s="1" t="s">
        <v>1722</v>
      </c>
      <c r="G681" s="1" t="s">
        <v>23</v>
      </c>
      <c r="I681" s="16">
        <v>41626.927025462966</v>
      </c>
      <c r="J681" s="1" t="s">
        <v>193</v>
      </c>
      <c r="K681" s="1" t="s">
        <v>18</v>
      </c>
      <c r="L681" s="1" t="s">
        <v>19</v>
      </c>
      <c r="M681" s="1">
        <v>328543</v>
      </c>
      <c r="N681" s="1" t="s">
        <v>1723</v>
      </c>
      <c r="O681" s="16">
        <v>41621.921516203707</v>
      </c>
      <c r="P681" s="1" t="s">
        <v>1724</v>
      </c>
    </row>
    <row r="682" spans="1:16" ht="13" x14ac:dyDescent="0.15">
      <c r="A682" s="1">
        <v>158898</v>
      </c>
      <c r="B682" s="1">
        <v>0</v>
      </c>
      <c r="C682" s="1" t="s">
        <v>26</v>
      </c>
      <c r="D682" s="1" t="s">
        <v>27</v>
      </c>
      <c r="E682" s="1" t="s">
        <v>1725</v>
      </c>
      <c r="F682" s="1" t="s">
        <v>120</v>
      </c>
      <c r="G682" s="1" t="s">
        <v>23</v>
      </c>
      <c r="I682" s="16">
        <v>41214.240706018521</v>
      </c>
      <c r="J682" s="1" t="s">
        <v>155</v>
      </c>
      <c r="K682" s="1" t="s">
        <v>18</v>
      </c>
      <c r="L682" s="1" t="s">
        <v>19</v>
      </c>
    </row>
    <row r="683" spans="1:16" ht="13" x14ac:dyDescent="0.15">
      <c r="A683" s="1">
        <v>171557</v>
      </c>
      <c r="B683" s="1">
        <v>0</v>
      </c>
      <c r="C683" s="1" t="s">
        <v>26</v>
      </c>
      <c r="D683" s="1" t="s">
        <v>27</v>
      </c>
      <c r="E683" s="1" t="s">
        <v>1726</v>
      </c>
      <c r="F683" s="1" t="s">
        <v>1727</v>
      </c>
      <c r="G683" s="1" t="s">
        <v>23</v>
      </c>
      <c r="I683" s="16">
        <v>41296.99690972222</v>
      </c>
      <c r="J683" s="1" t="s">
        <v>40</v>
      </c>
      <c r="K683" s="1" t="s">
        <v>18</v>
      </c>
      <c r="L683" s="1" t="s">
        <v>19</v>
      </c>
    </row>
    <row r="684" spans="1:16" ht="13" x14ac:dyDescent="0.15">
      <c r="A684" s="1">
        <v>99880</v>
      </c>
      <c r="B684" s="1">
        <v>0</v>
      </c>
      <c r="C684" s="1" t="s">
        <v>26</v>
      </c>
      <c r="D684" s="1" t="s">
        <v>27</v>
      </c>
      <c r="E684" s="1" t="s">
        <v>1728</v>
      </c>
      <c r="F684" s="1" t="s">
        <v>1729</v>
      </c>
      <c r="G684" s="1" t="s">
        <v>23</v>
      </c>
      <c r="I684" s="16">
        <v>40827.765798611108</v>
      </c>
      <c r="J684" s="1" t="s">
        <v>40</v>
      </c>
      <c r="K684" s="1" t="s">
        <v>18</v>
      </c>
      <c r="L684" s="1" t="s">
        <v>19</v>
      </c>
    </row>
    <row r="685" spans="1:16" ht="13" x14ac:dyDescent="0.15">
      <c r="A685" s="1">
        <v>249064</v>
      </c>
      <c r="B685" s="1">
        <v>0</v>
      </c>
      <c r="C685" s="1" t="s">
        <v>689</v>
      </c>
      <c r="D685" s="1" t="s">
        <v>27</v>
      </c>
      <c r="E685" s="1" t="s">
        <v>1730</v>
      </c>
      <c r="F685" s="1" t="s">
        <v>1731</v>
      </c>
      <c r="G685" s="1" t="s">
        <v>23</v>
      </c>
      <c r="I685" s="16">
        <v>41437.832881944443</v>
      </c>
      <c r="J685" s="1" t="s">
        <v>193</v>
      </c>
      <c r="K685" s="1" t="s">
        <v>18</v>
      </c>
      <c r="L685" s="1" t="s">
        <v>19</v>
      </c>
    </row>
    <row r="686" spans="1:16" ht="13" x14ac:dyDescent="0.15">
      <c r="A686" s="1">
        <v>45609</v>
      </c>
      <c r="B686" s="1">
        <v>0</v>
      </c>
      <c r="C686" s="1" t="s">
        <v>26</v>
      </c>
      <c r="D686" s="1" t="s">
        <v>27</v>
      </c>
      <c r="E686" s="1" t="s">
        <v>1732</v>
      </c>
      <c r="F686" s="1" t="s">
        <v>1733</v>
      </c>
      <c r="I686" s="16">
        <v>40331.134328703702</v>
      </c>
      <c r="J686" s="1" t="s">
        <v>40</v>
      </c>
      <c r="K686" s="1" t="s">
        <v>18</v>
      </c>
      <c r="L686" s="1" t="s">
        <v>19</v>
      </c>
    </row>
    <row r="687" spans="1:16" ht="13" x14ac:dyDescent="0.15">
      <c r="A687" s="1">
        <v>324321</v>
      </c>
      <c r="B687" s="1">
        <v>0</v>
      </c>
      <c r="C687" s="1" t="s">
        <v>522</v>
      </c>
      <c r="D687" s="1" t="s">
        <v>27</v>
      </c>
      <c r="E687" s="1" t="s">
        <v>1016</v>
      </c>
      <c r="F687" s="1" t="s">
        <v>1734</v>
      </c>
      <c r="G687" s="1" t="s">
        <v>23</v>
      </c>
      <c r="I687" s="16">
        <v>41606.669224537036</v>
      </c>
      <c r="J687" s="1" t="s">
        <v>17</v>
      </c>
      <c r="K687" s="1" t="s">
        <v>18</v>
      </c>
      <c r="L687" s="1" t="s">
        <v>19</v>
      </c>
    </row>
    <row r="688" spans="1:16" ht="13" x14ac:dyDescent="0.15">
      <c r="A688" s="1">
        <v>120944</v>
      </c>
      <c r="B688" s="1">
        <v>1</v>
      </c>
      <c r="C688" s="1" t="s">
        <v>26</v>
      </c>
      <c r="D688" s="1" t="s">
        <v>27</v>
      </c>
      <c r="E688" s="1" t="s">
        <v>1735</v>
      </c>
      <c r="F688" s="1" t="s">
        <v>1736</v>
      </c>
      <c r="G688" s="1" t="s">
        <v>23</v>
      </c>
      <c r="I688" s="16">
        <v>40997.815694444442</v>
      </c>
      <c r="J688" s="1" t="s">
        <v>44</v>
      </c>
      <c r="K688" s="1" t="s">
        <v>18</v>
      </c>
      <c r="L688" s="1" t="s">
        <v>19</v>
      </c>
      <c r="M688" s="1">
        <v>119087</v>
      </c>
      <c r="N688" s="1" t="s">
        <v>1737</v>
      </c>
      <c r="O688" s="16">
        <v>40988.670636574076</v>
      </c>
      <c r="P688" s="1" t="s">
        <v>40</v>
      </c>
    </row>
    <row r="689" spans="1:12" ht="13" x14ac:dyDescent="0.15">
      <c r="A689" s="1">
        <v>136894</v>
      </c>
      <c r="B689" s="1">
        <v>0</v>
      </c>
      <c r="C689" s="1" t="s">
        <v>1738</v>
      </c>
      <c r="D689" s="1" t="s">
        <v>27</v>
      </c>
      <c r="E689" s="1" t="s">
        <v>1739</v>
      </c>
      <c r="F689" s="1" t="s">
        <v>1740</v>
      </c>
      <c r="G689" s="1" t="s">
        <v>23</v>
      </c>
      <c r="I689" s="16">
        <v>41101.880104166667</v>
      </c>
      <c r="J689" s="1" t="s">
        <v>376</v>
      </c>
      <c r="K689" s="1" t="s">
        <v>18</v>
      </c>
      <c r="L689" s="1" t="s">
        <v>19</v>
      </c>
    </row>
    <row r="690" spans="1:12" ht="13" x14ac:dyDescent="0.15">
      <c r="A690" s="1">
        <v>123631</v>
      </c>
      <c r="B690" s="1">
        <v>0</v>
      </c>
      <c r="C690" s="1" t="s">
        <v>41</v>
      </c>
      <c r="D690" s="1" t="s">
        <v>27</v>
      </c>
      <c r="E690" s="1" t="s">
        <v>406</v>
      </c>
      <c r="F690" s="1" t="s">
        <v>1741</v>
      </c>
      <c r="G690" s="1" t="s">
        <v>23</v>
      </c>
      <c r="I690" s="16">
        <v>41015.70621527778</v>
      </c>
      <c r="J690" s="1" t="s">
        <v>398</v>
      </c>
      <c r="K690" s="1" t="s">
        <v>18</v>
      </c>
      <c r="L690" s="1" t="s">
        <v>19</v>
      </c>
    </row>
    <row r="691" spans="1:12" ht="13" x14ac:dyDescent="0.15">
      <c r="A691" s="1">
        <v>669439</v>
      </c>
      <c r="B691" s="1">
        <v>0</v>
      </c>
      <c r="C691" s="1" t="s">
        <v>1742</v>
      </c>
      <c r="D691" s="1" t="s">
        <v>27</v>
      </c>
      <c r="E691" s="1" t="s">
        <v>1743</v>
      </c>
      <c r="F691" s="1" t="s">
        <v>1744</v>
      </c>
      <c r="G691" s="1" t="s">
        <v>1056</v>
      </c>
      <c r="I691" s="16">
        <v>42703.458344907405</v>
      </c>
      <c r="J691" s="1" t="s">
        <v>1301</v>
      </c>
      <c r="K691" s="1" t="s">
        <v>18</v>
      </c>
      <c r="L691" s="1" t="s">
        <v>19</v>
      </c>
    </row>
    <row r="692" spans="1:12" ht="13" x14ac:dyDescent="0.15">
      <c r="A692" s="1">
        <v>167728</v>
      </c>
      <c r="B692" s="1">
        <v>0</v>
      </c>
      <c r="C692" s="1" t="s">
        <v>41</v>
      </c>
      <c r="D692" s="1" t="s">
        <v>27</v>
      </c>
      <c r="E692" s="1" t="s">
        <v>1745</v>
      </c>
      <c r="F692" s="1" t="s">
        <v>1746</v>
      </c>
      <c r="G692" s="1" t="s">
        <v>23</v>
      </c>
      <c r="I692" s="16">
        <v>41271.063530092593</v>
      </c>
      <c r="J692" s="1" t="s">
        <v>40</v>
      </c>
      <c r="K692" s="1" t="s">
        <v>18</v>
      </c>
      <c r="L692" s="1" t="s">
        <v>19</v>
      </c>
    </row>
    <row r="693" spans="1:12" ht="13" x14ac:dyDescent="0.15">
      <c r="A693" s="1">
        <v>467481</v>
      </c>
      <c r="B693" s="1">
        <v>0</v>
      </c>
      <c r="C693" s="1" t="s">
        <v>101</v>
      </c>
      <c r="D693" s="1" t="s">
        <v>27</v>
      </c>
      <c r="E693" s="1" t="s">
        <v>1747</v>
      </c>
      <c r="F693" s="1" t="s">
        <v>1748</v>
      </c>
      <c r="G693" s="1" t="s">
        <v>23</v>
      </c>
      <c r="I693" s="16">
        <v>42079.445787037039</v>
      </c>
      <c r="J693" s="1" t="s">
        <v>17</v>
      </c>
      <c r="K693" s="1" t="s">
        <v>18</v>
      </c>
      <c r="L693" s="1" t="s">
        <v>19</v>
      </c>
    </row>
    <row r="694" spans="1:12" ht="13" x14ac:dyDescent="0.15">
      <c r="A694" s="1">
        <v>132241</v>
      </c>
      <c r="B694" s="1">
        <v>0</v>
      </c>
      <c r="C694" s="1" t="s">
        <v>26</v>
      </c>
      <c r="D694" s="1" t="s">
        <v>27</v>
      </c>
      <c r="E694" s="1" t="s">
        <v>1749</v>
      </c>
      <c r="F694" s="1" t="s">
        <v>1750</v>
      </c>
      <c r="G694" s="1" t="s">
        <v>23</v>
      </c>
      <c r="I694" s="16">
        <v>41072.457175925927</v>
      </c>
      <c r="J694" s="1" t="s">
        <v>40</v>
      </c>
      <c r="K694" s="1" t="s">
        <v>18</v>
      </c>
      <c r="L694" s="1" t="s">
        <v>19</v>
      </c>
    </row>
    <row r="695" spans="1:12" ht="13" x14ac:dyDescent="0.15">
      <c r="A695" s="1">
        <v>404462</v>
      </c>
      <c r="B695" s="1">
        <v>0</v>
      </c>
      <c r="C695" s="1" t="s">
        <v>268</v>
      </c>
      <c r="D695" s="1" t="s">
        <v>27</v>
      </c>
      <c r="E695" s="1" t="s">
        <v>1751</v>
      </c>
      <c r="F695" s="1" t="s">
        <v>1752</v>
      </c>
      <c r="G695" s="1" t="s">
        <v>23</v>
      </c>
      <c r="I695" s="16">
        <v>41868.642384259256</v>
      </c>
      <c r="J695" s="1" t="s">
        <v>17</v>
      </c>
      <c r="K695" s="1" t="s">
        <v>18</v>
      </c>
      <c r="L695" s="1" t="s">
        <v>19</v>
      </c>
    </row>
    <row r="696" spans="1:12" ht="13" x14ac:dyDescent="0.15">
      <c r="A696" s="1">
        <v>391023</v>
      </c>
      <c r="B696" s="1">
        <v>0</v>
      </c>
      <c r="C696" s="1" t="s">
        <v>170</v>
      </c>
      <c r="D696" s="1" t="s">
        <v>27</v>
      </c>
      <c r="E696" s="1" t="s">
        <v>1753</v>
      </c>
      <c r="F696" s="1" t="s">
        <v>1754</v>
      </c>
      <c r="G696" s="1" t="s">
        <v>16</v>
      </c>
      <c r="I696" s="16">
        <v>41822.794421296298</v>
      </c>
      <c r="J696" s="1" t="s">
        <v>1755</v>
      </c>
      <c r="K696" s="1" t="s">
        <v>18</v>
      </c>
      <c r="L696" s="1" t="s">
        <v>19</v>
      </c>
    </row>
    <row r="697" spans="1:12" ht="13" x14ac:dyDescent="0.15">
      <c r="A697" s="1">
        <v>448056</v>
      </c>
      <c r="B697" s="1">
        <v>0</v>
      </c>
      <c r="D697" s="1" t="s">
        <v>27</v>
      </c>
      <c r="E697" s="1" t="s">
        <v>1756</v>
      </c>
      <c r="F697" s="1" t="s">
        <v>1757</v>
      </c>
      <c r="G697" s="1" t="s">
        <v>23</v>
      </c>
      <c r="I697" s="16">
        <v>42016.694803240738</v>
      </c>
      <c r="J697" s="1" t="s">
        <v>17</v>
      </c>
      <c r="K697" s="1" t="s">
        <v>18</v>
      </c>
      <c r="L697" s="1" t="s">
        <v>19</v>
      </c>
    </row>
    <row r="698" spans="1:12" ht="13" x14ac:dyDescent="0.15">
      <c r="A698" s="1">
        <v>597625</v>
      </c>
      <c r="B698" s="1">
        <v>0</v>
      </c>
      <c r="C698" s="1" t="s">
        <v>1758</v>
      </c>
      <c r="D698" s="1" t="s">
        <v>27</v>
      </c>
      <c r="E698" s="1" t="s">
        <v>1759</v>
      </c>
      <c r="F698" s="1" t="s">
        <v>1760</v>
      </c>
      <c r="G698" s="1" t="s">
        <v>23</v>
      </c>
      <c r="I698" s="16">
        <v>42453.625162037039</v>
      </c>
      <c r="J698" s="1" t="s">
        <v>1026</v>
      </c>
      <c r="K698" s="1" t="s">
        <v>18</v>
      </c>
      <c r="L698" s="1" t="s">
        <v>19</v>
      </c>
    </row>
    <row r="699" spans="1:12" ht="13" x14ac:dyDescent="0.15">
      <c r="A699" s="1">
        <v>407341</v>
      </c>
      <c r="B699" s="1">
        <v>0</v>
      </c>
      <c r="C699" s="1" t="s">
        <v>1761</v>
      </c>
      <c r="D699" s="1" t="s">
        <v>27</v>
      </c>
      <c r="E699" s="1" t="s">
        <v>1762</v>
      </c>
      <c r="F699" s="1" t="s">
        <v>1763</v>
      </c>
      <c r="G699" s="1" t="s">
        <v>23</v>
      </c>
      <c r="I699" s="16">
        <v>41876.890868055554</v>
      </c>
      <c r="J699" s="1" t="s">
        <v>1301</v>
      </c>
      <c r="K699" s="1" t="s">
        <v>18</v>
      </c>
      <c r="L699" s="1" t="s">
        <v>19</v>
      </c>
    </row>
    <row r="700" spans="1:12" ht="13" x14ac:dyDescent="0.15">
      <c r="A700" s="1">
        <v>172264</v>
      </c>
      <c r="B700" s="1">
        <v>0</v>
      </c>
      <c r="C700" s="1" t="s">
        <v>1764</v>
      </c>
      <c r="D700" s="1" t="s">
        <v>27</v>
      </c>
      <c r="E700" s="1" t="s">
        <v>1765</v>
      </c>
      <c r="F700" s="1" t="s">
        <v>1766</v>
      </c>
      <c r="G700" s="1" t="s">
        <v>23</v>
      </c>
      <c r="I700" s="16">
        <v>41299.717627314814</v>
      </c>
      <c r="J700" s="1" t="s">
        <v>193</v>
      </c>
      <c r="K700" s="1" t="s">
        <v>18</v>
      </c>
      <c r="L700" s="1" t="s">
        <v>19</v>
      </c>
    </row>
    <row r="701" spans="1:12" ht="13" x14ac:dyDescent="0.15">
      <c r="A701" s="1">
        <v>401364</v>
      </c>
      <c r="B701" s="1">
        <v>0</v>
      </c>
      <c r="C701" s="1" t="s">
        <v>305</v>
      </c>
      <c r="D701" s="1" t="s">
        <v>27</v>
      </c>
      <c r="E701" s="1" t="s">
        <v>1767</v>
      </c>
      <c r="F701" s="1" t="s">
        <v>1768</v>
      </c>
      <c r="G701" s="1" t="s">
        <v>23</v>
      </c>
      <c r="I701" s="16">
        <v>41858.183344907404</v>
      </c>
      <c r="J701" s="1" t="s">
        <v>17</v>
      </c>
      <c r="K701" s="1" t="s">
        <v>18</v>
      </c>
      <c r="L701" s="1" t="s">
        <v>19</v>
      </c>
    </row>
    <row r="702" spans="1:12" ht="13" x14ac:dyDescent="0.15">
      <c r="A702" s="1">
        <v>52587</v>
      </c>
      <c r="B702" s="1">
        <v>0</v>
      </c>
      <c r="C702" s="1" t="s">
        <v>26</v>
      </c>
      <c r="D702" s="1" t="s">
        <v>27</v>
      </c>
      <c r="E702" s="1" t="s">
        <v>1769</v>
      </c>
      <c r="F702" s="1" t="s">
        <v>720</v>
      </c>
      <c r="G702" s="1" t="s">
        <v>23</v>
      </c>
      <c r="I702" s="16">
        <v>40408.590775462966</v>
      </c>
      <c r="J702" s="1" t="s">
        <v>398</v>
      </c>
      <c r="K702" s="1" t="s">
        <v>18</v>
      </c>
      <c r="L702" s="1" t="s">
        <v>19</v>
      </c>
    </row>
    <row r="703" spans="1:12" ht="13" x14ac:dyDescent="0.15">
      <c r="A703" s="1">
        <v>162778</v>
      </c>
      <c r="B703" s="1">
        <v>0</v>
      </c>
      <c r="C703" s="1" t="s">
        <v>477</v>
      </c>
      <c r="D703" s="1" t="s">
        <v>27</v>
      </c>
      <c r="E703" s="1" t="s">
        <v>1770</v>
      </c>
      <c r="F703" s="1" t="s">
        <v>1771</v>
      </c>
      <c r="G703" s="1" t="s">
        <v>23</v>
      </c>
      <c r="I703" s="16">
        <v>41240.152696759258</v>
      </c>
      <c r="J703" s="1" t="s">
        <v>151</v>
      </c>
      <c r="K703" s="1" t="s">
        <v>18</v>
      </c>
      <c r="L703" s="1" t="s">
        <v>19</v>
      </c>
    </row>
    <row r="704" spans="1:12" ht="13" x14ac:dyDescent="0.15">
      <c r="A704" s="1">
        <v>621843</v>
      </c>
      <c r="B704" s="1">
        <v>0</v>
      </c>
      <c r="C704" s="1" t="s">
        <v>1313</v>
      </c>
      <c r="D704" s="1" t="s">
        <v>27</v>
      </c>
      <c r="E704" s="1" t="s">
        <v>1772</v>
      </c>
      <c r="F704" s="1" t="s">
        <v>1773</v>
      </c>
      <c r="G704" s="1" t="s">
        <v>540</v>
      </c>
      <c r="I704" s="16">
        <v>42542.3984375</v>
      </c>
      <c r="J704" s="1" t="s">
        <v>17</v>
      </c>
      <c r="K704" s="1" t="s">
        <v>18</v>
      </c>
      <c r="L704" s="1" t="s">
        <v>19</v>
      </c>
    </row>
    <row r="705" spans="1:24" ht="13" x14ac:dyDescent="0.15">
      <c r="A705" s="1">
        <v>243339</v>
      </c>
      <c r="B705" s="1">
        <v>0</v>
      </c>
      <c r="D705" s="1" t="s">
        <v>27</v>
      </c>
      <c r="E705" s="1" t="s">
        <v>1774</v>
      </c>
      <c r="F705" s="1" t="s">
        <v>1775</v>
      </c>
      <c r="G705" s="1" t="s">
        <v>159</v>
      </c>
      <c r="I705" s="16">
        <v>41417.662905092591</v>
      </c>
      <c r="J705" s="1" t="s">
        <v>860</v>
      </c>
      <c r="K705" s="1" t="s">
        <v>18</v>
      </c>
      <c r="L705" s="1" t="s">
        <v>19</v>
      </c>
    </row>
    <row r="706" spans="1:24" ht="13" x14ac:dyDescent="0.15">
      <c r="A706" s="1">
        <v>170679</v>
      </c>
      <c r="B706" s="1">
        <v>0</v>
      </c>
      <c r="C706" s="1" t="s">
        <v>26</v>
      </c>
      <c r="D706" s="1" t="s">
        <v>27</v>
      </c>
      <c r="E706" s="1" t="s">
        <v>1776</v>
      </c>
      <c r="F706" s="1" t="s">
        <v>1129</v>
      </c>
      <c r="G706" s="1" t="s">
        <v>23</v>
      </c>
      <c r="I706" s="16">
        <v>41291.739444444444</v>
      </c>
      <c r="J706" s="1" t="s">
        <v>40</v>
      </c>
      <c r="K706" s="1" t="s">
        <v>18</v>
      </c>
      <c r="L706" s="1" t="s">
        <v>19</v>
      </c>
    </row>
    <row r="707" spans="1:24" ht="13" x14ac:dyDescent="0.15">
      <c r="A707" s="1">
        <v>111779</v>
      </c>
      <c r="B707" s="1">
        <v>0</v>
      </c>
      <c r="C707" s="1" t="s">
        <v>26</v>
      </c>
      <c r="D707" s="1" t="s">
        <v>27</v>
      </c>
      <c r="E707" s="1" t="s">
        <v>1777</v>
      </c>
      <c r="F707" s="1" t="s">
        <v>1778</v>
      </c>
      <c r="G707" s="1" t="s">
        <v>23</v>
      </c>
      <c r="I707" s="16">
        <v>40936.690925925926</v>
      </c>
      <c r="J707" s="1" t="s">
        <v>544</v>
      </c>
      <c r="K707" s="1" t="s">
        <v>18</v>
      </c>
      <c r="L707" s="1" t="s">
        <v>19</v>
      </c>
    </row>
    <row r="708" spans="1:24" ht="13" x14ac:dyDescent="0.15">
      <c r="A708" s="1">
        <v>387031</v>
      </c>
      <c r="B708" s="1">
        <v>1</v>
      </c>
      <c r="D708" s="1" t="s">
        <v>27</v>
      </c>
      <c r="E708" s="1" t="s">
        <v>1779</v>
      </c>
      <c r="F708" s="1" t="s">
        <v>1780</v>
      </c>
      <c r="G708" s="1" t="s">
        <v>23</v>
      </c>
      <c r="I708" s="16">
        <v>41810.561747685184</v>
      </c>
      <c r="J708" s="1" t="s">
        <v>398</v>
      </c>
      <c r="K708" s="1" t="s">
        <v>18</v>
      </c>
      <c r="L708" s="1" t="s">
        <v>19</v>
      </c>
      <c r="M708" s="1">
        <v>387574</v>
      </c>
      <c r="N708" s="1" t="s">
        <v>1781</v>
      </c>
      <c r="O708" s="16">
        <v>41813.324155092596</v>
      </c>
      <c r="P708" s="1" t="s">
        <v>17</v>
      </c>
    </row>
    <row r="709" spans="1:24" ht="13" x14ac:dyDescent="0.15">
      <c r="A709" s="1">
        <v>9019</v>
      </c>
      <c r="B709" s="1">
        <v>0</v>
      </c>
      <c r="C709" s="1" t="s">
        <v>26</v>
      </c>
      <c r="D709" s="1" t="s">
        <v>27</v>
      </c>
      <c r="E709" s="1" t="s">
        <v>1782</v>
      </c>
      <c r="F709" s="1" t="s">
        <v>1783</v>
      </c>
      <c r="G709" s="1" t="s">
        <v>23</v>
      </c>
      <c r="I709" s="16">
        <v>39891.988668981481</v>
      </c>
      <c r="J709" s="1" t="s">
        <v>1784</v>
      </c>
      <c r="K709" s="1" t="s">
        <v>18</v>
      </c>
      <c r="L709" s="1" t="s">
        <v>19</v>
      </c>
    </row>
    <row r="710" spans="1:24" ht="13" x14ac:dyDescent="0.15">
      <c r="A710" s="1">
        <v>108267</v>
      </c>
      <c r="B710" s="1">
        <v>0</v>
      </c>
      <c r="C710" s="1" t="s">
        <v>26</v>
      </c>
      <c r="D710" s="1" t="s">
        <v>27</v>
      </c>
      <c r="E710" s="1" t="s">
        <v>1785</v>
      </c>
      <c r="F710" s="1" t="s">
        <v>1786</v>
      </c>
      <c r="G710" s="1" t="s">
        <v>23</v>
      </c>
      <c r="I710" s="16">
        <v>40898.35696759259</v>
      </c>
      <c r="J710" s="1" t="s">
        <v>40</v>
      </c>
      <c r="K710" s="1" t="s">
        <v>18</v>
      </c>
      <c r="L710" s="1" t="s">
        <v>19</v>
      </c>
    </row>
    <row r="711" spans="1:24" ht="13" x14ac:dyDescent="0.15">
      <c r="A711" s="1">
        <v>442585</v>
      </c>
      <c r="B711" s="1">
        <v>0</v>
      </c>
      <c r="C711" s="1" t="s">
        <v>137</v>
      </c>
      <c r="D711" s="1" t="s">
        <v>27</v>
      </c>
      <c r="E711" s="1" t="s">
        <v>1787</v>
      </c>
      <c r="F711" s="1" t="s">
        <v>1788</v>
      </c>
      <c r="G711" s="1" t="s">
        <v>23</v>
      </c>
      <c r="I711" s="16">
        <v>41989.08630787037</v>
      </c>
      <c r="J711" s="1" t="s">
        <v>836</v>
      </c>
      <c r="K711" s="1" t="s">
        <v>18</v>
      </c>
      <c r="L711" s="1" t="s">
        <v>19</v>
      </c>
    </row>
    <row r="712" spans="1:24" ht="13" x14ac:dyDescent="0.15">
      <c r="A712" s="1">
        <v>139475</v>
      </c>
      <c r="B712" s="1">
        <v>0</v>
      </c>
      <c r="C712" s="1" t="s">
        <v>41</v>
      </c>
      <c r="D712" s="1" t="s">
        <v>27</v>
      </c>
      <c r="E712" s="1" t="s">
        <v>1789</v>
      </c>
      <c r="F712" s="1" t="s">
        <v>694</v>
      </c>
      <c r="G712" s="1" t="s">
        <v>23</v>
      </c>
      <c r="I712" s="16">
        <v>41118.228576388887</v>
      </c>
      <c r="J712" s="1" t="s">
        <v>40</v>
      </c>
      <c r="K712" s="1" t="s">
        <v>18</v>
      </c>
      <c r="L712" s="1" t="s">
        <v>19</v>
      </c>
    </row>
    <row r="713" spans="1:24" ht="13" x14ac:dyDescent="0.15">
      <c r="A713" s="1">
        <v>327070</v>
      </c>
      <c r="B713" s="1">
        <v>0</v>
      </c>
      <c r="C713" s="1" t="s">
        <v>268</v>
      </c>
      <c r="D713" s="1" t="s">
        <v>27</v>
      </c>
      <c r="E713" s="1" t="s">
        <v>1790</v>
      </c>
      <c r="F713" s="1" t="s">
        <v>1791</v>
      </c>
      <c r="G713" s="1" t="s">
        <v>23</v>
      </c>
      <c r="I713" s="16">
        <v>41617.827349537038</v>
      </c>
      <c r="J713" s="1" t="s">
        <v>17</v>
      </c>
      <c r="K713" s="1" t="s">
        <v>18</v>
      </c>
      <c r="L713" s="1" t="s">
        <v>19</v>
      </c>
    </row>
    <row r="714" spans="1:24" ht="13" x14ac:dyDescent="0.15">
      <c r="A714" s="1">
        <v>453979</v>
      </c>
      <c r="B714" s="1">
        <v>0</v>
      </c>
      <c r="C714" s="1" t="s">
        <v>26</v>
      </c>
      <c r="D714" s="1" t="s">
        <v>27</v>
      </c>
      <c r="E714" s="1" t="s">
        <v>1792</v>
      </c>
      <c r="F714" s="1" t="s">
        <v>1793</v>
      </c>
      <c r="G714" s="1" t="s">
        <v>23</v>
      </c>
      <c r="I714" s="16">
        <v>42034.940868055557</v>
      </c>
      <c r="J714" s="1" t="s">
        <v>405</v>
      </c>
      <c r="K714" s="1" t="s">
        <v>18</v>
      </c>
      <c r="L714" s="1" t="s">
        <v>19</v>
      </c>
    </row>
    <row r="715" spans="1:24" ht="13" x14ac:dyDescent="0.15">
      <c r="A715" s="1">
        <v>89599</v>
      </c>
      <c r="B715" s="1">
        <v>0</v>
      </c>
      <c r="C715" s="1" t="s">
        <v>26</v>
      </c>
      <c r="D715" s="1" t="s">
        <v>27</v>
      </c>
      <c r="E715" s="1" t="s">
        <v>1794</v>
      </c>
      <c r="F715" s="1" t="s">
        <v>1795</v>
      </c>
      <c r="G715" s="1" t="s">
        <v>23</v>
      </c>
      <c r="I715" s="16">
        <v>40742.587430555555</v>
      </c>
      <c r="J715" s="1" t="s">
        <v>40</v>
      </c>
      <c r="K715" s="1" t="s">
        <v>18</v>
      </c>
      <c r="L715" s="1" t="s">
        <v>19</v>
      </c>
    </row>
    <row r="716" spans="1:24" ht="13" x14ac:dyDescent="0.15">
      <c r="A716" s="1">
        <v>81949</v>
      </c>
      <c r="B716" s="1">
        <v>0</v>
      </c>
      <c r="C716" s="1" t="s">
        <v>26</v>
      </c>
      <c r="D716" s="1" t="s">
        <v>27</v>
      </c>
      <c r="E716" s="1" t="s">
        <v>1796</v>
      </c>
      <c r="F716" s="1" t="s">
        <v>1797</v>
      </c>
      <c r="G716" s="1" t="s">
        <v>23</v>
      </c>
      <c r="I716" s="16">
        <v>40671.341863425929</v>
      </c>
      <c r="J716" s="1" t="s">
        <v>44</v>
      </c>
      <c r="K716" s="1" t="s">
        <v>18</v>
      </c>
      <c r="L716" s="1" t="s">
        <v>19</v>
      </c>
    </row>
    <row r="717" spans="1:24" ht="13" x14ac:dyDescent="0.15">
      <c r="A717" s="1">
        <v>311909</v>
      </c>
      <c r="B717" s="1">
        <v>0</v>
      </c>
      <c r="C717" s="1" t="s">
        <v>31</v>
      </c>
      <c r="D717" s="1" t="s">
        <v>27</v>
      </c>
      <c r="E717" s="1" t="s">
        <v>1798</v>
      </c>
      <c r="F717" s="1" t="s">
        <v>1799</v>
      </c>
      <c r="G717" s="1" t="s">
        <v>23</v>
      </c>
      <c r="I717" s="16">
        <v>41573.617905092593</v>
      </c>
      <c r="J717" s="1" t="s">
        <v>17</v>
      </c>
      <c r="K717" s="1" t="s">
        <v>18</v>
      </c>
      <c r="L717" s="1" t="s">
        <v>19</v>
      </c>
    </row>
    <row r="718" spans="1:24" ht="13" x14ac:dyDescent="0.15">
      <c r="A718" s="1">
        <v>460939</v>
      </c>
      <c r="B718" s="1">
        <v>0</v>
      </c>
      <c r="C718" s="1" t="s">
        <v>1447</v>
      </c>
      <c r="D718" s="1" t="s">
        <v>27</v>
      </c>
      <c r="E718" s="1" t="s">
        <v>1800</v>
      </c>
      <c r="F718" s="1" t="s">
        <v>1801</v>
      </c>
      <c r="G718" s="1" t="s">
        <v>23</v>
      </c>
      <c r="I718" s="16">
        <v>42058.680856481478</v>
      </c>
      <c r="J718" s="1" t="s">
        <v>17</v>
      </c>
      <c r="K718" s="1" t="s">
        <v>18</v>
      </c>
      <c r="L718" s="1" t="s">
        <v>19</v>
      </c>
    </row>
    <row r="719" spans="1:24" ht="13" x14ac:dyDescent="0.15">
      <c r="A719" s="1">
        <v>113497</v>
      </c>
      <c r="B719" s="1">
        <v>0</v>
      </c>
      <c r="C719" s="1" t="s">
        <v>26</v>
      </c>
      <c r="D719" s="1" t="s">
        <v>27</v>
      </c>
      <c r="E719" s="1" t="s">
        <v>1802</v>
      </c>
      <c r="F719" s="1" t="s">
        <v>1803</v>
      </c>
      <c r="G719" s="1" t="s">
        <v>23</v>
      </c>
      <c r="I719" s="16">
        <v>40948.838807870372</v>
      </c>
      <c r="J719" s="1" t="s">
        <v>44</v>
      </c>
      <c r="K719" s="1" t="s">
        <v>18</v>
      </c>
      <c r="L719" s="1" t="s">
        <v>19</v>
      </c>
    </row>
    <row r="720" spans="1:24" ht="13" x14ac:dyDescent="0.15">
      <c r="A720" s="1">
        <v>85808</v>
      </c>
      <c r="B720" s="1">
        <v>3</v>
      </c>
      <c r="C720" s="1" t="s">
        <v>1804</v>
      </c>
      <c r="D720" s="1" t="s">
        <v>27</v>
      </c>
      <c r="E720" s="1" t="s">
        <v>1805</v>
      </c>
      <c r="F720" s="1" t="s">
        <v>1806</v>
      </c>
      <c r="I720" s="16">
        <v>40705.690752314818</v>
      </c>
      <c r="J720" s="1" t="s">
        <v>263</v>
      </c>
      <c r="K720" s="1" t="s">
        <v>18</v>
      </c>
      <c r="L720" s="1" t="s">
        <v>19</v>
      </c>
      <c r="M720" s="1">
        <v>87881</v>
      </c>
      <c r="N720" s="1" t="s">
        <v>1807</v>
      </c>
      <c r="O720" s="16">
        <v>40723.425787037035</v>
      </c>
      <c r="P720" s="1" t="s">
        <v>190</v>
      </c>
      <c r="Q720" s="1">
        <v>86234</v>
      </c>
      <c r="R720" s="1" t="s">
        <v>1807</v>
      </c>
      <c r="S720" s="2">
        <v>40709.87327546296</v>
      </c>
      <c r="T720" s="1" t="s">
        <v>1808</v>
      </c>
      <c r="U720" s="1">
        <v>81254</v>
      </c>
      <c r="V720" s="1" t="s">
        <v>1807</v>
      </c>
      <c r="W720" s="5">
        <v>40665.724305555559</v>
      </c>
      <c r="X720" s="1" t="s">
        <v>1809</v>
      </c>
    </row>
    <row r="721" spans="1:16" ht="13" x14ac:dyDescent="0.15">
      <c r="A721" s="1">
        <v>338532</v>
      </c>
      <c r="B721" s="1">
        <v>0</v>
      </c>
      <c r="C721" s="1" t="s">
        <v>1810</v>
      </c>
      <c r="D721" s="1" t="s">
        <v>27</v>
      </c>
      <c r="E721" s="1" t="s">
        <v>1811</v>
      </c>
      <c r="F721" s="1" t="s">
        <v>1812</v>
      </c>
      <c r="G721" s="1" t="s">
        <v>23</v>
      </c>
      <c r="I721" s="16">
        <v>41666.981122685182</v>
      </c>
      <c r="J721" s="1" t="s">
        <v>17</v>
      </c>
      <c r="K721" s="1" t="s">
        <v>18</v>
      </c>
      <c r="L721" s="1" t="s">
        <v>19</v>
      </c>
    </row>
    <row r="722" spans="1:16" ht="13" x14ac:dyDescent="0.15">
      <c r="A722" s="1">
        <v>125555</v>
      </c>
      <c r="B722" s="1">
        <v>0</v>
      </c>
      <c r="C722" s="1" t="s">
        <v>26</v>
      </c>
      <c r="D722" s="1" t="s">
        <v>27</v>
      </c>
      <c r="E722" s="1" t="s">
        <v>1220</v>
      </c>
      <c r="F722" s="1" t="s">
        <v>381</v>
      </c>
      <c r="G722" s="1" t="s">
        <v>23</v>
      </c>
      <c r="I722" s="16">
        <v>41029.613275462965</v>
      </c>
      <c r="J722" s="1" t="s">
        <v>40</v>
      </c>
      <c r="K722" s="1" t="s">
        <v>18</v>
      </c>
      <c r="L722" s="1" t="s">
        <v>19</v>
      </c>
    </row>
    <row r="723" spans="1:16" ht="13" x14ac:dyDescent="0.15">
      <c r="A723" s="1">
        <v>451918</v>
      </c>
      <c r="B723" s="1">
        <v>0</v>
      </c>
      <c r="D723" s="1" t="s">
        <v>27</v>
      </c>
      <c r="E723" s="1" t="s">
        <v>1813</v>
      </c>
      <c r="F723" s="1" t="s">
        <v>1814</v>
      </c>
      <c r="G723" s="1" t="s">
        <v>23</v>
      </c>
      <c r="I723" s="16">
        <v>42030.145127314812</v>
      </c>
      <c r="J723" s="1" t="s">
        <v>17</v>
      </c>
      <c r="K723" s="1" t="s">
        <v>18</v>
      </c>
      <c r="L723" s="1" t="s">
        <v>19</v>
      </c>
    </row>
    <row r="724" spans="1:16" ht="13" x14ac:dyDescent="0.15">
      <c r="A724" s="1">
        <v>493243</v>
      </c>
      <c r="B724" s="1">
        <v>1</v>
      </c>
      <c r="C724" s="1" t="s">
        <v>1815</v>
      </c>
      <c r="D724" s="1" t="s">
        <v>27</v>
      </c>
      <c r="E724" s="1" t="s">
        <v>1816</v>
      </c>
      <c r="F724" s="1" t="s">
        <v>1817</v>
      </c>
      <c r="I724" s="16">
        <v>42152.737129629626</v>
      </c>
      <c r="J724" s="1" t="s">
        <v>408</v>
      </c>
      <c r="K724" s="1" t="s">
        <v>18</v>
      </c>
      <c r="L724" s="1" t="s">
        <v>19</v>
      </c>
      <c r="M724" s="1">
        <v>486390</v>
      </c>
      <c r="N724" s="1" t="s">
        <v>1818</v>
      </c>
      <c r="O724" s="16">
        <v>42133.735798611109</v>
      </c>
      <c r="P724" s="1" t="s">
        <v>17</v>
      </c>
    </row>
    <row r="725" spans="1:16" ht="13" x14ac:dyDescent="0.15">
      <c r="A725" s="1">
        <v>227390</v>
      </c>
      <c r="B725" s="1">
        <v>0</v>
      </c>
      <c r="D725" s="1" t="s">
        <v>27</v>
      </c>
      <c r="E725" s="1" t="s">
        <v>1819</v>
      </c>
      <c r="F725" s="1" t="s">
        <v>1820</v>
      </c>
      <c r="G725" s="1" t="s">
        <v>23</v>
      </c>
      <c r="I725" s="16">
        <v>41370.880115740743</v>
      </c>
      <c r="J725" s="1" t="s">
        <v>193</v>
      </c>
      <c r="K725" s="1" t="s">
        <v>18</v>
      </c>
      <c r="L725" s="1" t="s">
        <v>19</v>
      </c>
    </row>
    <row r="726" spans="1:16" ht="13" x14ac:dyDescent="0.15">
      <c r="A726" s="1">
        <v>158204</v>
      </c>
      <c r="B726" s="1">
        <v>0</v>
      </c>
      <c r="C726" s="1" t="s">
        <v>26</v>
      </c>
      <c r="D726" s="1" t="s">
        <v>27</v>
      </c>
      <c r="E726" s="1" t="s">
        <v>1821</v>
      </c>
      <c r="F726" s="1" t="s">
        <v>1822</v>
      </c>
      <c r="G726" s="1" t="s">
        <v>23</v>
      </c>
      <c r="I726" s="16">
        <v>41210.158819444441</v>
      </c>
      <c r="J726" s="1" t="s">
        <v>76</v>
      </c>
      <c r="K726" s="1" t="s">
        <v>18</v>
      </c>
      <c r="L726" s="1" t="s">
        <v>19</v>
      </c>
    </row>
    <row r="727" spans="1:16" ht="13" x14ac:dyDescent="0.15">
      <c r="A727" s="1">
        <v>46360</v>
      </c>
      <c r="B727" s="1">
        <v>0</v>
      </c>
      <c r="C727" s="1" t="s">
        <v>26</v>
      </c>
      <c r="D727" s="1" t="s">
        <v>27</v>
      </c>
      <c r="E727" s="1" t="s">
        <v>1823</v>
      </c>
      <c r="F727" s="1" t="s">
        <v>29</v>
      </c>
      <c r="I727" s="16">
        <v>40340.687627314815</v>
      </c>
      <c r="J727" s="1" t="s">
        <v>40</v>
      </c>
      <c r="K727" s="1" t="s">
        <v>18</v>
      </c>
      <c r="L727" s="1" t="s">
        <v>19</v>
      </c>
    </row>
    <row r="728" spans="1:16" ht="13" x14ac:dyDescent="0.15">
      <c r="A728" s="1">
        <v>587897</v>
      </c>
      <c r="B728" s="1">
        <v>0</v>
      </c>
      <c r="C728" s="1" t="s">
        <v>1824</v>
      </c>
      <c r="D728" s="1" t="s">
        <v>27</v>
      </c>
      <c r="E728" s="1" t="s">
        <v>1825</v>
      </c>
      <c r="F728" s="1" t="s">
        <v>1826</v>
      </c>
      <c r="G728" s="1" t="s">
        <v>23</v>
      </c>
      <c r="I728" s="16">
        <v>42418.741180555553</v>
      </c>
      <c r="J728" s="1" t="s">
        <v>1827</v>
      </c>
      <c r="K728" s="1" t="s">
        <v>18</v>
      </c>
      <c r="L728" s="1" t="s">
        <v>19</v>
      </c>
    </row>
    <row r="729" spans="1:16" ht="13" x14ac:dyDescent="0.15">
      <c r="A729" s="1">
        <v>222852</v>
      </c>
      <c r="B729" s="1">
        <v>0</v>
      </c>
      <c r="C729" s="1" t="s">
        <v>527</v>
      </c>
      <c r="D729" s="1" t="s">
        <v>27</v>
      </c>
      <c r="E729" s="1" t="s">
        <v>1828</v>
      </c>
      <c r="F729" s="1" t="s">
        <v>772</v>
      </c>
      <c r="G729" s="1" t="s">
        <v>23</v>
      </c>
      <c r="I729" s="16">
        <v>41354.824965277781</v>
      </c>
      <c r="J729" s="1" t="s">
        <v>40</v>
      </c>
      <c r="K729" s="1" t="s">
        <v>18</v>
      </c>
      <c r="L729" s="1" t="s">
        <v>19</v>
      </c>
    </row>
    <row r="730" spans="1:16" ht="13" x14ac:dyDescent="0.15">
      <c r="A730" s="1">
        <v>63924</v>
      </c>
      <c r="B730" s="1">
        <v>0</v>
      </c>
      <c r="C730" s="1" t="s">
        <v>26</v>
      </c>
      <c r="D730" s="1" t="s">
        <v>27</v>
      </c>
      <c r="E730" s="1" t="s">
        <v>1829</v>
      </c>
      <c r="F730" s="1" t="s">
        <v>720</v>
      </c>
      <c r="G730" s="1" t="s">
        <v>23</v>
      </c>
      <c r="I730" s="16">
        <v>40502.898449074077</v>
      </c>
      <c r="J730" s="1" t="s">
        <v>40</v>
      </c>
      <c r="K730" s="1" t="s">
        <v>18</v>
      </c>
      <c r="L730" s="1" t="s">
        <v>19</v>
      </c>
    </row>
    <row r="731" spans="1:16" ht="13" x14ac:dyDescent="0.15">
      <c r="A731" s="1">
        <v>77507</v>
      </c>
      <c r="B731" s="1">
        <v>0</v>
      </c>
      <c r="C731" s="1" t="s">
        <v>26</v>
      </c>
      <c r="D731" s="1" t="s">
        <v>27</v>
      </c>
      <c r="E731" s="1" t="s">
        <v>1830</v>
      </c>
      <c r="F731" s="1" t="s">
        <v>1831</v>
      </c>
      <c r="G731" s="1" t="s">
        <v>23</v>
      </c>
      <c r="I731" s="16">
        <v>40628.403194444443</v>
      </c>
      <c r="J731" s="1" t="s">
        <v>263</v>
      </c>
      <c r="K731" s="1" t="s">
        <v>18</v>
      </c>
      <c r="L731" s="1" t="s">
        <v>19</v>
      </c>
    </row>
    <row r="732" spans="1:16" ht="13" x14ac:dyDescent="0.15">
      <c r="A732" s="1">
        <v>594004</v>
      </c>
      <c r="B732" s="1">
        <v>0</v>
      </c>
      <c r="C732" s="1" t="s">
        <v>137</v>
      </c>
      <c r="D732" s="1" t="s">
        <v>27</v>
      </c>
      <c r="E732" s="1" t="s">
        <v>1832</v>
      </c>
      <c r="F732" s="1" t="s">
        <v>1833</v>
      </c>
      <c r="I732" s="16">
        <v>42440.082673611112</v>
      </c>
      <c r="J732" s="1" t="s">
        <v>140</v>
      </c>
      <c r="K732" s="1" t="s">
        <v>18</v>
      </c>
      <c r="L732" s="1" t="s">
        <v>19</v>
      </c>
    </row>
    <row r="733" spans="1:16" ht="13" x14ac:dyDescent="0.15">
      <c r="A733" s="1">
        <v>76666</v>
      </c>
      <c r="B733" s="1">
        <v>0</v>
      </c>
      <c r="C733" s="1" t="s">
        <v>26</v>
      </c>
      <c r="D733" s="1" t="s">
        <v>27</v>
      </c>
      <c r="E733" s="1" t="s">
        <v>1834</v>
      </c>
      <c r="F733" s="1" t="s">
        <v>1835</v>
      </c>
      <c r="I733" s="16">
        <v>40620.519247685188</v>
      </c>
      <c r="J733" s="1" t="s">
        <v>263</v>
      </c>
      <c r="K733" s="1" t="s">
        <v>18</v>
      </c>
      <c r="L733" s="1" t="s">
        <v>19</v>
      </c>
    </row>
    <row r="734" spans="1:16" ht="13" x14ac:dyDescent="0.15">
      <c r="A734" s="1">
        <v>559292</v>
      </c>
      <c r="B734" s="1">
        <v>0</v>
      </c>
      <c r="C734" s="1" t="s">
        <v>663</v>
      </c>
      <c r="D734" s="1" t="s">
        <v>27</v>
      </c>
      <c r="E734" s="1" t="s">
        <v>1836</v>
      </c>
      <c r="F734" s="1" t="s">
        <v>1837</v>
      </c>
      <c r="I734" s="16">
        <v>42328.833229166667</v>
      </c>
      <c r="J734" s="1" t="s">
        <v>68</v>
      </c>
      <c r="K734" s="1" t="s">
        <v>18</v>
      </c>
      <c r="L734" s="1" t="s">
        <v>19</v>
      </c>
    </row>
    <row r="735" spans="1:16" ht="13" x14ac:dyDescent="0.15">
      <c r="A735" s="1">
        <v>95499</v>
      </c>
      <c r="B735" s="1">
        <v>0</v>
      </c>
      <c r="C735" s="1" t="s">
        <v>26</v>
      </c>
      <c r="D735" s="1" t="s">
        <v>27</v>
      </c>
      <c r="E735" s="1" t="s">
        <v>1838</v>
      </c>
      <c r="F735" s="1" t="s">
        <v>1839</v>
      </c>
      <c r="G735" s="1" t="s">
        <v>23</v>
      </c>
      <c r="I735" s="16">
        <v>40792.68650462963</v>
      </c>
      <c r="J735" s="1" t="s">
        <v>40</v>
      </c>
      <c r="K735" s="1" t="s">
        <v>18</v>
      </c>
      <c r="L735" s="1" t="s">
        <v>19</v>
      </c>
    </row>
    <row r="736" spans="1:16" ht="13" x14ac:dyDescent="0.15">
      <c r="A736" s="1">
        <v>120318</v>
      </c>
      <c r="B736" s="1">
        <v>0</v>
      </c>
      <c r="C736" s="1" t="s">
        <v>1140</v>
      </c>
      <c r="D736" s="1" t="s">
        <v>27</v>
      </c>
      <c r="E736" s="1" t="s">
        <v>1840</v>
      </c>
      <c r="F736" s="1" t="s">
        <v>1142</v>
      </c>
      <c r="G736" s="1" t="s">
        <v>159</v>
      </c>
      <c r="I736" s="16">
        <v>40995.030555555553</v>
      </c>
      <c r="J736" s="1" t="s">
        <v>398</v>
      </c>
      <c r="K736" s="1" t="s">
        <v>18</v>
      </c>
      <c r="L736" s="1" t="s">
        <v>19</v>
      </c>
    </row>
    <row r="737" spans="1:12" ht="13" x14ac:dyDescent="0.15">
      <c r="A737" s="1">
        <v>684684</v>
      </c>
      <c r="B737" s="1">
        <v>0</v>
      </c>
      <c r="C737" s="1" t="s">
        <v>721</v>
      </c>
      <c r="D737" s="1" t="s">
        <v>27</v>
      </c>
      <c r="E737" s="1" t="s">
        <v>1841</v>
      </c>
      <c r="F737" s="1" t="s">
        <v>1842</v>
      </c>
      <c r="G737" s="1" t="s">
        <v>56</v>
      </c>
      <c r="I737" s="16">
        <v>42759.820324074077</v>
      </c>
      <c r="J737" s="1" t="s">
        <v>1074</v>
      </c>
      <c r="K737" s="1" t="s">
        <v>18</v>
      </c>
      <c r="L737" s="1" t="s">
        <v>19</v>
      </c>
    </row>
    <row r="738" spans="1:12" ht="13" x14ac:dyDescent="0.15">
      <c r="A738" s="1">
        <v>235732</v>
      </c>
      <c r="B738" s="1">
        <v>0</v>
      </c>
      <c r="C738" s="1" t="s">
        <v>1843</v>
      </c>
      <c r="D738" s="1" t="s">
        <v>27</v>
      </c>
      <c r="E738" s="1" t="s">
        <v>1844</v>
      </c>
      <c r="F738" s="1" t="s">
        <v>1845</v>
      </c>
      <c r="G738" s="1" t="s">
        <v>23</v>
      </c>
      <c r="I738" s="16">
        <v>41390.157766203702</v>
      </c>
      <c r="J738" s="1" t="s">
        <v>40</v>
      </c>
      <c r="K738" s="1" t="s">
        <v>18</v>
      </c>
      <c r="L738" s="1" t="s">
        <v>19</v>
      </c>
    </row>
    <row r="739" spans="1:12" ht="13" x14ac:dyDescent="0.15">
      <c r="A739" s="1">
        <v>417731</v>
      </c>
      <c r="B739" s="1">
        <v>0</v>
      </c>
      <c r="C739" s="1" t="s">
        <v>1846</v>
      </c>
      <c r="D739" s="1" t="s">
        <v>27</v>
      </c>
      <c r="E739" s="1" t="s">
        <v>1847</v>
      </c>
      <c r="F739" s="1" t="s">
        <v>1848</v>
      </c>
      <c r="G739" s="1" t="s">
        <v>23</v>
      </c>
      <c r="I739" s="16">
        <v>41907.635833333334</v>
      </c>
      <c r="J739" s="1" t="s">
        <v>17</v>
      </c>
      <c r="K739" s="1" t="s">
        <v>18</v>
      </c>
      <c r="L739" s="1" t="s">
        <v>19</v>
      </c>
    </row>
    <row r="740" spans="1:12" ht="13" x14ac:dyDescent="0.15">
      <c r="A740" s="1">
        <v>85943</v>
      </c>
      <c r="B740" s="1">
        <v>0</v>
      </c>
      <c r="C740" s="1" t="s">
        <v>26</v>
      </c>
      <c r="D740" s="1" t="s">
        <v>27</v>
      </c>
      <c r="E740" s="1" t="s">
        <v>1849</v>
      </c>
      <c r="F740" s="1" t="s">
        <v>1850</v>
      </c>
      <c r="G740" s="1" t="s">
        <v>23</v>
      </c>
      <c r="I740" s="16">
        <v>40707.809849537036</v>
      </c>
      <c r="J740" s="1" t="s">
        <v>40</v>
      </c>
      <c r="K740" s="1" t="s">
        <v>18</v>
      </c>
      <c r="L740" s="1" t="s">
        <v>19</v>
      </c>
    </row>
    <row r="741" spans="1:12" ht="13" x14ac:dyDescent="0.15">
      <c r="A741" s="1">
        <v>111088</v>
      </c>
      <c r="B741" s="1">
        <v>0</v>
      </c>
      <c r="C741" s="1" t="s">
        <v>26</v>
      </c>
      <c r="D741" s="1" t="s">
        <v>27</v>
      </c>
      <c r="E741" s="1" t="s">
        <v>1851</v>
      </c>
      <c r="F741" s="1" t="s">
        <v>1852</v>
      </c>
      <c r="G741" s="1" t="s">
        <v>23</v>
      </c>
      <c r="I741" s="16">
        <v>40931.854351851849</v>
      </c>
      <c r="J741" s="1" t="s">
        <v>40</v>
      </c>
      <c r="K741" s="1" t="s">
        <v>18</v>
      </c>
      <c r="L741" s="1" t="s">
        <v>19</v>
      </c>
    </row>
    <row r="742" spans="1:12" ht="13" x14ac:dyDescent="0.15">
      <c r="A742" s="1">
        <v>411210</v>
      </c>
      <c r="B742" s="1">
        <v>0</v>
      </c>
      <c r="C742" s="1" t="s">
        <v>101</v>
      </c>
      <c r="D742" s="1" t="s">
        <v>27</v>
      </c>
      <c r="E742" s="1" t="s">
        <v>1853</v>
      </c>
      <c r="F742" s="1" t="s">
        <v>1854</v>
      </c>
      <c r="G742" s="1" t="s">
        <v>23</v>
      </c>
      <c r="I742" s="16">
        <v>41887.386956018519</v>
      </c>
      <c r="J742" s="1" t="s">
        <v>17</v>
      </c>
      <c r="K742" s="1" t="s">
        <v>18</v>
      </c>
      <c r="L742" s="1" t="s">
        <v>19</v>
      </c>
    </row>
    <row r="743" spans="1:12" ht="13" x14ac:dyDescent="0.15">
      <c r="A743" s="1">
        <v>394026</v>
      </c>
      <c r="B743" s="1">
        <v>0</v>
      </c>
      <c r="D743" s="1" t="s">
        <v>27</v>
      </c>
      <c r="E743" s="1" t="s">
        <v>1855</v>
      </c>
      <c r="F743" s="1" t="s">
        <v>1856</v>
      </c>
      <c r="G743" s="1" t="s">
        <v>23</v>
      </c>
      <c r="I743" s="16">
        <v>41835.748032407406</v>
      </c>
      <c r="J743" s="1" t="s">
        <v>17</v>
      </c>
      <c r="K743" s="1" t="s">
        <v>18</v>
      </c>
      <c r="L743" s="1" t="s">
        <v>19</v>
      </c>
    </row>
    <row r="744" spans="1:12" ht="13" x14ac:dyDescent="0.15">
      <c r="A744" s="1">
        <v>348319</v>
      </c>
      <c r="B744" s="1">
        <v>0</v>
      </c>
      <c r="C744" s="1" t="s">
        <v>101</v>
      </c>
      <c r="D744" s="1" t="s">
        <v>27</v>
      </c>
      <c r="E744" s="1" t="s">
        <v>1857</v>
      </c>
      <c r="F744" s="1" t="s">
        <v>350</v>
      </c>
      <c r="G744" s="1" t="s">
        <v>23</v>
      </c>
      <c r="I744" s="16">
        <v>41699.762002314812</v>
      </c>
      <c r="J744" s="1" t="s">
        <v>17</v>
      </c>
      <c r="K744" s="1" t="s">
        <v>18</v>
      </c>
      <c r="L744" s="1" t="s">
        <v>19</v>
      </c>
    </row>
    <row r="745" spans="1:12" ht="13" x14ac:dyDescent="0.15">
      <c r="A745" s="1">
        <v>85102</v>
      </c>
      <c r="B745" s="1">
        <v>0</v>
      </c>
      <c r="C745" s="1" t="s">
        <v>26</v>
      </c>
      <c r="D745" s="1" t="s">
        <v>27</v>
      </c>
      <c r="E745" s="1" t="s">
        <v>1858</v>
      </c>
      <c r="F745" s="1" t="s">
        <v>1859</v>
      </c>
      <c r="G745" s="1" t="s">
        <v>23</v>
      </c>
      <c r="I745" s="16">
        <v>40700.865902777776</v>
      </c>
      <c r="J745" s="1" t="s">
        <v>44</v>
      </c>
      <c r="K745" s="1" t="s">
        <v>18</v>
      </c>
      <c r="L745" s="1" t="s">
        <v>19</v>
      </c>
    </row>
    <row r="746" spans="1:12" ht="13" x14ac:dyDescent="0.15">
      <c r="A746" s="1">
        <v>66748</v>
      </c>
      <c r="B746" s="1">
        <v>0</v>
      </c>
      <c r="C746" s="1" t="s">
        <v>26</v>
      </c>
      <c r="D746" s="1" t="s">
        <v>27</v>
      </c>
      <c r="E746" s="1" t="s">
        <v>1860</v>
      </c>
      <c r="F746" s="1" t="s">
        <v>1861</v>
      </c>
      <c r="G746" s="1" t="s">
        <v>23</v>
      </c>
      <c r="I746" s="16">
        <v>40525.930902777778</v>
      </c>
      <c r="J746" s="1" t="s">
        <v>1862</v>
      </c>
      <c r="K746" s="1" t="s">
        <v>18</v>
      </c>
      <c r="L746" s="1" t="s">
        <v>19</v>
      </c>
    </row>
    <row r="747" spans="1:12" ht="13" x14ac:dyDescent="0.15">
      <c r="A747" s="1">
        <v>105803</v>
      </c>
      <c r="B747" s="1">
        <v>0</v>
      </c>
      <c r="C747" s="1" t="s">
        <v>477</v>
      </c>
      <c r="D747" s="1" t="s">
        <v>27</v>
      </c>
      <c r="E747" s="1" t="s">
        <v>1863</v>
      </c>
      <c r="F747" s="1" t="s">
        <v>1864</v>
      </c>
      <c r="I747" s="16">
        <v>40877.013981481483</v>
      </c>
      <c r="J747" s="1" t="s">
        <v>151</v>
      </c>
      <c r="K747" s="1" t="s">
        <v>18</v>
      </c>
      <c r="L747" s="1" t="s">
        <v>19</v>
      </c>
    </row>
    <row r="748" spans="1:12" ht="13" x14ac:dyDescent="0.15">
      <c r="A748" s="1">
        <v>605766</v>
      </c>
      <c r="B748" s="1">
        <v>0</v>
      </c>
      <c r="C748" s="1" t="s">
        <v>1426</v>
      </c>
      <c r="D748" s="1" t="s">
        <v>27</v>
      </c>
      <c r="E748" s="1" t="s">
        <v>1865</v>
      </c>
      <c r="F748" s="1" t="s">
        <v>1866</v>
      </c>
      <c r="I748" s="16">
        <v>42481.951990740738</v>
      </c>
      <c r="J748" s="1" t="s">
        <v>247</v>
      </c>
      <c r="K748" s="1" t="s">
        <v>18</v>
      </c>
      <c r="L748" s="1" t="s">
        <v>19</v>
      </c>
    </row>
    <row r="749" spans="1:12" ht="13" x14ac:dyDescent="0.15">
      <c r="A749" s="1">
        <v>620952</v>
      </c>
      <c r="B749" s="1">
        <v>0</v>
      </c>
      <c r="C749" s="1" t="s">
        <v>280</v>
      </c>
      <c r="D749" s="1" t="s">
        <v>27</v>
      </c>
      <c r="E749" s="1" t="s">
        <v>1867</v>
      </c>
      <c r="F749" s="1" t="s">
        <v>1868</v>
      </c>
      <c r="G749" s="1" t="s">
        <v>540</v>
      </c>
      <c r="I749" s="16">
        <v>42538.138958333337</v>
      </c>
      <c r="J749" s="1" t="s">
        <v>17</v>
      </c>
      <c r="K749" s="1" t="s">
        <v>18</v>
      </c>
      <c r="L749" s="1" t="s">
        <v>19</v>
      </c>
    </row>
    <row r="750" spans="1:12" ht="13" x14ac:dyDescent="0.15">
      <c r="A750" s="1">
        <v>529531</v>
      </c>
      <c r="B750" s="1">
        <v>0</v>
      </c>
      <c r="C750" s="1" t="s">
        <v>95</v>
      </c>
      <c r="D750" s="1" t="s">
        <v>27</v>
      </c>
      <c r="E750" s="1" t="s">
        <v>1869</v>
      </c>
      <c r="F750" s="1" t="s">
        <v>1870</v>
      </c>
      <c r="G750" s="1" t="s">
        <v>16</v>
      </c>
      <c r="I750" s="16">
        <v>42256.040312500001</v>
      </c>
      <c r="J750" s="1" t="s">
        <v>17</v>
      </c>
      <c r="K750" s="1" t="s">
        <v>18</v>
      </c>
      <c r="L750" s="1" t="s">
        <v>19</v>
      </c>
    </row>
    <row r="751" spans="1:12" ht="13" x14ac:dyDescent="0.15">
      <c r="A751" s="1">
        <v>118803</v>
      </c>
      <c r="B751" s="1">
        <v>0</v>
      </c>
      <c r="C751" s="1" t="s">
        <v>41</v>
      </c>
      <c r="D751" s="1" t="s">
        <v>27</v>
      </c>
      <c r="E751" s="1" t="s">
        <v>1871</v>
      </c>
      <c r="F751" s="1" t="s">
        <v>1872</v>
      </c>
      <c r="G751" s="1" t="s">
        <v>23</v>
      </c>
      <c r="I751" s="16">
        <v>40986.299016203702</v>
      </c>
      <c r="J751" s="1" t="s">
        <v>40</v>
      </c>
      <c r="K751" s="1" t="s">
        <v>18</v>
      </c>
      <c r="L751" s="1" t="s">
        <v>19</v>
      </c>
    </row>
    <row r="752" spans="1:12" ht="13" x14ac:dyDescent="0.15">
      <c r="A752" s="1">
        <v>649659</v>
      </c>
      <c r="B752" s="1">
        <v>0</v>
      </c>
      <c r="C752" s="1" t="s">
        <v>12</v>
      </c>
      <c r="D752" s="1" t="s">
        <v>27</v>
      </c>
      <c r="E752" s="1" t="s">
        <v>1873</v>
      </c>
      <c r="F752" s="1" t="s">
        <v>557</v>
      </c>
      <c r="G752" s="1" t="s">
        <v>558</v>
      </c>
      <c r="I752" s="16">
        <v>42636.543495370373</v>
      </c>
      <c r="J752" s="1" t="s">
        <v>76</v>
      </c>
      <c r="K752" s="1" t="s">
        <v>18</v>
      </c>
      <c r="L752" s="1" t="s">
        <v>19</v>
      </c>
    </row>
    <row r="753" spans="1:16" ht="13" x14ac:dyDescent="0.15">
      <c r="A753" s="1">
        <v>113902</v>
      </c>
      <c r="B753" s="1">
        <v>0</v>
      </c>
      <c r="C753" s="1" t="s">
        <v>26</v>
      </c>
      <c r="D753" s="1" t="s">
        <v>27</v>
      </c>
      <c r="E753" s="1" t="s">
        <v>1105</v>
      </c>
      <c r="F753" s="1" t="s">
        <v>1874</v>
      </c>
      <c r="G753" s="1" t="s">
        <v>23</v>
      </c>
      <c r="I753" s="16">
        <v>40951.814432870371</v>
      </c>
      <c r="J753" s="1" t="s">
        <v>44</v>
      </c>
      <c r="K753" s="1" t="s">
        <v>18</v>
      </c>
      <c r="L753" s="1" t="s">
        <v>19</v>
      </c>
    </row>
    <row r="754" spans="1:16" ht="13" x14ac:dyDescent="0.15">
      <c r="A754" s="1">
        <v>240124</v>
      </c>
      <c r="B754" s="1">
        <v>0</v>
      </c>
      <c r="C754" s="1" t="s">
        <v>26</v>
      </c>
      <c r="D754" s="1" t="s">
        <v>27</v>
      </c>
      <c r="E754" s="1" t="s">
        <v>1875</v>
      </c>
      <c r="F754" s="1" t="s">
        <v>1876</v>
      </c>
      <c r="G754" s="1" t="s">
        <v>23</v>
      </c>
      <c r="I754" s="16">
        <v>41406.750532407408</v>
      </c>
      <c r="J754" s="1" t="s">
        <v>44</v>
      </c>
      <c r="K754" s="1" t="s">
        <v>18</v>
      </c>
      <c r="L754" s="1" t="s">
        <v>19</v>
      </c>
    </row>
    <row r="755" spans="1:16" ht="13" x14ac:dyDescent="0.15">
      <c r="A755" s="1">
        <v>589792</v>
      </c>
      <c r="B755" s="1">
        <v>0</v>
      </c>
      <c r="C755" s="1" t="s">
        <v>101</v>
      </c>
      <c r="D755" s="1" t="s">
        <v>27</v>
      </c>
      <c r="E755" s="1" t="s">
        <v>1877</v>
      </c>
      <c r="F755" s="1" t="s">
        <v>1878</v>
      </c>
      <c r="I755" s="16">
        <v>42425.496793981481</v>
      </c>
      <c r="J755" s="1" t="s">
        <v>987</v>
      </c>
      <c r="K755" s="1" t="s">
        <v>18</v>
      </c>
      <c r="L755" s="1" t="s">
        <v>19</v>
      </c>
    </row>
    <row r="756" spans="1:16" ht="13" x14ac:dyDescent="0.15">
      <c r="A756" s="1">
        <v>638615</v>
      </c>
      <c r="B756" s="1">
        <v>0</v>
      </c>
      <c r="C756" s="1" t="s">
        <v>629</v>
      </c>
      <c r="D756" s="1" t="s">
        <v>27</v>
      </c>
      <c r="E756" s="1" t="s">
        <v>1879</v>
      </c>
      <c r="F756" s="1" t="s">
        <v>1880</v>
      </c>
      <c r="G756" s="1" t="s">
        <v>23</v>
      </c>
      <c r="I756" s="16">
        <v>42599.655578703707</v>
      </c>
      <c r="J756" s="1" t="s">
        <v>632</v>
      </c>
      <c r="K756" s="1" t="s">
        <v>18</v>
      </c>
      <c r="L756" s="1" t="s">
        <v>19</v>
      </c>
    </row>
    <row r="757" spans="1:16" ht="13" x14ac:dyDescent="0.15">
      <c r="A757" s="1">
        <v>590882</v>
      </c>
      <c r="B757" s="1">
        <v>0</v>
      </c>
      <c r="C757" s="1" t="s">
        <v>170</v>
      </c>
      <c r="D757" s="1" t="s">
        <v>27</v>
      </c>
      <c r="E757" s="1" t="s">
        <v>1881</v>
      </c>
      <c r="F757" s="1" t="s">
        <v>1882</v>
      </c>
      <c r="G757" s="1" t="s">
        <v>159</v>
      </c>
      <c r="I757" s="16">
        <v>42429.947222222225</v>
      </c>
      <c r="J757" s="1" t="s">
        <v>1883</v>
      </c>
      <c r="K757" s="1" t="s">
        <v>18</v>
      </c>
      <c r="L757" s="1" t="s">
        <v>19</v>
      </c>
    </row>
    <row r="758" spans="1:16" ht="13" x14ac:dyDescent="0.15">
      <c r="A758" s="1">
        <v>77669</v>
      </c>
      <c r="B758" s="1">
        <v>0</v>
      </c>
      <c r="C758" s="1" t="s">
        <v>26</v>
      </c>
      <c r="D758" s="1" t="s">
        <v>27</v>
      </c>
      <c r="E758" s="1" t="s">
        <v>1884</v>
      </c>
      <c r="F758" s="1" t="s">
        <v>1885</v>
      </c>
      <c r="G758" s="1" t="s">
        <v>23</v>
      </c>
      <c r="I758" s="16">
        <v>40630.78056712963</v>
      </c>
      <c r="J758" s="1" t="s">
        <v>40</v>
      </c>
      <c r="K758" s="1" t="s">
        <v>18</v>
      </c>
      <c r="L758" s="1" t="s">
        <v>19</v>
      </c>
    </row>
    <row r="759" spans="1:16" ht="13" x14ac:dyDescent="0.15">
      <c r="A759" s="1">
        <v>449829</v>
      </c>
      <c r="B759" s="1">
        <v>0</v>
      </c>
      <c r="C759" s="1" t="s">
        <v>1886</v>
      </c>
      <c r="D759" s="1" t="s">
        <v>27</v>
      </c>
      <c r="E759" s="1" t="s">
        <v>1887</v>
      </c>
      <c r="F759" s="1" t="s">
        <v>1888</v>
      </c>
      <c r="G759" s="1" t="s">
        <v>23</v>
      </c>
      <c r="I759" s="16">
        <v>42022.463587962964</v>
      </c>
      <c r="J759" s="1" t="s">
        <v>1889</v>
      </c>
      <c r="K759" s="1" t="s">
        <v>18</v>
      </c>
      <c r="L759" s="1" t="s">
        <v>19</v>
      </c>
    </row>
    <row r="760" spans="1:16" ht="13" x14ac:dyDescent="0.15">
      <c r="A760" s="1">
        <v>599866</v>
      </c>
      <c r="B760" s="1">
        <v>0</v>
      </c>
      <c r="C760" s="1" t="s">
        <v>268</v>
      </c>
      <c r="D760" s="1" t="s">
        <v>27</v>
      </c>
      <c r="E760" s="1" t="s">
        <v>1890</v>
      </c>
      <c r="F760" s="1" t="s">
        <v>1891</v>
      </c>
      <c r="G760" s="1" t="s">
        <v>16</v>
      </c>
      <c r="I760" s="16">
        <v>42461.601319444446</v>
      </c>
      <c r="J760" s="1" t="s">
        <v>17</v>
      </c>
      <c r="K760" s="1" t="s">
        <v>18</v>
      </c>
      <c r="L760" s="1" t="s">
        <v>19</v>
      </c>
    </row>
    <row r="761" spans="1:16" ht="13" x14ac:dyDescent="0.15">
      <c r="A761" s="1">
        <v>106484</v>
      </c>
      <c r="B761" s="1">
        <v>0</v>
      </c>
      <c r="C761" s="1" t="s">
        <v>1892</v>
      </c>
      <c r="D761" s="1" t="s">
        <v>27</v>
      </c>
      <c r="E761" s="1" t="s">
        <v>1893</v>
      </c>
      <c r="F761" s="1" t="s">
        <v>1894</v>
      </c>
      <c r="G761" s="1" t="s">
        <v>23</v>
      </c>
      <c r="I761" s="16">
        <v>40882.990393518521</v>
      </c>
      <c r="J761" s="1" t="s">
        <v>544</v>
      </c>
      <c r="K761" s="1" t="s">
        <v>18</v>
      </c>
      <c r="L761" s="1" t="s">
        <v>19</v>
      </c>
    </row>
    <row r="762" spans="1:16" ht="13" x14ac:dyDescent="0.15">
      <c r="A762" s="1">
        <v>605491</v>
      </c>
      <c r="B762" s="1">
        <v>0</v>
      </c>
      <c r="C762" s="1" t="s">
        <v>12</v>
      </c>
      <c r="D762" s="1" t="s">
        <v>27</v>
      </c>
      <c r="E762" s="1" t="s">
        <v>1895</v>
      </c>
      <c r="F762" s="1" t="s">
        <v>1896</v>
      </c>
      <c r="G762" s="1" t="s">
        <v>16</v>
      </c>
      <c r="I762" s="16">
        <v>42481.458425925928</v>
      </c>
      <c r="J762" s="1" t="s">
        <v>17</v>
      </c>
      <c r="K762" s="1" t="s">
        <v>18</v>
      </c>
      <c r="L762" s="1" t="s">
        <v>19</v>
      </c>
    </row>
    <row r="763" spans="1:16" ht="13" x14ac:dyDescent="0.15">
      <c r="A763" s="1">
        <v>606115</v>
      </c>
      <c r="B763" s="1">
        <v>0</v>
      </c>
      <c r="C763" s="1" t="s">
        <v>101</v>
      </c>
      <c r="D763" s="1" t="s">
        <v>27</v>
      </c>
      <c r="E763" s="1" t="s">
        <v>1897</v>
      </c>
      <c r="F763" s="1" t="s">
        <v>1898</v>
      </c>
      <c r="I763" s="16">
        <v>42483.169062499997</v>
      </c>
      <c r="J763" s="1" t="s">
        <v>987</v>
      </c>
      <c r="K763" s="1" t="s">
        <v>18</v>
      </c>
      <c r="L763" s="1" t="s">
        <v>19</v>
      </c>
    </row>
    <row r="764" spans="1:16" ht="13" x14ac:dyDescent="0.15">
      <c r="A764" s="1">
        <v>126343</v>
      </c>
      <c r="B764" s="1">
        <v>0</v>
      </c>
      <c r="D764" s="1" t="s">
        <v>27</v>
      </c>
      <c r="E764" s="1" t="s">
        <v>1899</v>
      </c>
      <c r="F764" s="1" t="s">
        <v>806</v>
      </c>
      <c r="G764" s="1" t="s">
        <v>23</v>
      </c>
      <c r="I764" s="16">
        <v>41034.057893518519</v>
      </c>
      <c r="J764" s="1" t="s">
        <v>151</v>
      </c>
      <c r="K764" s="1" t="s">
        <v>18</v>
      </c>
      <c r="L764" s="1" t="s">
        <v>19</v>
      </c>
    </row>
    <row r="765" spans="1:16" ht="13" x14ac:dyDescent="0.15">
      <c r="A765" s="1">
        <v>93587</v>
      </c>
      <c r="B765" s="1">
        <v>1</v>
      </c>
      <c r="C765" s="1" t="s">
        <v>26</v>
      </c>
      <c r="D765" s="1" t="s">
        <v>27</v>
      </c>
      <c r="E765" s="1" t="s">
        <v>1900</v>
      </c>
      <c r="F765" s="1" t="s">
        <v>1901</v>
      </c>
      <c r="G765" s="1" t="s">
        <v>23</v>
      </c>
      <c r="I765" s="16">
        <v>40775.218032407407</v>
      </c>
      <c r="J765" s="1" t="s">
        <v>40</v>
      </c>
      <c r="K765" s="1" t="s">
        <v>18</v>
      </c>
      <c r="L765" s="1" t="s">
        <v>19</v>
      </c>
      <c r="M765" s="1">
        <v>93132</v>
      </c>
      <c r="N765" s="1" t="s">
        <v>1902</v>
      </c>
      <c r="O765" s="16">
        <v>40771.863171296296</v>
      </c>
      <c r="P765" s="1" t="s">
        <v>44</v>
      </c>
    </row>
    <row r="766" spans="1:16" ht="13" x14ac:dyDescent="0.15">
      <c r="A766" s="1">
        <v>136344</v>
      </c>
      <c r="B766" s="1">
        <v>0</v>
      </c>
      <c r="C766" s="1" t="s">
        <v>26</v>
      </c>
      <c r="D766" s="1" t="s">
        <v>27</v>
      </c>
      <c r="E766" s="1" t="s">
        <v>1903</v>
      </c>
      <c r="F766" s="1" t="s">
        <v>1904</v>
      </c>
      <c r="G766" s="1" t="s">
        <v>23</v>
      </c>
      <c r="I766" s="16">
        <v>41099.570231481484</v>
      </c>
      <c r="J766" s="1" t="s">
        <v>40</v>
      </c>
      <c r="K766" s="1" t="s">
        <v>18</v>
      </c>
      <c r="L766" s="1" t="s">
        <v>19</v>
      </c>
    </row>
    <row r="767" spans="1:16" ht="13" x14ac:dyDescent="0.15">
      <c r="A767" s="1">
        <v>56474</v>
      </c>
      <c r="B767" s="1">
        <v>0</v>
      </c>
      <c r="C767" s="1" t="s">
        <v>26</v>
      </c>
      <c r="D767" s="1" t="s">
        <v>27</v>
      </c>
      <c r="E767" s="1" t="s">
        <v>1905</v>
      </c>
      <c r="F767" s="1" t="s">
        <v>112</v>
      </c>
      <c r="G767" s="1" t="s">
        <v>23</v>
      </c>
      <c r="I767" s="16">
        <v>40443.061273148145</v>
      </c>
      <c r="J767" s="1" t="s">
        <v>40</v>
      </c>
      <c r="K767" s="1" t="s">
        <v>18</v>
      </c>
      <c r="L767" s="1" t="s">
        <v>19</v>
      </c>
    </row>
    <row r="768" spans="1:16" ht="13" x14ac:dyDescent="0.15">
      <c r="A768" s="1">
        <v>592361</v>
      </c>
      <c r="B768" s="1">
        <v>0</v>
      </c>
      <c r="C768" s="1" t="s">
        <v>101</v>
      </c>
      <c r="D768" s="1" t="s">
        <v>27</v>
      </c>
      <c r="E768" s="1" t="s">
        <v>1906</v>
      </c>
      <c r="F768" s="1" t="s">
        <v>1907</v>
      </c>
      <c r="G768" s="1" t="s">
        <v>16</v>
      </c>
      <c r="I768" s="16">
        <v>42436.40042824074</v>
      </c>
      <c r="J768" s="1" t="s">
        <v>17</v>
      </c>
      <c r="K768" s="1" t="s">
        <v>18</v>
      </c>
      <c r="L768" s="1" t="s">
        <v>19</v>
      </c>
    </row>
    <row r="769" spans="1:12" ht="13" x14ac:dyDescent="0.15">
      <c r="A769" s="1">
        <v>481306</v>
      </c>
      <c r="B769" s="1">
        <v>0</v>
      </c>
      <c r="C769" s="1" t="s">
        <v>137</v>
      </c>
      <c r="D769" s="1" t="s">
        <v>27</v>
      </c>
      <c r="E769" s="1" t="s">
        <v>1908</v>
      </c>
      <c r="F769" s="1" t="s">
        <v>1909</v>
      </c>
      <c r="G769" s="1" t="s">
        <v>23</v>
      </c>
      <c r="I769" s="16">
        <v>42119.131990740738</v>
      </c>
      <c r="J769" s="1" t="s">
        <v>151</v>
      </c>
      <c r="K769" s="1" t="s">
        <v>18</v>
      </c>
      <c r="L769" s="1" t="s">
        <v>19</v>
      </c>
    </row>
    <row r="770" spans="1:12" ht="13" x14ac:dyDescent="0.15">
      <c r="A770" s="1">
        <v>64945</v>
      </c>
      <c r="B770" s="1">
        <v>0</v>
      </c>
      <c r="C770" s="1" t="s">
        <v>1910</v>
      </c>
      <c r="D770" s="1" t="s">
        <v>27</v>
      </c>
      <c r="E770" s="1" t="s">
        <v>1911</v>
      </c>
      <c r="F770" s="1" t="s">
        <v>1344</v>
      </c>
      <c r="I770" s="16">
        <v>40513.780486111114</v>
      </c>
      <c r="J770" s="1" t="s">
        <v>261</v>
      </c>
      <c r="K770" s="1" t="s">
        <v>18</v>
      </c>
      <c r="L770" s="1" t="s">
        <v>19</v>
      </c>
    </row>
    <row r="771" spans="1:12" ht="13" x14ac:dyDescent="0.15">
      <c r="A771" s="1">
        <v>60327</v>
      </c>
      <c r="B771" s="1">
        <v>0</v>
      </c>
      <c r="C771" s="1" t="s">
        <v>26</v>
      </c>
      <c r="D771" s="1" t="s">
        <v>27</v>
      </c>
      <c r="E771" s="1" t="s">
        <v>1912</v>
      </c>
      <c r="F771" s="1" t="s">
        <v>1913</v>
      </c>
      <c r="G771" s="1" t="s">
        <v>23</v>
      </c>
      <c r="I771" s="16">
        <v>40473.732037037036</v>
      </c>
      <c r="J771" s="1" t="s">
        <v>1914</v>
      </c>
      <c r="K771" s="1" t="s">
        <v>18</v>
      </c>
      <c r="L771" s="1" t="s">
        <v>19</v>
      </c>
    </row>
    <row r="772" spans="1:12" ht="13" x14ac:dyDescent="0.15">
      <c r="A772" s="1">
        <v>429276</v>
      </c>
      <c r="B772" s="1">
        <v>0</v>
      </c>
      <c r="C772" s="1" t="s">
        <v>137</v>
      </c>
      <c r="D772" s="1" t="s">
        <v>27</v>
      </c>
      <c r="E772" s="1" t="s">
        <v>1915</v>
      </c>
      <c r="F772" s="1" t="s">
        <v>1916</v>
      </c>
      <c r="G772" s="1" t="s">
        <v>23</v>
      </c>
      <c r="I772" s="16">
        <v>41943.801840277774</v>
      </c>
      <c r="J772" s="1" t="s">
        <v>656</v>
      </c>
      <c r="K772" s="1" t="s">
        <v>18</v>
      </c>
      <c r="L772" s="1" t="s">
        <v>19</v>
      </c>
    </row>
    <row r="773" spans="1:12" ht="13" x14ac:dyDescent="0.15">
      <c r="A773" s="1">
        <v>236845</v>
      </c>
      <c r="B773" s="1">
        <v>0</v>
      </c>
      <c r="C773" s="1" t="s">
        <v>31</v>
      </c>
      <c r="D773" s="1" t="s">
        <v>27</v>
      </c>
      <c r="E773" s="1" t="s">
        <v>1917</v>
      </c>
      <c r="F773" s="1" t="s">
        <v>1918</v>
      </c>
      <c r="G773" s="1" t="s">
        <v>23</v>
      </c>
      <c r="I773" s="16">
        <v>41394.694074074076</v>
      </c>
      <c r="J773" s="1" t="s">
        <v>155</v>
      </c>
      <c r="K773" s="1" t="s">
        <v>18</v>
      </c>
      <c r="L773" s="1" t="s">
        <v>19</v>
      </c>
    </row>
    <row r="774" spans="1:12" ht="13" x14ac:dyDescent="0.15">
      <c r="A774" s="1">
        <v>319914</v>
      </c>
      <c r="B774" s="1">
        <v>0</v>
      </c>
      <c r="C774" s="1" t="s">
        <v>1391</v>
      </c>
      <c r="D774" s="1" t="s">
        <v>27</v>
      </c>
      <c r="E774" s="1" t="s">
        <v>1919</v>
      </c>
      <c r="F774" s="1" t="s">
        <v>1920</v>
      </c>
      <c r="G774" s="1" t="s">
        <v>23</v>
      </c>
      <c r="I774" s="16">
        <v>41593.730902777781</v>
      </c>
      <c r="J774" s="1" t="s">
        <v>17</v>
      </c>
      <c r="K774" s="1" t="s">
        <v>18</v>
      </c>
      <c r="L774" s="1" t="s">
        <v>19</v>
      </c>
    </row>
    <row r="775" spans="1:12" ht="13" x14ac:dyDescent="0.15">
      <c r="A775" s="1">
        <v>122208</v>
      </c>
      <c r="B775" s="1">
        <v>0</v>
      </c>
      <c r="C775" s="1" t="s">
        <v>26</v>
      </c>
      <c r="D775" s="1" t="s">
        <v>27</v>
      </c>
      <c r="E775" s="1" t="s">
        <v>1921</v>
      </c>
      <c r="F775" s="1" t="s">
        <v>1411</v>
      </c>
      <c r="G775" s="1" t="s">
        <v>23</v>
      </c>
      <c r="I775" s="16">
        <v>41004.813854166663</v>
      </c>
      <c r="J775" s="1" t="s">
        <v>1922</v>
      </c>
      <c r="K775" s="1" t="s">
        <v>18</v>
      </c>
      <c r="L775" s="1" t="s">
        <v>19</v>
      </c>
    </row>
    <row r="776" spans="1:12" ht="13" x14ac:dyDescent="0.15">
      <c r="A776" s="1">
        <v>80608</v>
      </c>
      <c r="B776" s="1">
        <v>0</v>
      </c>
      <c r="C776" s="1" t="s">
        <v>26</v>
      </c>
      <c r="D776" s="1" t="s">
        <v>27</v>
      </c>
      <c r="E776" s="1" t="s">
        <v>1923</v>
      </c>
      <c r="F776" s="1" t="s">
        <v>1924</v>
      </c>
      <c r="G776" s="1" t="s">
        <v>23</v>
      </c>
      <c r="I776" s="16">
        <v>40659.956655092596</v>
      </c>
      <c r="J776" s="1" t="s">
        <v>1925</v>
      </c>
      <c r="K776" s="1" t="s">
        <v>18</v>
      </c>
      <c r="L776" s="1" t="s">
        <v>19</v>
      </c>
    </row>
    <row r="777" spans="1:12" ht="13" x14ac:dyDescent="0.15">
      <c r="A777" s="1">
        <v>462843</v>
      </c>
      <c r="B777" s="1">
        <v>0</v>
      </c>
      <c r="D777" s="1" t="s">
        <v>27</v>
      </c>
      <c r="E777" s="1" t="s">
        <v>1926</v>
      </c>
      <c r="F777" s="1" t="s">
        <v>1927</v>
      </c>
      <c r="G777" s="1" t="s">
        <v>353</v>
      </c>
      <c r="I777" s="16">
        <v>42063.252222222225</v>
      </c>
      <c r="J777" s="1" t="s">
        <v>1928</v>
      </c>
      <c r="K777" s="1" t="s">
        <v>18</v>
      </c>
      <c r="L777" s="1" t="s">
        <v>19</v>
      </c>
    </row>
    <row r="778" spans="1:12" ht="13" x14ac:dyDescent="0.15">
      <c r="A778" s="1">
        <v>260106</v>
      </c>
      <c r="B778" s="1">
        <v>0</v>
      </c>
      <c r="C778" s="1" t="s">
        <v>101</v>
      </c>
      <c r="D778" s="1" t="s">
        <v>27</v>
      </c>
      <c r="E778" s="1" t="s">
        <v>1929</v>
      </c>
      <c r="F778" s="1" t="s">
        <v>1930</v>
      </c>
      <c r="G778" s="1" t="s">
        <v>23</v>
      </c>
      <c r="I778" s="16">
        <v>41468.551168981481</v>
      </c>
      <c r="J778" s="1" t="s">
        <v>68</v>
      </c>
      <c r="K778" s="1" t="s">
        <v>18</v>
      </c>
      <c r="L778" s="1" t="s">
        <v>19</v>
      </c>
    </row>
    <row r="779" spans="1:12" ht="13" x14ac:dyDescent="0.15">
      <c r="A779" s="1">
        <v>331790</v>
      </c>
      <c r="B779" s="1">
        <v>0</v>
      </c>
      <c r="D779" s="1" t="s">
        <v>27</v>
      </c>
      <c r="E779" s="1" t="s">
        <v>1931</v>
      </c>
      <c r="F779" s="1" t="s">
        <v>1932</v>
      </c>
      <c r="G779" s="1" t="s">
        <v>23</v>
      </c>
      <c r="I779" s="16">
        <v>41645.58734953704</v>
      </c>
      <c r="J779" s="1" t="s">
        <v>98</v>
      </c>
      <c r="K779" s="1" t="s">
        <v>18</v>
      </c>
      <c r="L779" s="1" t="s">
        <v>19</v>
      </c>
    </row>
    <row r="780" spans="1:12" ht="13" x14ac:dyDescent="0.15">
      <c r="A780" s="1">
        <v>109743</v>
      </c>
      <c r="B780" s="1">
        <v>0</v>
      </c>
      <c r="C780" s="1" t="s">
        <v>26</v>
      </c>
      <c r="D780" s="1" t="s">
        <v>27</v>
      </c>
      <c r="E780" s="1" t="s">
        <v>1933</v>
      </c>
      <c r="F780" s="1" t="s">
        <v>1934</v>
      </c>
      <c r="G780" s="1" t="s">
        <v>23</v>
      </c>
      <c r="I780" s="16">
        <v>40918.671493055554</v>
      </c>
      <c r="J780" s="1" t="s">
        <v>544</v>
      </c>
      <c r="K780" s="1" t="s">
        <v>18</v>
      </c>
      <c r="L780" s="1" t="s">
        <v>19</v>
      </c>
    </row>
    <row r="781" spans="1:12" ht="13" x14ac:dyDescent="0.15">
      <c r="A781" s="1">
        <v>116461</v>
      </c>
      <c r="B781" s="1">
        <v>0</v>
      </c>
      <c r="C781" s="1" t="s">
        <v>26</v>
      </c>
      <c r="D781" s="1" t="s">
        <v>27</v>
      </c>
      <c r="E781" s="1" t="s">
        <v>1935</v>
      </c>
      <c r="F781" s="1" t="s">
        <v>1936</v>
      </c>
      <c r="G781" s="1" t="s">
        <v>23</v>
      </c>
      <c r="I781" s="16">
        <v>40969.977175925924</v>
      </c>
      <c r="J781" s="1" t="s">
        <v>544</v>
      </c>
      <c r="K781" s="1" t="s">
        <v>18</v>
      </c>
      <c r="L781" s="1" t="s">
        <v>19</v>
      </c>
    </row>
    <row r="782" spans="1:12" ht="13" x14ac:dyDescent="0.15">
      <c r="A782" s="1">
        <v>124530</v>
      </c>
      <c r="B782" s="1">
        <v>0</v>
      </c>
      <c r="C782" s="1" t="s">
        <v>26</v>
      </c>
      <c r="D782" s="1" t="s">
        <v>27</v>
      </c>
      <c r="E782" s="1" t="s">
        <v>380</v>
      </c>
      <c r="F782" s="1" t="s">
        <v>1937</v>
      </c>
      <c r="G782" s="1" t="s">
        <v>23</v>
      </c>
      <c r="I782" s="16">
        <v>41020.30023148148</v>
      </c>
      <c r="J782" s="1" t="s">
        <v>155</v>
      </c>
      <c r="K782" s="1" t="s">
        <v>18</v>
      </c>
      <c r="L782" s="1" t="s">
        <v>19</v>
      </c>
    </row>
    <row r="783" spans="1:12" ht="13" x14ac:dyDescent="0.15">
      <c r="A783" s="1">
        <v>161564</v>
      </c>
      <c r="B783" s="1">
        <v>0</v>
      </c>
      <c r="C783" s="1" t="s">
        <v>170</v>
      </c>
      <c r="D783" s="1" t="s">
        <v>27</v>
      </c>
      <c r="E783" s="1" t="s">
        <v>1938</v>
      </c>
      <c r="F783" s="1" t="s">
        <v>1939</v>
      </c>
      <c r="G783" s="1" t="s">
        <v>23</v>
      </c>
      <c r="I783" s="16">
        <v>41229.948113425926</v>
      </c>
      <c r="J783" s="1" t="s">
        <v>193</v>
      </c>
      <c r="K783" s="1" t="s">
        <v>18</v>
      </c>
      <c r="L783" s="1" t="s">
        <v>19</v>
      </c>
    </row>
    <row r="784" spans="1:12" ht="13" x14ac:dyDescent="0.15">
      <c r="A784" s="1">
        <v>243818</v>
      </c>
      <c r="B784" s="1">
        <v>0</v>
      </c>
      <c r="C784" s="1" t="s">
        <v>26</v>
      </c>
      <c r="D784" s="1" t="s">
        <v>27</v>
      </c>
      <c r="E784" s="1" t="s">
        <v>1940</v>
      </c>
      <c r="F784" s="1" t="s">
        <v>1941</v>
      </c>
      <c r="G784" s="1" t="s">
        <v>23</v>
      </c>
      <c r="I784" s="16">
        <v>41418.779722222222</v>
      </c>
      <c r="J784" s="1" t="s">
        <v>44</v>
      </c>
      <c r="K784" s="1" t="s">
        <v>18</v>
      </c>
      <c r="L784" s="1" t="s">
        <v>19</v>
      </c>
    </row>
    <row r="785" spans="1:36" ht="13" x14ac:dyDescent="0.15">
      <c r="A785" s="1">
        <v>71545</v>
      </c>
      <c r="B785" s="1">
        <v>0</v>
      </c>
      <c r="C785" s="1" t="s">
        <v>145</v>
      </c>
      <c r="D785" s="1" t="s">
        <v>27</v>
      </c>
      <c r="E785" s="1" t="s">
        <v>1942</v>
      </c>
      <c r="F785" s="1" t="s">
        <v>1943</v>
      </c>
      <c r="G785" s="1" t="s">
        <v>23</v>
      </c>
      <c r="I785" s="16">
        <v>40575.588252314818</v>
      </c>
      <c r="J785" s="1" t="s">
        <v>445</v>
      </c>
      <c r="K785" s="1" t="s">
        <v>18</v>
      </c>
      <c r="L785" s="1" t="s">
        <v>19</v>
      </c>
    </row>
    <row r="786" spans="1:36" ht="13" x14ac:dyDescent="0.15">
      <c r="A786" s="1">
        <v>89522</v>
      </c>
      <c r="B786" s="1">
        <v>0</v>
      </c>
      <c r="C786" s="1" t="s">
        <v>26</v>
      </c>
      <c r="D786" s="1" t="s">
        <v>27</v>
      </c>
      <c r="E786" s="1" t="s">
        <v>1944</v>
      </c>
      <c r="F786" s="1" t="s">
        <v>1945</v>
      </c>
      <c r="G786" s="1" t="s">
        <v>23</v>
      </c>
      <c r="I786" s="16">
        <v>40740.827986111108</v>
      </c>
      <c r="J786" s="1" t="s">
        <v>40</v>
      </c>
      <c r="K786" s="1" t="s">
        <v>18</v>
      </c>
      <c r="L786" s="1" t="s">
        <v>19</v>
      </c>
    </row>
    <row r="787" spans="1:36" ht="13" x14ac:dyDescent="0.15">
      <c r="A787" s="1">
        <v>422765</v>
      </c>
      <c r="B787" s="1">
        <v>0</v>
      </c>
      <c r="D787" s="1" t="s">
        <v>27</v>
      </c>
      <c r="E787" s="1" t="s">
        <v>1946</v>
      </c>
      <c r="F787" s="1" t="s">
        <v>1947</v>
      </c>
      <c r="G787" s="1" t="s">
        <v>23</v>
      </c>
      <c r="I787" s="16">
        <v>41924.627083333333</v>
      </c>
      <c r="J787" s="1" t="s">
        <v>17</v>
      </c>
      <c r="K787" s="1" t="s">
        <v>18</v>
      </c>
      <c r="L787" s="1" t="s">
        <v>19</v>
      </c>
    </row>
    <row r="788" spans="1:36" ht="13" x14ac:dyDescent="0.15">
      <c r="A788" s="1">
        <v>572871</v>
      </c>
      <c r="B788" s="1">
        <v>0</v>
      </c>
      <c r="C788" s="1" t="s">
        <v>12</v>
      </c>
      <c r="D788" s="1" t="s">
        <v>27</v>
      </c>
      <c r="E788" s="1" t="s">
        <v>1948</v>
      </c>
      <c r="F788" s="1" t="s">
        <v>1949</v>
      </c>
      <c r="I788" s="16">
        <v>42367.564930555556</v>
      </c>
      <c r="J788" s="1" t="s">
        <v>76</v>
      </c>
      <c r="K788" s="1" t="s">
        <v>18</v>
      </c>
      <c r="L788" s="1" t="s">
        <v>19</v>
      </c>
    </row>
    <row r="789" spans="1:36" ht="13" x14ac:dyDescent="0.15">
      <c r="A789" s="1">
        <v>83012</v>
      </c>
      <c r="B789" s="1">
        <v>0</v>
      </c>
      <c r="C789" s="1" t="s">
        <v>26</v>
      </c>
      <c r="D789" s="1" t="s">
        <v>27</v>
      </c>
      <c r="E789" s="1" t="s">
        <v>1950</v>
      </c>
      <c r="F789" s="1" t="s">
        <v>1951</v>
      </c>
      <c r="G789" s="1" t="s">
        <v>23</v>
      </c>
      <c r="I789" s="16">
        <v>40681.184189814812</v>
      </c>
      <c r="J789" s="1" t="s">
        <v>40</v>
      </c>
      <c r="K789" s="1" t="s">
        <v>18</v>
      </c>
      <c r="L789" s="1" t="s">
        <v>19</v>
      </c>
    </row>
    <row r="790" spans="1:36" ht="13" x14ac:dyDescent="0.15">
      <c r="A790" s="1">
        <v>688569</v>
      </c>
      <c r="B790" s="1">
        <v>0</v>
      </c>
      <c r="C790" s="1" t="s">
        <v>77</v>
      </c>
      <c r="D790" s="1" t="s">
        <v>27</v>
      </c>
      <c r="E790" s="1" t="s">
        <v>1952</v>
      </c>
      <c r="F790" s="1" t="s">
        <v>1953</v>
      </c>
      <c r="G790" s="1" t="s">
        <v>23</v>
      </c>
      <c r="I790" s="16">
        <v>42769.956041666665</v>
      </c>
      <c r="J790" s="1" t="s">
        <v>24</v>
      </c>
      <c r="K790" s="1" t="s">
        <v>18</v>
      </c>
      <c r="L790" s="1" t="s">
        <v>19</v>
      </c>
    </row>
    <row r="791" spans="1:36" ht="13" x14ac:dyDescent="0.15">
      <c r="A791" s="1">
        <v>230117</v>
      </c>
      <c r="B791" s="1">
        <v>2</v>
      </c>
      <c r="C791" s="1" t="s">
        <v>50</v>
      </c>
      <c r="D791" s="1" t="s">
        <v>27</v>
      </c>
      <c r="E791" s="1" t="s">
        <v>1954</v>
      </c>
      <c r="F791" s="1" t="s">
        <v>1955</v>
      </c>
      <c r="G791" s="1" t="s">
        <v>23</v>
      </c>
      <c r="I791" s="16">
        <v>41374.944386574076</v>
      </c>
      <c r="J791" s="1" t="s">
        <v>1956</v>
      </c>
      <c r="K791" s="1" t="s">
        <v>18</v>
      </c>
      <c r="L791" s="1" t="s">
        <v>19</v>
      </c>
      <c r="M791" s="1">
        <v>234636</v>
      </c>
      <c r="N791" s="1" t="s">
        <v>1957</v>
      </c>
      <c r="O791" s="16">
        <v>41387.659108796295</v>
      </c>
      <c r="P791" s="1" t="s">
        <v>40</v>
      </c>
      <c r="Q791" s="1">
        <v>170146</v>
      </c>
      <c r="R791" s="1" t="s">
        <v>1957</v>
      </c>
      <c r="S791" s="2">
        <v>41289.854675925926</v>
      </c>
      <c r="T791" s="1" t="s">
        <v>155</v>
      </c>
    </row>
    <row r="792" spans="1:36" ht="13" x14ac:dyDescent="0.15">
      <c r="A792" s="1">
        <v>120007</v>
      </c>
      <c r="B792" s="1">
        <v>1</v>
      </c>
      <c r="C792" s="1" t="s">
        <v>26</v>
      </c>
      <c r="D792" s="1" t="s">
        <v>27</v>
      </c>
      <c r="E792" s="1" t="s">
        <v>1958</v>
      </c>
      <c r="F792" s="1" t="s">
        <v>1959</v>
      </c>
      <c r="G792" s="1" t="s">
        <v>23</v>
      </c>
      <c r="I792" s="16">
        <v>40993.291759259257</v>
      </c>
      <c r="J792" s="1" t="s">
        <v>40</v>
      </c>
      <c r="K792" s="1" t="s">
        <v>18</v>
      </c>
      <c r="L792" s="1" t="s">
        <v>19</v>
      </c>
      <c r="M792" s="1">
        <v>121284</v>
      </c>
      <c r="N792" s="1" t="s">
        <v>1960</v>
      </c>
      <c r="O792" s="16">
        <v>40999.665810185186</v>
      </c>
      <c r="P792" s="1" t="s">
        <v>544</v>
      </c>
    </row>
    <row r="793" spans="1:36" ht="13" x14ac:dyDescent="0.15">
      <c r="A793" s="1">
        <v>120006</v>
      </c>
      <c r="B793" s="1">
        <v>1</v>
      </c>
      <c r="C793" s="1" t="s">
        <v>26</v>
      </c>
      <c r="D793" s="1" t="s">
        <v>27</v>
      </c>
      <c r="E793" s="1" t="s">
        <v>1961</v>
      </c>
      <c r="F793" s="1" t="s">
        <v>381</v>
      </c>
      <c r="G793" s="1" t="s">
        <v>23</v>
      </c>
      <c r="I793" s="16">
        <v>40993.291273148148</v>
      </c>
      <c r="J793" s="1" t="s">
        <v>40</v>
      </c>
      <c r="K793" s="1" t="s">
        <v>18</v>
      </c>
      <c r="L793" s="1" t="s">
        <v>19</v>
      </c>
      <c r="M793" s="1">
        <v>115912</v>
      </c>
      <c r="N793" s="1" t="s">
        <v>1962</v>
      </c>
      <c r="O793" s="16">
        <v>40966.823344907411</v>
      </c>
      <c r="P793" s="1" t="s">
        <v>44</v>
      </c>
    </row>
    <row r="794" spans="1:36" ht="13" x14ac:dyDescent="0.15">
      <c r="A794" s="1">
        <v>153184</v>
      </c>
      <c r="B794" s="1">
        <v>6</v>
      </c>
      <c r="C794" s="1" t="s">
        <v>26</v>
      </c>
      <c r="D794" s="1" t="s">
        <v>27</v>
      </c>
      <c r="E794" s="1" t="s">
        <v>1963</v>
      </c>
      <c r="F794" s="1" t="s">
        <v>581</v>
      </c>
      <c r="G794" s="1" t="s">
        <v>23</v>
      </c>
      <c r="I794" s="16">
        <v>41182.255578703705</v>
      </c>
      <c r="J794" s="1" t="s">
        <v>40</v>
      </c>
      <c r="K794" s="1" t="s">
        <v>18</v>
      </c>
      <c r="L794" s="1" t="s">
        <v>19</v>
      </c>
      <c r="M794" s="1">
        <v>168504</v>
      </c>
      <c r="N794" s="1" t="s">
        <v>1964</v>
      </c>
      <c r="O794" s="16">
        <v>41280.697812500002</v>
      </c>
      <c r="P794" s="1" t="s">
        <v>261</v>
      </c>
      <c r="Q794" s="1">
        <v>167463</v>
      </c>
      <c r="R794" s="1" t="s">
        <v>1964</v>
      </c>
      <c r="S794" s="2">
        <v>41266.519479166665</v>
      </c>
      <c r="T794" s="1" t="s">
        <v>1965</v>
      </c>
      <c r="U794" s="1">
        <v>154881</v>
      </c>
      <c r="V794" s="1" t="s">
        <v>1964</v>
      </c>
      <c r="W794" s="4">
        <v>41191.862256944441</v>
      </c>
      <c r="X794" s="1" t="s">
        <v>44</v>
      </c>
      <c r="Y794" s="1">
        <v>154487</v>
      </c>
      <c r="Z794" s="1" t="s">
        <v>1964</v>
      </c>
      <c r="AA794" s="4">
        <v>41189.263842592591</v>
      </c>
      <c r="AB794" s="1" t="s">
        <v>408</v>
      </c>
      <c r="AC794" s="1">
        <v>154385</v>
      </c>
      <c r="AD794" s="1" t="s">
        <v>1964</v>
      </c>
      <c r="AE794" s="4">
        <v>41187.916643518518</v>
      </c>
      <c r="AF794" s="1" t="s">
        <v>155</v>
      </c>
      <c r="AG794" s="1">
        <v>155708</v>
      </c>
      <c r="AH794" s="1" t="s">
        <v>1966</v>
      </c>
      <c r="AI794" s="2">
        <v>41195.705057870371</v>
      </c>
      <c r="AJ794" s="1" t="s">
        <v>544</v>
      </c>
    </row>
    <row r="795" spans="1:36" ht="13" x14ac:dyDescent="0.15">
      <c r="A795" s="1">
        <v>240449</v>
      </c>
      <c r="B795" s="1">
        <v>0</v>
      </c>
      <c r="C795" s="1" t="s">
        <v>1967</v>
      </c>
      <c r="D795" s="1" t="s">
        <v>27</v>
      </c>
      <c r="E795" s="1" t="s">
        <v>1968</v>
      </c>
      <c r="F795" s="1" t="s">
        <v>1969</v>
      </c>
      <c r="G795" s="1" t="s">
        <v>23</v>
      </c>
      <c r="I795" s="16">
        <v>41407.883993055555</v>
      </c>
      <c r="J795" s="1" t="s">
        <v>1970</v>
      </c>
      <c r="K795" s="1" t="s">
        <v>18</v>
      </c>
      <c r="L795" s="1" t="s">
        <v>19</v>
      </c>
    </row>
    <row r="796" spans="1:36" ht="13" x14ac:dyDescent="0.15">
      <c r="A796" s="1">
        <v>125563</v>
      </c>
      <c r="B796" s="1">
        <v>0</v>
      </c>
      <c r="C796" s="1" t="s">
        <v>26</v>
      </c>
      <c r="D796" s="1" t="s">
        <v>27</v>
      </c>
      <c r="E796" s="1" t="s">
        <v>58</v>
      </c>
      <c r="F796" s="1" t="s">
        <v>1971</v>
      </c>
      <c r="G796" s="1" t="s">
        <v>23</v>
      </c>
      <c r="I796" s="16">
        <v>41029.679988425924</v>
      </c>
      <c r="J796" s="1" t="s">
        <v>155</v>
      </c>
      <c r="K796" s="1" t="s">
        <v>18</v>
      </c>
      <c r="L796" s="1" t="s">
        <v>19</v>
      </c>
    </row>
    <row r="797" spans="1:36" ht="13" x14ac:dyDescent="0.15">
      <c r="A797" s="1">
        <v>96902</v>
      </c>
      <c r="B797" s="1">
        <v>0</v>
      </c>
      <c r="C797" s="1" t="s">
        <v>26</v>
      </c>
      <c r="D797" s="1" t="s">
        <v>27</v>
      </c>
      <c r="E797" s="1" t="s">
        <v>1972</v>
      </c>
      <c r="F797" s="1" t="s">
        <v>1973</v>
      </c>
      <c r="G797" s="1" t="s">
        <v>23</v>
      </c>
      <c r="I797" s="16">
        <v>40802.872928240744</v>
      </c>
      <c r="J797" s="1" t="s">
        <v>44</v>
      </c>
      <c r="K797" s="1" t="s">
        <v>18</v>
      </c>
      <c r="L797" s="1" t="s">
        <v>19</v>
      </c>
    </row>
    <row r="798" spans="1:36" ht="13" x14ac:dyDescent="0.15">
      <c r="A798" s="1">
        <v>44500</v>
      </c>
      <c r="B798" s="1">
        <v>0</v>
      </c>
      <c r="C798" s="1" t="s">
        <v>26</v>
      </c>
      <c r="D798" s="1" t="s">
        <v>27</v>
      </c>
      <c r="E798" s="1" t="s">
        <v>1974</v>
      </c>
      <c r="F798" s="1" t="s">
        <v>1975</v>
      </c>
      <c r="I798" s="16">
        <v>40316.862569444442</v>
      </c>
      <c r="J798" s="1" t="s">
        <v>398</v>
      </c>
      <c r="K798" s="1" t="s">
        <v>18</v>
      </c>
      <c r="L798" s="1" t="s">
        <v>19</v>
      </c>
    </row>
    <row r="799" spans="1:36" ht="13" x14ac:dyDescent="0.15">
      <c r="A799" s="1">
        <v>110849</v>
      </c>
      <c r="B799" s="1">
        <v>0</v>
      </c>
      <c r="C799" s="1" t="s">
        <v>373</v>
      </c>
      <c r="D799" s="1" t="s">
        <v>27</v>
      </c>
      <c r="E799" s="1" t="s">
        <v>1976</v>
      </c>
      <c r="F799" s="1" t="s">
        <v>1977</v>
      </c>
      <c r="G799" s="1" t="s">
        <v>23</v>
      </c>
      <c r="I799" s="16">
        <v>40928.256493055553</v>
      </c>
      <c r="J799" s="1" t="s">
        <v>40</v>
      </c>
      <c r="K799" s="1" t="s">
        <v>18</v>
      </c>
      <c r="L799" s="1" t="s">
        <v>19</v>
      </c>
    </row>
    <row r="800" spans="1:36" ht="13" x14ac:dyDescent="0.15">
      <c r="A800" s="1">
        <v>395461</v>
      </c>
      <c r="B800" s="1">
        <v>0</v>
      </c>
      <c r="C800" s="1" t="s">
        <v>12</v>
      </c>
      <c r="D800" s="1" t="s">
        <v>27</v>
      </c>
      <c r="E800" s="1" t="s">
        <v>1978</v>
      </c>
      <c r="F800" s="1" t="s">
        <v>1979</v>
      </c>
      <c r="G800" s="1" t="s">
        <v>23</v>
      </c>
      <c r="I800" s="16">
        <v>41840.589826388888</v>
      </c>
      <c r="J800" s="1" t="s">
        <v>17</v>
      </c>
      <c r="K800" s="1" t="s">
        <v>18</v>
      </c>
      <c r="L800" s="1" t="s">
        <v>19</v>
      </c>
    </row>
    <row r="801" spans="1:24" ht="13" x14ac:dyDescent="0.15">
      <c r="A801" s="1">
        <v>668552</v>
      </c>
      <c r="B801" s="1">
        <v>0</v>
      </c>
      <c r="C801" s="1" t="s">
        <v>77</v>
      </c>
      <c r="D801" s="1" t="s">
        <v>27</v>
      </c>
      <c r="E801" s="1" t="s">
        <v>1980</v>
      </c>
      <c r="F801" s="1" t="s">
        <v>1981</v>
      </c>
      <c r="G801" s="1" t="s">
        <v>23</v>
      </c>
      <c r="I801" s="16">
        <v>42698.958715277775</v>
      </c>
      <c r="J801" s="1" t="s">
        <v>247</v>
      </c>
      <c r="K801" s="1" t="s">
        <v>18</v>
      </c>
      <c r="L801" s="1" t="s">
        <v>19</v>
      </c>
    </row>
    <row r="802" spans="1:24" ht="13" x14ac:dyDescent="0.15">
      <c r="A802" s="1">
        <v>82516</v>
      </c>
      <c r="B802" s="1">
        <v>1</v>
      </c>
      <c r="C802" s="1" t="s">
        <v>26</v>
      </c>
      <c r="D802" s="1" t="s">
        <v>27</v>
      </c>
      <c r="E802" s="1" t="s">
        <v>1982</v>
      </c>
      <c r="F802" s="1" t="s">
        <v>1983</v>
      </c>
      <c r="G802" s="1" t="s">
        <v>23</v>
      </c>
      <c r="I802" s="16">
        <v>40676.322442129633</v>
      </c>
      <c r="J802" s="1" t="s">
        <v>445</v>
      </c>
      <c r="K802" s="1" t="s">
        <v>18</v>
      </c>
      <c r="L802" s="1" t="s">
        <v>19</v>
      </c>
      <c r="M802" s="1">
        <v>82910</v>
      </c>
      <c r="N802" s="1" t="s">
        <v>1984</v>
      </c>
      <c r="O802" s="16">
        <v>40680.593298611115</v>
      </c>
      <c r="P802" s="1" t="s">
        <v>263</v>
      </c>
    </row>
    <row r="803" spans="1:24" ht="13" x14ac:dyDescent="0.15">
      <c r="A803" s="1">
        <v>607483</v>
      </c>
      <c r="B803" s="1">
        <v>0</v>
      </c>
      <c r="C803" s="1" t="s">
        <v>77</v>
      </c>
      <c r="D803" s="1" t="s">
        <v>27</v>
      </c>
      <c r="E803" s="1" t="s">
        <v>1985</v>
      </c>
      <c r="F803" s="1" t="s">
        <v>1986</v>
      </c>
      <c r="G803" s="1" t="s">
        <v>23</v>
      </c>
      <c r="I803" s="16">
        <v>42488.44158564815</v>
      </c>
      <c r="J803" s="1" t="s">
        <v>1987</v>
      </c>
      <c r="K803" s="1" t="s">
        <v>18</v>
      </c>
      <c r="L803" s="1" t="s">
        <v>19</v>
      </c>
    </row>
    <row r="804" spans="1:24" ht="13" x14ac:dyDescent="0.15">
      <c r="A804" s="1">
        <v>73526</v>
      </c>
      <c r="B804" s="1">
        <v>0</v>
      </c>
      <c r="C804" s="1" t="s">
        <v>26</v>
      </c>
      <c r="D804" s="1" t="s">
        <v>27</v>
      </c>
      <c r="E804" s="1" t="s">
        <v>1988</v>
      </c>
      <c r="F804" s="1" t="s">
        <v>1989</v>
      </c>
      <c r="G804" s="1" t="s">
        <v>23</v>
      </c>
      <c r="I804" s="16">
        <v>40593.592268518521</v>
      </c>
      <c r="J804" s="1" t="s">
        <v>44</v>
      </c>
      <c r="K804" s="1" t="s">
        <v>18</v>
      </c>
      <c r="L804" s="1" t="s">
        <v>19</v>
      </c>
    </row>
    <row r="805" spans="1:24" ht="13" x14ac:dyDescent="0.15">
      <c r="A805" s="1">
        <v>70078</v>
      </c>
      <c r="B805" s="1">
        <v>0</v>
      </c>
      <c r="C805" s="1" t="s">
        <v>1990</v>
      </c>
      <c r="D805" s="1" t="s">
        <v>27</v>
      </c>
      <c r="E805" s="1" t="s">
        <v>1991</v>
      </c>
      <c r="F805" s="1" t="s">
        <v>1992</v>
      </c>
      <c r="I805" s="16">
        <v>40562.346493055556</v>
      </c>
      <c r="J805" s="1" t="s">
        <v>1993</v>
      </c>
      <c r="K805" s="1" t="s">
        <v>18</v>
      </c>
      <c r="L805" s="1" t="s">
        <v>19</v>
      </c>
    </row>
    <row r="806" spans="1:24" ht="13" x14ac:dyDescent="0.15">
      <c r="A806" s="1">
        <v>71388</v>
      </c>
      <c r="B806" s="1">
        <v>0</v>
      </c>
      <c r="C806" s="1" t="s">
        <v>133</v>
      </c>
      <c r="D806" s="1" t="s">
        <v>27</v>
      </c>
      <c r="E806" s="1" t="s">
        <v>1994</v>
      </c>
      <c r="F806" s="1" t="s">
        <v>430</v>
      </c>
      <c r="G806" s="1" t="s">
        <v>23</v>
      </c>
      <c r="I806" s="16">
        <v>40574.374305555553</v>
      </c>
      <c r="J806" s="1" t="s">
        <v>30</v>
      </c>
      <c r="K806" s="1" t="s">
        <v>18</v>
      </c>
      <c r="L806" s="1" t="s">
        <v>19</v>
      </c>
    </row>
    <row r="807" spans="1:24" ht="13" x14ac:dyDescent="0.15">
      <c r="A807" s="1">
        <v>71386</v>
      </c>
      <c r="B807" s="1">
        <v>0</v>
      </c>
      <c r="C807" s="1" t="s">
        <v>26</v>
      </c>
      <c r="D807" s="1" t="s">
        <v>27</v>
      </c>
      <c r="E807" s="1" t="s">
        <v>1995</v>
      </c>
      <c r="F807" s="1" t="s">
        <v>430</v>
      </c>
      <c r="G807" s="1" t="s">
        <v>23</v>
      </c>
      <c r="I807" s="16">
        <v>40574.372141203705</v>
      </c>
      <c r="J807" s="1" t="s">
        <v>30</v>
      </c>
      <c r="K807" s="1" t="s">
        <v>18</v>
      </c>
      <c r="L807" s="1" t="s">
        <v>19</v>
      </c>
    </row>
    <row r="808" spans="1:24" ht="13" x14ac:dyDescent="0.15">
      <c r="A808" s="1">
        <v>123481</v>
      </c>
      <c r="B808" s="1">
        <v>0</v>
      </c>
      <c r="C808" s="1" t="s">
        <v>1910</v>
      </c>
      <c r="D808" s="1" t="s">
        <v>27</v>
      </c>
      <c r="E808" s="1" t="s">
        <v>1996</v>
      </c>
      <c r="F808" s="1" t="s">
        <v>1997</v>
      </c>
      <c r="G808" s="1" t="s">
        <v>23</v>
      </c>
      <c r="I808" s="16">
        <v>41013.747164351851</v>
      </c>
      <c r="J808" s="1" t="s">
        <v>1998</v>
      </c>
      <c r="K808" s="1" t="s">
        <v>18</v>
      </c>
      <c r="L808" s="1" t="s">
        <v>19</v>
      </c>
    </row>
    <row r="809" spans="1:24" ht="13" x14ac:dyDescent="0.15">
      <c r="A809" s="1">
        <v>444695</v>
      </c>
      <c r="B809" s="1">
        <v>0</v>
      </c>
      <c r="C809" s="1" t="s">
        <v>101</v>
      </c>
      <c r="D809" s="1" t="s">
        <v>27</v>
      </c>
      <c r="E809" s="1" t="s">
        <v>877</v>
      </c>
      <c r="F809" s="1" t="s">
        <v>1999</v>
      </c>
      <c r="G809" s="1" t="s">
        <v>23</v>
      </c>
      <c r="I809" s="16">
        <v>41995.960370370369</v>
      </c>
      <c r="J809" s="1" t="s">
        <v>17</v>
      </c>
      <c r="K809" s="1" t="s">
        <v>18</v>
      </c>
      <c r="L809" s="1" t="s">
        <v>19</v>
      </c>
    </row>
    <row r="810" spans="1:24" ht="13" x14ac:dyDescent="0.15">
      <c r="A810" s="1">
        <v>574802</v>
      </c>
      <c r="B810" s="1">
        <v>0</v>
      </c>
      <c r="C810" s="1" t="s">
        <v>663</v>
      </c>
      <c r="D810" s="1" t="s">
        <v>27</v>
      </c>
      <c r="E810" s="1" t="s">
        <v>2000</v>
      </c>
      <c r="F810" s="1" t="s">
        <v>2001</v>
      </c>
      <c r="G810" s="1" t="s">
        <v>16</v>
      </c>
      <c r="I810" s="16">
        <v>42375.626377314817</v>
      </c>
      <c r="J810" s="1" t="s">
        <v>408</v>
      </c>
      <c r="K810" s="1" t="s">
        <v>18</v>
      </c>
      <c r="L810" s="1" t="s">
        <v>19</v>
      </c>
    </row>
    <row r="811" spans="1:24" ht="13" x14ac:dyDescent="0.15">
      <c r="A811" s="1">
        <v>459043</v>
      </c>
      <c r="B811" s="1">
        <v>3</v>
      </c>
      <c r="C811" s="1" t="s">
        <v>1313</v>
      </c>
      <c r="D811" s="1" t="s">
        <v>27</v>
      </c>
      <c r="E811" s="1" t="s">
        <v>2002</v>
      </c>
      <c r="F811" s="1" t="s">
        <v>2003</v>
      </c>
      <c r="G811" s="1" t="s">
        <v>23</v>
      </c>
      <c r="I811" s="16">
        <v>42051.783750000002</v>
      </c>
      <c r="J811" s="1" t="s">
        <v>2004</v>
      </c>
      <c r="K811" s="1" t="s">
        <v>18</v>
      </c>
      <c r="L811" s="1" t="s">
        <v>19</v>
      </c>
      <c r="M811" s="1">
        <v>464252</v>
      </c>
      <c r="N811" s="1" t="s">
        <v>2005</v>
      </c>
      <c r="O811" s="16">
        <v>42068.213865740741</v>
      </c>
      <c r="P811" s="1" t="s">
        <v>2006</v>
      </c>
      <c r="Q811" s="1">
        <v>458874</v>
      </c>
      <c r="R811" s="1" t="s">
        <v>2005</v>
      </c>
      <c r="S811" s="2">
        <v>42050.989618055559</v>
      </c>
      <c r="T811" s="1" t="s">
        <v>17</v>
      </c>
      <c r="U811" s="1">
        <v>454223</v>
      </c>
      <c r="V811" s="1" t="s">
        <v>2005</v>
      </c>
      <c r="W811" s="4">
        <v>42036.807083333333</v>
      </c>
      <c r="X811" s="1" t="s">
        <v>2007</v>
      </c>
    </row>
    <row r="812" spans="1:24" ht="13" x14ac:dyDescent="0.15">
      <c r="A812" s="1">
        <v>59320</v>
      </c>
      <c r="B812" s="1">
        <v>0</v>
      </c>
      <c r="C812" s="1" t="s">
        <v>26</v>
      </c>
      <c r="D812" s="1" t="s">
        <v>27</v>
      </c>
      <c r="E812" s="1" t="s">
        <v>2008</v>
      </c>
      <c r="F812" s="1" t="s">
        <v>2009</v>
      </c>
      <c r="G812" s="1" t="s">
        <v>16</v>
      </c>
      <c r="I812" s="16">
        <v>40466.231840277775</v>
      </c>
      <c r="J812" s="1" t="s">
        <v>190</v>
      </c>
      <c r="K812" s="1" t="s">
        <v>18</v>
      </c>
      <c r="L812" s="1" t="s">
        <v>19</v>
      </c>
    </row>
    <row r="813" spans="1:24" ht="13" x14ac:dyDescent="0.15">
      <c r="A813" s="1">
        <v>90668</v>
      </c>
      <c r="B813" s="1">
        <v>0</v>
      </c>
      <c r="C813" s="1" t="s">
        <v>26</v>
      </c>
      <c r="D813" s="1" t="s">
        <v>27</v>
      </c>
      <c r="E813" s="1" t="s">
        <v>2010</v>
      </c>
      <c r="F813" s="1" t="s">
        <v>2011</v>
      </c>
      <c r="G813" s="1" t="s">
        <v>23</v>
      </c>
      <c r="I813" s="16">
        <v>40751.638807870368</v>
      </c>
      <c r="J813" s="1" t="s">
        <v>44</v>
      </c>
      <c r="K813" s="1" t="s">
        <v>18</v>
      </c>
      <c r="L813" s="1" t="s">
        <v>19</v>
      </c>
    </row>
    <row r="814" spans="1:24" ht="13" x14ac:dyDescent="0.15">
      <c r="A814" s="1">
        <v>425040</v>
      </c>
      <c r="B814" s="1">
        <v>1</v>
      </c>
      <c r="C814" s="1" t="s">
        <v>12</v>
      </c>
      <c r="D814" s="1" t="s">
        <v>27</v>
      </c>
      <c r="E814" s="1" t="s">
        <v>2012</v>
      </c>
      <c r="F814" s="1" t="s">
        <v>2013</v>
      </c>
      <c r="G814" s="1" t="s">
        <v>23</v>
      </c>
      <c r="I814" s="16">
        <v>41932.372002314813</v>
      </c>
      <c r="J814" s="1" t="s">
        <v>17</v>
      </c>
      <c r="K814" s="1" t="s">
        <v>18</v>
      </c>
      <c r="L814" s="1" t="s">
        <v>19</v>
      </c>
      <c r="M814" s="1">
        <v>439776</v>
      </c>
      <c r="N814" s="1" t="s">
        <v>2014</v>
      </c>
      <c r="O814" s="16">
        <v>41980.362013888887</v>
      </c>
      <c r="P814" s="1" t="s">
        <v>408</v>
      </c>
    </row>
    <row r="815" spans="1:24" ht="13" x14ac:dyDescent="0.15">
      <c r="A815" s="1">
        <v>117409</v>
      </c>
      <c r="B815" s="1">
        <v>0</v>
      </c>
      <c r="C815" s="1" t="s">
        <v>145</v>
      </c>
      <c r="D815" s="1" t="s">
        <v>27</v>
      </c>
      <c r="E815" s="1" t="s">
        <v>2015</v>
      </c>
      <c r="F815" s="1" t="s">
        <v>2016</v>
      </c>
      <c r="G815" s="1" t="s">
        <v>23</v>
      </c>
      <c r="I815" s="16">
        <v>40976.756249999999</v>
      </c>
      <c r="J815" s="1" t="s">
        <v>2017</v>
      </c>
      <c r="K815" s="1" t="s">
        <v>18</v>
      </c>
      <c r="L815" s="1" t="s">
        <v>19</v>
      </c>
    </row>
    <row r="816" spans="1:24" ht="13" x14ac:dyDescent="0.15">
      <c r="A816" s="1">
        <v>609680</v>
      </c>
      <c r="B816" s="1">
        <v>2</v>
      </c>
      <c r="C816" s="1" t="s">
        <v>2018</v>
      </c>
      <c r="D816" s="1" t="s">
        <v>27</v>
      </c>
      <c r="E816" s="1" t="s">
        <v>2019</v>
      </c>
      <c r="F816" s="1" t="s">
        <v>2020</v>
      </c>
      <c r="G816" s="1" t="s">
        <v>353</v>
      </c>
      <c r="I816" s="16">
        <v>42496.057789351849</v>
      </c>
      <c r="J816" s="1" t="s">
        <v>2021</v>
      </c>
      <c r="K816" s="1" t="s">
        <v>18</v>
      </c>
      <c r="L816" s="1" t="s">
        <v>19</v>
      </c>
      <c r="M816" s="1">
        <v>633638</v>
      </c>
      <c r="N816" s="1" t="s">
        <v>2022</v>
      </c>
      <c r="O816" s="16">
        <v>42584.752187500002</v>
      </c>
      <c r="P816" s="1" t="s">
        <v>98</v>
      </c>
      <c r="Q816" s="1">
        <v>612207</v>
      </c>
      <c r="R816" s="1" t="s">
        <v>2022</v>
      </c>
      <c r="S816" s="3">
        <v>42506.750381944446</v>
      </c>
      <c r="T816" s="1" t="s">
        <v>2023</v>
      </c>
    </row>
    <row r="817" spans="1:20" ht="13" x14ac:dyDescent="0.15">
      <c r="A817" s="1">
        <v>292679</v>
      </c>
      <c r="B817" s="1">
        <v>0</v>
      </c>
      <c r="C817" s="1" t="s">
        <v>156</v>
      </c>
      <c r="D817" s="1" t="s">
        <v>27</v>
      </c>
      <c r="E817" s="1" t="s">
        <v>2024</v>
      </c>
      <c r="F817" s="1" t="s">
        <v>2025</v>
      </c>
      <c r="G817" s="1" t="s">
        <v>23</v>
      </c>
      <c r="I817" s="16">
        <v>41533.627326388887</v>
      </c>
      <c r="J817" s="1" t="s">
        <v>17</v>
      </c>
      <c r="K817" s="1" t="s">
        <v>18</v>
      </c>
      <c r="L817" s="1" t="s">
        <v>19</v>
      </c>
    </row>
    <row r="818" spans="1:20" ht="13" x14ac:dyDescent="0.15">
      <c r="A818" s="1">
        <v>115471</v>
      </c>
      <c r="B818" s="1">
        <v>0</v>
      </c>
      <c r="C818" s="1" t="s">
        <v>170</v>
      </c>
      <c r="D818" s="1" t="s">
        <v>27</v>
      </c>
      <c r="E818" s="1" t="s">
        <v>2026</v>
      </c>
      <c r="F818" s="1" t="s">
        <v>2027</v>
      </c>
      <c r="G818" s="1" t="s">
        <v>23</v>
      </c>
      <c r="I818" s="16">
        <v>40962.645405092589</v>
      </c>
      <c r="J818" s="1" t="s">
        <v>190</v>
      </c>
      <c r="K818" s="1" t="s">
        <v>18</v>
      </c>
      <c r="L818" s="1" t="s">
        <v>19</v>
      </c>
    </row>
    <row r="819" spans="1:20" ht="13" x14ac:dyDescent="0.15">
      <c r="A819" s="1">
        <v>249199</v>
      </c>
      <c r="B819" s="1">
        <v>0</v>
      </c>
      <c r="C819" s="1" t="s">
        <v>31</v>
      </c>
      <c r="D819" s="1" t="s">
        <v>27</v>
      </c>
      <c r="E819" s="1" t="s">
        <v>2028</v>
      </c>
      <c r="F819" s="1" t="s">
        <v>46</v>
      </c>
      <c r="G819" s="1" t="s">
        <v>23</v>
      </c>
      <c r="I819" s="16">
        <v>41438.062314814815</v>
      </c>
      <c r="J819" s="1" t="s">
        <v>17</v>
      </c>
      <c r="K819" s="1" t="s">
        <v>18</v>
      </c>
      <c r="L819" s="1" t="s">
        <v>19</v>
      </c>
    </row>
    <row r="820" spans="1:20" ht="13" x14ac:dyDescent="0.15">
      <c r="A820" s="1">
        <v>45267</v>
      </c>
      <c r="B820" s="1">
        <v>0</v>
      </c>
      <c r="D820" s="1" t="s">
        <v>27</v>
      </c>
      <c r="E820" s="1" t="s">
        <v>2029</v>
      </c>
      <c r="F820" s="1" t="s">
        <v>2030</v>
      </c>
      <c r="I820" s="16">
        <v>40325.846562500003</v>
      </c>
      <c r="J820" s="1" t="s">
        <v>98</v>
      </c>
      <c r="K820" s="1" t="s">
        <v>18</v>
      </c>
      <c r="L820" s="1" t="s">
        <v>19</v>
      </c>
    </row>
    <row r="821" spans="1:20" ht="13" x14ac:dyDescent="0.15">
      <c r="A821" s="1">
        <v>61255</v>
      </c>
      <c r="B821" s="1">
        <v>0</v>
      </c>
      <c r="C821" s="1" t="s">
        <v>170</v>
      </c>
      <c r="D821" s="1" t="s">
        <v>27</v>
      </c>
      <c r="E821" s="1" t="s">
        <v>2031</v>
      </c>
      <c r="F821" s="1" t="s">
        <v>651</v>
      </c>
      <c r="G821" s="1" t="s">
        <v>23</v>
      </c>
      <c r="I821" s="16">
        <v>40480.918287037035</v>
      </c>
      <c r="J821" s="1" t="s">
        <v>40</v>
      </c>
      <c r="K821" s="1" t="s">
        <v>18</v>
      </c>
      <c r="L821" s="1" t="s">
        <v>19</v>
      </c>
    </row>
    <row r="822" spans="1:20" ht="13" x14ac:dyDescent="0.15">
      <c r="A822" s="1">
        <v>551044</v>
      </c>
      <c r="B822" s="1">
        <v>0</v>
      </c>
      <c r="C822" s="1" t="s">
        <v>2032</v>
      </c>
      <c r="D822" s="1" t="s">
        <v>27</v>
      </c>
      <c r="E822" s="1" t="s">
        <v>2033</v>
      </c>
      <c r="F822" s="1" t="s">
        <v>2034</v>
      </c>
      <c r="G822" s="1" t="s">
        <v>23</v>
      </c>
      <c r="I822" s="16">
        <v>42311.789895833332</v>
      </c>
      <c r="J822" s="1" t="s">
        <v>469</v>
      </c>
      <c r="K822" s="1" t="s">
        <v>18</v>
      </c>
      <c r="L822" s="1" t="s">
        <v>19</v>
      </c>
    </row>
    <row r="823" spans="1:20" ht="13" x14ac:dyDescent="0.15">
      <c r="A823" s="1">
        <v>332957</v>
      </c>
      <c r="B823" s="1">
        <v>0</v>
      </c>
      <c r="C823" s="1" t="s">
        <v>829</v>
      </c>
      <c r="D823" s="1" t="s">
        <v>27</v>
      </c>
      <c r="E823" s="1" t="s">
        <v>2035</v>
      </c>
      <c r="F823" s="1" t="s">
        <v>691</v>
      </c>
      <c r="G823" s="1" t="s">
        <v>23</v>
      </c>
      <c r="I823" s="16">
        <v>41648.785902777781</v>
      </c>
      <c r="J823" s="1" t="s">
        <v>1171</v>
      </c>
      <c r="K823" s="1" t="s">
        <v>18</v>
      </c>
      <c r="L823" s="1" t="s">
        <v>19</v>
      </c>
    </row>
    <row r="824" spans="1:20" ht="13" x14ac:dyDescent="0.15">
      <c r="A824" s="1">
        <v>46452</v>
      </c>
      <c r="B824" s="1">
        <v>0</v>
      </c>
      <c r="C824" s="1" t="s">
        <v>26</v>
      </c>
      <c r="D824" s="1" t="s">
        <v>27</v>
      </c>
      <c r="E824" s="1" t="s">
        <v>2036</v>
      </c>
      <c r="F824" s="1" t="s">
        <v>2037</v>
      </c>
      <c r="G824" s="1" t="s">
        <v>23</v>
      </c>
      <c r="I824" s="16">
        <v>40342.56627314815</v>
      </c>
      <c r="J824" s="1" t="s">
        <v>2038</v>
      </c>
      <c r="K824" s="1" t="s">
        <v>18</v>
      </c>
      <c r="L824" s="1" t="s">
        <v>19</v>
      </c>
    </row>
    <row r="825" spans="1:20" ht="13" x14ac:dyDescent="0.15">
      <c r="A825" s="1">
        <v>121645</v>
      </c>
      <c r="B825" s="1">
        <v>0</v>
      </c>
      <c r="C825" s="1" t="s">
        <v>41</v>
      </c>
      <c r="D825" s="1" t="s">
        <v>27</v>
      </c>
      <c r="E825" s="1" t="s">
        <v>2039</v>
      </c>
      <c r="F825" s="1" t="s">
        <v>2040</v>
      </c>
      <c r="G825" s="1" t="s">
        <v>23</v>
      </c>
      <c r="I825" s="16">
        <v>41002.520567129628</v>
      </c>
      <c r="J825" s="1" t="s">
        <v>148</v>
      </c>
      <c r="K825" s="1" t="s">
        <v>18</v>
      </c>
      <c r="L825" s="1" t="s">
        <v>19</v>
      </c>
    </row>
    <row r="826" spans="1:20" ht="13" x14ac:dyDescent="0.15">
      <c r="A826" s="1">
        <v>118185</v>
      </c>
      <c r="B826" s="1">
        <v>0</v>
      </c>
      <c r="C826" s="1" t="s">
        <v>26</v>
      </c>
      <c r="D826" s="1" t="s">
        <v>27</v>
      </c>
      <c r="E826" s="1" t="s">
        <v>2041</v>
      </c>
      <c r="F826" s="1" t="s">
        <v>2042</v>
      </c>
      <c r="G826" s="1" t="s">
        <v>23</v>
      </c>
      <c r="I826" s="16">
        <v>40982.675567129627</v>
      </c>
      <c r="J826" s="1" t="s">
        <v>155</v>
      </c>
      <c r="K826" s="1" t="s">
        <v>18</v>
      </c>
      <c r="L826" s="1" t="s">
        <v>19</v>
      </c>
    </row>
    <row r="827" spans="1:20" ht="13" x14ac:dyDescent="0.15">
      <c r="A827" s="1">
        <v>64046</v>
      </c>
      <c r="B827" s="1">
        <v>0</v>
      </c>
      <c r="C827" s="1" t="s">
        <v>133</v>
      </c>
      <c r="D827" s="1" t="s">
        <v>27</v>
      </c>
      <c r="E827" s="1" t="s">
        <v>2043</v>
      </c>
      <c r="F827" s="1" t="s">
        <v>2044</v>
      </c>
      <c r="G827" s="1" t="s">
        <v>23</v>
      </c>
      <c r="I827" s="16">
        <v>40504.50576388889</v>
      </c>
      <c r="J827" s="1" t="s">
        <v>148</v>
      </c>
      <c r="K827" s="1" t="s">
        <v>18</v>
      </c>
      <c r="L827" s="1" t="s">
        <v>19</v>
      </c>
    </row>
    <row r="828" spans="1:20" ht="13" x14ac:dyDescent="0.15">
      <c r="A828" s="1">
        <v>99597</v>
      </c>
      <c r="B828" s="1">
        <v>1</v>
      </c>
      <c r="C828" s="1" t="s">
        <v>26</v>
      </c>
      <c r="D828" s="1" t="s">
        <v>27</v>
      </c>
      <c r="E828" s="1" t="s">
        <v>2045</v>
      </c>
      <c r="F828" s="1" t="s">
        <v>1201</v>
      </c>
      <c r="G828" s="1" t="s">
        <v>23</v>
      </c>
      <c r="I828" s="16">
        <v>40824.918749999997</v>
      </c>
      <c r="J828" s="1" t="s">
        <v>40</v>
      </c>
      <c r="K828" s="1" t="s">
        <v>18</v>
      </c>
      <c r="L828" s="1" t="s">
        <v>19</v>
      </c>
      <c r="M828" s="1">
        <v>101158</v>
      </c>
      <c r="N828" s="1" t="s">
        <v>2046</v>
      </c>
      <c r="O828" s="16">
        <v>40837.653483796297</v>
      </c>
      <c r="P828" s="1" t="s">
        <v>44</v>
      </c>
    </row>
    <row r="829" spans="1:20" ht="13" x14ac:dyDescent="0.15">
      <c r="A829" s="1">
        <v>333885</v>
      </c>
      <c r="B829" s="1">
        <v>0</v>
      </c>
      <c r="C829" s="1" t="s">
        <v>2047</v>
      </c>
      <c r="D829" s="1" t="s">
        <v>27</v>
      </c>
      <c r="E829" s="1" t="s">
        <v>2048</v>
      </c>
      <c r="F829" s="1" t="s">
        <v>2049</v>
      </c>
      <c r="G829" s="1" t="s">
        <v>23</v>
      </c>
      <c r="I829" s="16">
        <v>41652.656967592593</v>
      </c>
      <c r="J829" s="1" t="s">
        <v>17</v>
      </c>
      <c r="K829" s="1" t="s">
        <v>18</v>
      </c>
      <c r="L829" s="1" t="s">
        <v>19</v>
      </c>
    </row>
    <row r="830" spans="1:20" ht="13" x14ac:dyDescent="0.15">
      <c r="A830" s="1">
        <v>43902</v>
      </c>
      <c r="B830" s="1">
        <v>0</v>
      </c>
      <c r="C830" s="1" t="s">
        <v>26</v>
      </c>
      <c r="D830" s="1" t="s">
        <v>27</v>
      </c>
      <c r="E830" s="1" t="s">
        <v>2050</v>
      </c>
      <c r="F830" s="1" t="s">
        <v>2051</v>
      </c>
      <c r="I830" s="16">
        <v>40309.799004629633</v>
      </c>
      <c r="J830" s="1" t="s">
        <v>2052</v>
      </c>
      <c r="K830" s="1" t="s">
        <v>18</v>
      </c>
      <c r="L830" s="1" t="s">
        <v>19</v>
      </c>
    </row>
    <row r="831" spans="1:20" ht="13" x14ac:dyDescent="0.15">
      <c r="A831" s="1">
        <v>112822</v>
      </c>
      <c r="B831" s="1">
        <v>0</v>
      </c>
      <c r="D831" s="1" t="s">
        <v>27</v>
      </c>
      <c r="E831" s="1" t="s">
        <v>2053</v>
      </c>
      <c r="F831" s="1" t="s">
        <v>2054</v>
      </c>
      <c r="I831" s="16">
        <v>40945.705335648148</v>
      </c>
      <c r="J831" s="1" t="s">
        <v>376</v>
      </c>
      <c r="K831" s="1" t="s">
        <v>18</v>
      </c>
      <c r="L831" s="1" t="s">
        <v>19</v>
      </c>
    </row>
    <row r="832" spans="1:20" ht="13" x14ac:dyDescent="0.15">
      <c r="A832" s="1">
        <v>95072</v>
      </c>
      <c r="B832" s="1">
        <v>2</v>
      </c>
      <c r="C832" s="1" t="s">
        <v>26</v>
      </c>
      <c r="D832" s="1" t="s">
        <v>27</v>
      </c>
      <c r="E832" s="1" t="s">
        <v>2055</v>
      </c>
      <c r="F832" s="1" t="s">
        <v>2056</v>
      </c>
      <c r="G832" s="1" t="s">
        <v>23</v>
      </c>
      <c r="I832" s="16">
        <v>40787.72</v>
      </c>
      <c r="J832" s="1" t="s">
        <v>40</v>
      </c>
      <c r="K832" s="1" t="s">
        <v>18</v>
      </c>
      <c r="L832" s="1" t="s">
        <v>19</v>
      </c>
      <c r="M832" s="1">
        <v>99232</v>
      </c>
      <c r="N832" s="1" t="s">
        <v>2057</v>
      </c>
      <c r="O832" s="16">
        <v>40821.851319444446</v>
      </c>
      <c r="P832" s="1" t="s">
        <v>408</v>
      </c>
      <c r="Q832" s="1">
        <v>96958</v>
      </c>
      <c r="R832" s="1" t="s">
        <v>2057</v>
      </c>
      <c r="S832" s="2">
        <v>40803.445208333331</v>
      </c>
      <c r="T832" s="1" t="s">
        <v>261</v>
      </c>
    </row>
    <row r="833" spans="1:16" ht="13" x14ac:dyDescent="0.15">
      <c r="A833" s="1">
        <v>640571</v>
      </c>
      <c r="B833" s="1">
        <v>0</v>
      </c>
      <c r="C833" s="1" t="s">
        <v>2058</v>
      </c>
      <c r="D833" s="1" t="s">
        <v>27</v>
      </c>
      <c r="E833" s="1" t="s">
        <v>2059</v>
      </c>
      <c r="F833" s="1" t="s">
        <v>2060</v>
      </c>
      <c r="G833" s="1" t="s">
        <v>16</v>
      </c>
      <c r="I833" s="16">
        <v>42606.476030092592</v>
      </c>
      <c r="J833" s="1" t="s">
        <v>17</v>
      </c>
      <c r="K833" s="1" t="s">
        <v>18</v>
      </c>
      <c r="L833" s="1" t="s">
        <v>19</v>
      </c>
    </row>
    <row r="834" spans="1:16" ht="13" x14ac:dyDescent="0.15">
      <c r="A834" s="1">
        <v>272786</v>
      </c>
      <c r="B834" s="1">
        <v>0</v>
      </c>
      <c r="C834" s="1" t="s">
        <v>2061</v>
      </c>
      <c r="D834" s="1" t="s">
        <v>27</v>
      </c>
      <c r="E834" s="1" t="s">
        <v>2062</v>
      </c>
      <c r="F834" s="1" t="s">
        <v>2063</v>
      </c>
      <c r="G834" s="1" t="s">
        <v>23</v>
      </c>
      <c r="I834" s="16">
        <v>41500.524467592593</v>
      </c>
      <c r="J834" s="1" t="s">
        <v>68</v>
      </c>
      <c r="K834" s="1" t="s">
        <v>18</v>
      </c>
      <c r="L834" s="1" t="s">
        <v>19</v>
      </c>
    </row>
    <row r="835" spans="1:16" ht="13" x14ac:dyDescent="0.15">
      <c r="A835" s="1">
        <v>359454</v>
      </c>
      <c r="B835" s="1">
        <v>0</v>
      </c>
      <c r="C835" s="1" t="s">
        <v>967</v>
      </c>
      <c r="D835" s="1" t="s">
        <v>27</v>
      </c>
      <c r="E835" s="1" t="s">
        <v>2064</v>
      </c>
      <c r="F835" s="1" t="s">
        <v>2065</v>
      </c>
      <c r="I835" s="16">
        <v>41732.312627314815</v>
      </c>
      <c r="J835" s="1" t="s">
        <v>2066</v>
      </c>
      <c r="K835" s="1" t="s">
        <v>18</v>
      </c>
      <c r="L835" s="1" t="s">
        <v>19</v>
      </c>
    </row>
    <row r="836" spans="1:16" ht="13" x14ac:dyDescent="0.15">
      <c r="A836" s="1">
        <v>77181</v>
      </c>
      <c r="B836" s="1">
        <v>0</v>
      </c>
      <c r="C836" s="1" t="s">
        <v>26</v>
      </c>
      <c r="D836" s="1" t="s">
        <v>27</v>
      </c>
      <c r="E836" s="1" t="s">
        <v>2067</v>
      </c>
      <c r="F836" s="1" t="s">
        <v>2068</v>
      </c>
      <c r="G836" s="1" t="s">
        <v>23</v>
      </c>
      <c r="I836" s="16">
        <v>40625.771678240744</v>
      </c>
      <c r="J836" s="1" t="s">
        <v>398</v>
      </c>
      <c r="K836" s="1" t="s">
        <v>18</v>
      </c>
      <c r="L836" s="1" t="s">
        <v>19</v>
      </c>
    </row>
    <row r="837" spans="1:16" ht="13" x14ac:dyDescent="0.15">
      <c r="A837" s="1">
        <v>334897</v>
      </c>
      <c r="B837" s="1">
        <v>0</v>
      </c>
      <c r="C837" s="1" t="s">
        <v>2069</v>
      </c>
      <c r="D837" s="1" t="s">
        <v>27</v>
      </c>
      <c r="E837" s="1" t="s">
        <v>2070</v>
      </c>
      <c r="F837" s="1" t="s">
        <v>2071</v>
      </c>
      <c r="G837" s="1" t="s">
        <v>159</v>
      </c>
      <c r="I837" s="16">
        <v>41655.040694444448</v>
      </c>
      <c r="J837" s="1" t="s">
        <v>2072</v>
      </c>
      <c r="K837" s="1" t="s">
        <v>18</v>
      </c>
      <c r="L837" s="1" t="s">
        <v>19</v>
      </c>
    </row>
    <row r="838" spans="1:16" ht="13" x14ac:dyDescent="0.15">
      <c r="A838" s="1">
        <v>62401</v>
      </c>
      <c r="B838" s="1">
        <v>0</v>
      </c>
      <c r="C838" s="1" t="s">
        <v>26</v>
      </c>
      <c r="D838" s="1" t="s">
        <v>27</v>
      </c>
      <c r="E838" s="1" t="s">
        <v>2073</v>
      </c>
      <c r="F838" s="1" t="s">
        <v>2074</v>
      </c>
      <c r="G838" s="1" t="s">
        <v>23</v>
      </c>
      <c r="I838" s="16">
        <v>40490.943599537037</v>
      </c>
      <c r="J838" s="1" t="s">
        <v>261</v>
      </c>
      <c r="K838" s="1" t="s">
        <v>18</v>
      </c>
      <c r="L838" s="1" t="s">
        <v>19</v>
      </c>
    </row>
    <row r="839" spans="1:16" ht="13" x14ac:dyDescent="0.15">
      <c r="A839" s="1">
        <v>44868</v>
      </c>
      <c r="B839" s="1">
        <v>0</v>
      </c>
      <c r="C839" s="1" t="s">
        <v>26</v>
      </c>
      <c r="D839" s="1" t="s">
        <v>27</v>
      </c>
      <c r="E839" s="1" t="s">
        <v>2075</v>
      </c>
      <c r="F839" s="1" t="s">
        <v>451</v>
      </c>
      <c r="I839" s="16">
        <v>40321.67732638889</v>
      </c>
      <c r="J839" s="1" t="s">
        <v>398</v>
      </c>
      <c r="K839" s="1" t="s">
        <v>18</v>
      </c>
      <c r="L839" s="1" t="s">
        <v>19</v>
      </c>
    </row>
    <row r="840" spans="1:16" ht="13" x14ac:dyDescent="0.15">
      <c r="A840" s="1">
        <v>176033</v>
      </c>
      <c r="B840" s="1">
        <v>0</v>
      </c>
      <c r="C840" s="1" t="s">
        <v>841</v>
      </c>
      <c r="D840" s="1" t="s">
        <v>27</v>
      </c>
      <c r="E840" s="1" t="s">
        <v>2076</v>
      </c>
      <c r="F840" s="1" t="s">
        <v>2077</v>
      </c>
      <c r="G840" s="1" t="s">
        <v>23</v>
      </c>
      <c r="I840" s="16">
        <v>41318.73133101852</v>
      </c>
      <c r="J840" s="1" t="s">
        <v>2078</v>
      </c>
      <c r="K840" s="1" t="s">
        <v>18</v>
      </c>
      <c r="L840" s="1" t="s">
        <v>19</v>
      </c>
    </row>
    <row r="841" spans="1:16" ht="13" x14ac:dyDescent="0.15">
      <c r="A841" s="1">
        <v>100059</v>
      </c>
      <c r="B841" s="1">
        <v>0</v>
      </c>
      <c r="C841" s="1" t="s">
        <v>26</v>
      </c>
      <c r="D841" s="1" t="s">
        <v>27</v>
      </c>
      <c r="E841" s="1" t="s">
        <v>2079</v>
      </c>
      <c r="F841" s="1" t="s">
        <v>2080</v>
      </c>
      <c r="G841" s="1" t="s">
        <v>23</v>
      </c>
      <c r="I841" s="16">
        <v>40828.69902777778</v>
      </c>
      <c r="J841" s="1" t="s">
        <v>44</v>
      </c>
      <c r="K841" s="1" t="s">
        <v>18</v>
      </c>
      <c r="L841" s="1" t="s">
        <v>19</v>
      </c>
    </row>
    <row r="842" spans="1:16" ht="13" x14ac:dyDescent="0.15">
      <c r="A842" s="1">
        <v>586800</v>
      </c>
      <c r="B842" s="1">
        <v>0</v>
      </c>
      <c r="C842" s="1" t="s">
        <v>1545</v>
      </c>
      <c r="D842" s="1" t="s">
        <v>27</v>
      </c>
      <c r="E842" s="1" t="s">
        <v>2081</v>
      </c>
      <c r="F842" s="1" t="s">
        <v>2082</v>
      </c>
      <c r="G842" s="1" t="s">
        <v>16</v>
      </c>
      <c r="I842" s="16">
        <v>42414.61278935185</v>
      </c>
      <c r="J842" s="1" t="s">
        <v>17</v>
      </c>
      <c r="K842" s="1" t="s">
        <v>18</v>
      </c>
      <c r="L842" s="1" t="s">
        <v>19</v>
      </c>
    </row>
    <row r="843" spans="1:16" ht="13" x14ac:dyDescent="0.15">
      <c r="A843" s="1">
        <v>237022</v>
      </c>
      <c r="B843" s="1">
        <v>0</v>
      </c>
      <c r="D843" s="1" t="s">
        <v>27</v>
      </c>
      <c r="E843" s="1" t="s">
        <v>2083</v>
      </c>
      <c r="F843" s="1" t="s">
        <v>2084</v>
      </c>
      <c r="G843" s="1" t="s">
        <v>23</v>
      </c>
      <c r="I843" s="16">
        <v>41394.967731481483</v>
      </c>
      <c r="J843" s="1" t="s">
        <v>2085</v>
      </c>
      <c r="K843" s="1" t="s">
        <v>18</v>
      </c>
      <c r="L843" s="1" t="s">
        <v>19</v>
      </c>
    </row>
    <row r="844" spans="1:16" ht="13" x14ac:dyDescent="0.15">
      <c r="A844" s="1">
        <v>89575</v>
      </c>
      <c r="B844" s="1">
        <v>0</v>
      </c>
      <c r="C844" s="1" t="s">
        <v>26</v>
      </c>
      <c r="D844" s="1" t="s">
        <v>27</v>
      </c>
      <c r="E844" s="1" t="s">
        <v>2086</v>
      </c>
      <c r="F844" s="1" t="s">
        <v>2087</v>
      </c>
      <c r="G844" s="1" t="s">
        <v>23</v>
      </c>
      <c r="I844" s="16">
        <v>40742.284629629627</v>
      </c>
      <c r="J844" s="1" t="s">
        <v>40</v>
      </c>
      <c r="K844" s="1" t="s">
        <v>18</v>
      </c>
      <c r="L844" s="1" t="s">
        <v>19</v>
      </c>
    </row>
    <row r="845" spans="1:16" ht="13" x14ac:dyDescent="0.15">
      <c r="A845" s="1">
        <v>99348</v>
      </c>
      <c r="B845" s="1">
        <v>0</v>
      </c>
      <c r="C845" s="1" t="s">
        <v>26</v>
      </c>
      <c r="D845" s="1" t="s">
        <v>27</v>
      </c>
      <c r="E845" s="1" t="s">
        <v>2088</v>
      </c>
      <c r="F845" s="1" t="s">
        <v>586</v>
      </c>
      <c r="G845" s="1" t="s">
        <v>23</v>
      </c>
      <c r="I845" s="16">
        <v>40822.727199074077</v>
      </c>
      <c r="J845" s="1" t="s">
        <v>40</v>
      </c>
      <c r="K845" s="1" t="s">
        <v>18</v>
      </c>
      <c r="L845" s="1" t="s">
        <v>19</v>
      </c>
    </row>
    <row r="846" spans="1:16" ht="13" x14ac:dyDescent="0.15">
      <c r="A846" s="1">
        <v>292422</v>
      </c>
      <c r="B846" s="1">
        <v>0</v>
      </c>
      <c r="C846" s="1" t="s">
        <v>2089</v>
      </c>
      <c r="D846" s="1" t="s">
        <v>27</v>
      </c>
      <c r="E846" s="1" t="s">
        <v>2090</v>
      </c>
      <c r="F846" s="1" t="s">
        <v>2091</v>
      </c>
      <c r="G846" s="1" t="s">
        <v>23</v>
      </c>
      <c r="I846" s="16">
        <v>41533.411874999998</v>
      </c>
      <c r="J846" s="1" t="s">
        <v>408</v>
      </c>
      <c r="K846" s="1" t="s">
        <v>18</v>
      </c>
      <c r="L846" s="1" t="s">
        <v>19</v>
      </c>
    </row>
    <row r="847" spans="1:16" ht="13" x14ac:dyDescent="0.15">
      <c r="A847" s="1">
        <v>98582</v>
      </c>
      <c r="B847" s="1">
        <v>0</v>
      </c>
      <c r="C847" s="1" t="s">
        <v>682</v>
      </c>
      <c r="D847" s="1" t="s">
        <v>27</v>
      </c>
      <c r="E847" s="1" t="s">
        <v>2092</v>
      </c>
      <c r="F847" s="1" t="s">
        <v>888</v>
      </c>
      <c r="G847" s="1" t="s">
        <v>23</v>
      </c>
      <c r="I847" s="16">
        <v>40815.764247685183</v>
      </c>
      <c r="J847" s="1" t="s">
        <v>2017</v>
      </c>
      <c r="K847" s="1" t="s">
        <v>18</v>
      </c>
      <c r="L847" s="1" t="s">
        <v>19</v>
      </c>
    </row>
    <row r="848" spans="1:16" ht="13" x14ac:dyDescent="0.15">
      <c r="A848" s="1">
        <v>389216</v>
      </c>
      <c r="B848" s="1">
        <v>1</v>
      </c>
      <c r="C848" s="1" t="s">
        <v>2093</v>
      </c>
      <c r="D848" s="1" t="s">
        <v>27</v>
      </c>
      <c r="E848" s="1" t="s">
        <v>2094</v>
      </c>
      <c r="F848" s="1" t="s">
        <v>2095</v>
      </c>
      <c r="G848" s="1" t="s">
        <v>23</v>
      </c>
      <c r="I848" s="16">
        <v>41816.757361111115</v>
      </c>
      <c r="J848" s="1" t="s">
        <v>17</v>
      </c>
      <c r="K848" s="1" t="s">
        <v>18</v>
      </c>
      <c r="L848" s="1" t="s">
        <v>19</v>
      </c>
      <c r="M848" s="1">
        <v>290435</v>
      </c>
      <c r="N848" s="1" t="s">
        <v>2096</v>
      </c>
      <c r="O848" s="16">
        <v>41529.902361111112</v>
      </c>
      <c r="P848" s="1" t="s">
        <v>552</v>
      </c>
    </row>
    <row r="849" spans="1:16" ht="13" x14ac:dyDescent="0.15">
      <c r="A849" s="1">
        <v>534994</v>
      </c>
      <c r="B849" s="1">
        <v>0</v>
      </c>
      <c r="C849" s="1" t="s">
        <v>305</v>
      </c>
      <c r="D849" s="1" t="s">
        <v>27</v>
      </c>
      <c r="E849" s="1" t="s">
        <v>2097</v>
      </c>
      <c r="F849" s="1" t="s">
        <v>2098</v>
      </c>
      <c r="G849" s="1" t="s">
        <v>16</v>
      </c>
      <c r="I849" s="16">
        <v>42269.927812499998</v>
      </c>
      <c r="J849" s="1" t="s">
        <v>17</v>
      </c>
      <c r="K849" s="1" t="s">
        <v>18</v>
      </c>
      <c r="L849" s="1" t="s">
        <v>19</v>
      </c>
    </row>
    <row r="850" spans="1:16" ht="13" x14ac:dyDescent="0.15">
      <c r="A850" s="1">
        <v>554908</v>
      </c>
      <c r="B850" s="1">
        <v>0</v>
      </c>
      <c r="C850" s="1" t="s">
        <v>2032</v>
      </c>
      <c r="D850" s="1" t="s">
        <v>27</v>
      </c>
      <c r="E850" s="1" t="s">
        <v>2099</v>
      </c>
      <c r="F850" s="1" t="s">
        <v>2100</v>
      </c>
      <c r="G850" s="1" t="s">
        <v>23</v>
      </c>
      <c r="I850" s="16">
        <v>42320.441134259258</v>
      </c>
      <c r="J850" s="1" t="s">
        <v>469</v>
      </c>
      <c r="K850" s="1" t="s">
        <v>18</v>
      </c>
      <c r="L850" s="1" t="s">
        <v>19</v>
      </c>
    </row>
    <row r="851" spans="1:16" ht="13" x14ac:dyDescent="0.15">
      <c r="A851" s="1">
        <v>662767</v>
      </c>
      <c r="B851" s="1">
        <v>0</v>
      </c>
      <c r="C851" s="1" t="s">
        <v>268</v>
      </c>
      <c r="D851" s="1" t="s">
        <v>27</v>
      </c>
      <c r="E851" s="1" t="s">
        <v>2101</v>
      </c>
      <c r="F851" s="1" t="s">
        <v>2102</v>
      </c>
      <c r="G851" s="1" t="s">
        <v>23</v>
      </c>
      <c r="I851" s="16">
        <v>42681.051481481481</v>
      </c>
      <c r="J851" s="1" t="s">
        <v>1623</v>
      </c>
      <c r="K851" s="1" t="s">
        <v>18</v>
      </c>
      <c r="L851" s="1" t="s">
        <v>19</v>
      </c>
    </row>
    <row r="852" spans="1:16" ht="13" x14ac:dyDescent="0.15">
      <c r="A852" s="1">
        <v>60055</v>
      </c>
      <c r="B852" s="1">
        <v>0</v>
      </c>
      <c r="C852" s="1" t="s">
        <v>1910</v>
      </c>
      <c r="D852" s="1" t="s">
        <v>27</v>
      </c>
      <c r="E852" s="1" t="s">
        <v>2103</v>
      </c>
      <c r="F852" s="1" t="s">
        <v>2104</v>
      </c>
      <c r="I852" s="16">
        <v>40472.145405092589</v>
      </c>
      <c r="J852" s="1" t="s">
        <v>151</v>
      </c>
      <c r="K852" s="1" t="s">
        <v>18</v>
      </c>
      <c r="L852" s="1" t="s">
        <v>19</v>
      </c>
    </row>
    <row r="853" spans="1:16" ht="13" x14ac:dyDescent="0.15">
      <c r="A853" s="1">
        <v>73026</v>
      </c>
      <c r="B853" s="1">
        <v>0</v>
      </c>
      <c r="C853" s="1" t="s">
        <v>1910</v>
      </c>
      <c r="D853" s="1" t="s">
        <v>27</v>
      </c>
      <c r="E853" s="1" t="s">
        <v>2105</v>
      </c>
      <c r="F853" s="1" t="s">
        <v>2106</v>
      </c>
      <c r="G853" s="1" t="s">
        <v>23</v>
      </c>
      <c r="I853" s="16">
        <v>40589.684953703705</v>
      </c>
      <c r="J853" s="1" t="s">
        <v>1423</v>
      </c>
      <c r="K853" s="1" t="s">
        <v>18</v>
      </c>
      <c r="L853" s="1" t="s">
        <v>19</v>
      </c>
    </row>
    <row r="854" spans="1:16" ht="13" x14ac:dyDescent="0.15">
      <c r="A854" s="1">
        <v>653555</v>
      </c>
      <c r="B854" s="1">
        <v>0</v>
      </c>
      <c r="C854" s="1" t="s">
        <v>34</v>
      </c>
      <c r="D854" s="1" t="s">
        <v>27</v>
      </c>
      <c r="E854" s="1" t="s">
        <v>2107</v>
      </c>
      <c r="F854" s="1" t="s">
        <v>2108</v>
      </c>
      <c r="G854" s="1" t="s">
        <v>23</v>
      </c>
      <c r="I854" s="16">
        <v>42649.621261574073</v>
      </c>
      <c r="J854" s="1" t="s">
        <v>2109</v>
      </c>
      <c r="K854" s="1" t="s">
        <v>18</v>
      </c>
      <c r="L854" s="1" t="s">
        <v>19</v>
      </c>
    </row>
    <row r="855" spans="1:16" ht="13" x14ac:dyDescent="0.15">
      <c r="A855" s="1">
        <v>356690</v>
      </c>
      <c r="B855" s="1">
        <v>0</v>
      </c>
      <c r="C855" s="1" t="s">
        <v>268</v>
      </c>
      <c r="D855" s="1" t="s">
        <v>27</v>
      </c>
      <c r="E855" s="1" t="s">
        <v>1893</v>
      </c>
      <c r="F855" s="1" t="s">
        <v>2110</v>
      </c>
      <c r="G855" s="1" t="s">
        <v>23</v>
      </c>
      <c r="I855" s="16">
        <v>41724.686377314814</v>
      </c>
      <c r="J855" s="1" t="s">
        <v>68</v>
      </c>
      <c r="K855" s="1" t="s">
        <v>18</v>
      </c>
      <c r="L855" s="1" t="s">
        <v>19</v>
      </c>
    </row>
    <row r="856" spans="1:16" ht="13" x14ac:dyDescent="0.15">
      <c r="A856" s="1">
        <v>140803</v>
      </c>
      <c r="B856" s="1">
        <v>0</v>
      </c>
      <c r="C856" s="1" t="s">
        <v>514</v>
      </c>
      <c r="D856" s="1" t="s">
        <v>27</v>
      </c>
      <c r="E856" s="1" t="s">
        <v>2111</v>
      </c>
      <c r="F856" s="1" t="s">
        <v>2112</v>
      </c>
      <c r="G856" s="1" t="s">
        <v>23</v>
      </c>
      <c r="I856" s="16">
        <v>41127.683252314811</v>
      </c>
      <c r="J856" s="1" t="s">
        <v>408</v>
      </c>
      <c r="K856" s="1" t="s">
        <v>18</v>
      </c>
      <c r="L856" s="1" t="s">
        <v>19</v>
      </c>
    </row>
    <row r="857" spans="1:16" ht="13" x14ac:dyDescent="0.15">
      <c r="A857" s="1">
        <v>640177</v>
      </c>
      <c r="B857" s="1">
        <v>0</v>
      </c>
      <c r="C857" s="1" t="s">
        <v>137</v>
      </c>
      <c r="D857" s="1" t="s">
        <v>27</v>
      </c>
      <c r="E857" s="1" t="s">
        <v>2113</v>
      </c>
      <c r="F857" s="1" t="s">
        <v>204</v>
      </c>
      <c r="G857" s="1" t="s">
        <v>23</v>
      </c>
      <c r="I857" s="16">
        <v>42605.495416666665</v>
      </c>
      <c r="J857" s="1" t="s">
        <v>205</v>
      </c>
      <c r="K857" s="1" t="s">
        <v>18</v>
      </c>
      <c r="L857" s="1" t="s">
        <v>19</v>
      </c>
    </row>
    <row r="858" spans="1:16" ht="13" x14ac:dyDescent="0.15">
      <c r="A858" s="1">
        <v>313005</v>
      </c>
      <c r="B858" s="1">
        <v>1</v>
      </c>
      <c r="C858" s="1" t="s">
        <v>31</v>
      </c>
      <c r="D858" s="1" t="s">
        <v>27</v>
      </c>
      <c r="E858" s="1" t="s">
        <v>982</v>
      </c>
      <c r="F858" s="1" t="s">
        <v>2114</v>
      </c>
      <c r="G858" s="1" t="s">
        <v>23</v>
      </c>
      <c r="I858" s="16">
        <v>41576.945509259262</v>
      </c>
      <c r="J858" s="1" t="s">
        <v>17</v>
      </c>
      <c r="K858" s="1" t="s">
        <v>18</v>
      </c>
      <c r="L858" s="1" t="s">
        <v>19</v>
      </c>
      <c r="M858" s="1">
        <v>309209</v>
      </c>
      <c r="N858" s="1" t="s">
        <v>2115</v>
      </c>
      <c r="O858" s="16">
        <v>41565.949571759258</v>
      </c>
      <c r="P858" s="1" t="s">
        <v>408</v>
      </c>
    </row>
    <row r="859" spans="1:16" ht="13" x14ac:dyDescent="0.15">
      <c r="A859" s="1">
        <v>47915</v>
      </c>
      <c r="B859" s="1">
        <v>0</v>
      </c>
      <c r="C859" s="1" t="s">
        <v>26</v>
      </c>
      <c r="D859" s="1" t="s">
        <v>27</v>
      </c>
      <c r="E859" s="1" t="s">
        <v>2116</v>
      </c>
      <c r="F859" s="1" t="s">
        <v>2117</v>
      </c>
      <c r="G859" s="1" t="s">
        <v>23</v>
      </c>
      <c r="I859" s="16">
        <v>40358.91165509259</v>
      </c>
      <c r="J859" s="1" t="s">
        <v>40</v>
      </c>
      <c r="K859" s="1" t="s">
        <v>18</v>
      </c>
      <c r="L859" s="1" t="s">
        <v>19</v>
      </c>
    </row>
    <row r="860" spans="1:16" ht="13" x14ac:dyDescent="0.15">
      <c r="A860" s="1">
        <v>604901</v>
      </c>
      <c r="B860" s="1">
        <v>0</v>
      </c>
      <c r="C860" s="1" t="s">
        <v>305</v>
      </c>
      <c r="D860" s="1" t="s">
        <v>27</v>
      </c>
      <c r="E860" s="1" t="s">
        <v>2118</v>
      </c>
      <c r="F860" s="1" t="s">
        <v>2119</v>
      </c>
      <c r="G860" s="1" t="s">
        <v>23</v>
      </c>
      <c r="I860" s="16">
        <v>42479.901238425926</v>
      </c>
      <c r="J860" s="1" t="s">
        <v>311</v>
      </c>
      <c r="K860" s="1" t="s">
        <v>18</v>
      </c>
      <c r="L860" s="1" t="s">
        <v>19</v>
      </c>
    </row>
    <row r="861" spans="1:16" ht="13" x14ac:dyDescent="0.15">
      <c r="A861" s="1">
        <v>695826</v>
      </c>
      <c r="B861" s="1">
        <v>0</v>
      </c>
      <c r="C861" s="1" t="s">
        <v>12</v>
      </c>
      <c r="D861" s="1" t="s">
        <v>27</v>
      </c>
      <c r="E861" s="1" t="s">
        <v>2120</v>
      </c>
      <c r="F861" s="1" t="s">
        <v>2121</v>
      </c>
      <c r="G861" s="1" t="s">
        <v>23</v>
      </c>
      <c r="I861" s="16">
        <v>42790.511446759258</v>
      </c>
      <c r="J861" s="1" t="s">
        <v>886</v>
      </c>
      <c r="K861" s="1" t="s">
        <v>18</v>
      </c>
      <c r="L861" s="1" t="s">
        <v>19</v>
      </c>
    </row>
    <row r="862" spans="1:16" ht="13" x14ac:dyDescent="0.15">
      <c r="A862" s="1">
        <v>554518</v>
      </c>
      <c r="B862" s="1">
        <v>0</v>
      </c>
      <c r="D862" s="1" t="s">
        <v>27</v>
      </c>
      <c r="E862" s="1" t="s">
        <v>2122</v>
      </c>
      <c r="F862" s="1" t="s">
        <v>2123</v>
      </c>
      <c r="G862" s="1" t="s">
        <v>2124</v>
      </c>
      <c r="I862" s="16">
        <v>42319.677395833336</v>
      </c>
      <c r="J862" s="1" t="s">
        <v>2125</v>
      </c>
      <c r="K862" s="1" t="s">
        <v>18</v>
      </c>
      <c r="L862" s="1" t="s">
        <v>19</v>
      </c>
    </row>
    <row r="863" spans="1:16" ht="13" x14ac:dyDescent="0.15">
      <c r="A863" s="1">
        <v>143604</v>
      </c>
      <c r="B863" s="1">
        <v>0</v>
      </c>
      <c r="C863" s="1" t="s">
        <v>26</v>
      </c>
      <c r="D863" s="1" t="s">
        <v>27</v>
      </c>
      <c r="E863" s="1" t="s">
        <v>2126</v>
      </c>
      <c r="F863" s="1" t="s">
        <v>162</v>
      </c>
      <c r="G863" s="1" t="s">
        <v>23</v>
      </c>
      <c r="I863" s="16">
        <v>41140.21471064815</v>
      </c>
      <c r="J863" s="1" t="s">
        <v>40</v>
      </c>
      <c r="K863" s="1" t="s">
        <v>18</v>
      </c>
      <c r="L863" s="1" t="s">
        <v>19</v>
      </c>
    </row>
    <row r="864" spans="1:16" ht="13" x14ac:dyDescent="0.15">
      <c r="A864" s="1">
        <v>143609</v>
      </c>
      <c r="B864" s="1">
        <v>0</v>
      </c>
      <c r="C864" s="1" t="s">
        <v>145</v>
      </c>
      <c r="D864" s="1" t="s">
        <v>27</v>
      </c>
      <c r="E864" s="1" t="s">
        <v>2127</v>
      </c>
      <c r="F864" s="1" t="s">
        <v>2128</v>
      </c>
      <c r="G864" s="1" t="s">
        <v>23</v>
      </c>
      <c r="I864" s="16">
        <v>41140.315023148149</v>
      </c>
      <c r="J864" s="1" t="s">
        <v>408</v>
      </c>
      <c r="K864" s="1" t="s">
        <v>18</v>
      </c>
      <c r="L864" s="1" t="s">
        <v>19</v>
      </c>
    </row>
    <row r="865" spans="1:16" ht="13" x14ac:dyDescent="0.15">
      <c r="A865" s="1">
        <v>106309</v>
      </c>
      <c r="B865" s="1">
        <v>0</v>
      </c>
      <c r="C865" s="1" t="s">
        <v>26</v>
      </c>
      <c r="D865" s="1" t="s">
        <v>27</v>
      </c>
      <c r="E865" s="1" t="s">
        <v>2129</v>
      </c>
      <c r="F865" s="1" t="s">
        <v>915</v>
      </c>
      <c r="G865" s="1" t="s">
        <v>23</v>
      </c>
      <c r="I865" s="16">
        <v>40881.153182870374</v>
      </c>
      <c r="J865" s="1" t="s">
        <v>40</v>
      </c>
      <c r="K865" s="1" t="s">
        <v>18</v>
      </c>
      <c r="L865" s="1" t="s">
        <v>19</v>
      </c>
    </row>
    <row r="866" spans="1:16" ht="13" x14ac:dyDescent="0.15">
      <c r="A866" s="1">
        <v>105459</v>
      </c>
      <c r="B866" s="1">
        <v>1</v>
      </c>
      <c r="C866" s="1" t="s">
        <v>26</v>
      </c>
      <c r="D866" s="1" t="s">
        <v>27</v>
      </c>
      <c r="E866" s="1" t="s">
        <v>2130</v>
      </c>
      <c r="F866" s="1" t="s">
        <v>2131</v>
      </c>
      <c r="G866" s="1" t="s">
        <v>23</v>
      </c>
      <c r="I866" s="16">
        <v>40873.324872685182</v>
      </c>
      <c r="J866" s="1" t="s">
        <v>44</v>
      </c>
      <c r="K866" s="1" t="s">
        <v>18</v>
      </c>
      <c r="L866" s="1" t="s">
        <v>19</v>
      </c>
      <c r="M866" s="1">
        <v>105648</v>
      </c>
      <c r="N866" s="1" t="s">
        <v>2132</v>
      </c>
      <c r="O866" s="16">
        <v>40876.010636574072</v>
      </c>
      <c r="P866" s="1" t="s">
        <v>40</v>
      </c>
    </row>
    <row r="867" spans="1:16" ht="13" x14ac:dyDescent="0.15">
      <c r="A867" s="1">
        <v>402255</v>
      </c>
      <c r="B867" s="1">
        <v>0</v>
      </c>
      <c r="D867" s="1" t="s">
        <v>27</v>
      </c>
      <c r="E867" s="1" t="s">
        <v>2133</v>
      </c>
      <c r="F867" s="1" t="s">
        <v>2134</v>
      </c>
      <c r="G867" s="1" t="s">
        <v>23</v>
      </c>
      <c r="I867" s="16">
        <v>41860.755972222221</v>
      </c>
      <c r="J867" s="1" t="s">
        <v>17</v>
      </c>
      <c r="K867" s="1" t="s">
        <v>18</v>
      </c>
      <c r="L867" s="1" t="s">
        <v>19</v>
      </c>
    </row>
    <row r="868" spans="1:16" ht="13" x14ac:dyDescent="0.15">
      <c r="A868" s="1">
        <v>358654</v>
      </c>
      <c r="B868" s="1">
        <v>0</v>
      </c>
      <c r="C868" s="1" t="s">
        <v>1545</v>
      </c>
      <c r="D868" s="1" t="s">
        <v>27</v>
      </c>
      <c r="E868" s="1" t="s">
        <v>2135</v>
      </c>
      <c r="F868" s="1" t="s">
        <v>2136</v>
      </c>
      <c r="G868" s="1" t="s">
        <v>353</v>
      </c>
      <c r="I868" s="16">
        <v>41730.615983796299</v>
      </c>
      <c r="J868" s="1" t="s">
        <v>1439</v>
      </c>
      <c r="K868" s="1" t="s">
        <v>18</v>
      </c>
      <c r="L868" s="1" t="s">
        <v>19</v>
      </c>
    </row>
    <row r="869" spans="1:16" ht="13" x14ac:dyDescent="0.15">
      <c r="A869" s="1">
        <v>128018</v>
      </c>
      <c r="B869" s="1">
        <v>0</v>
      </c>
      <c r="C869" s="1" t="s">
        <v>843</v>
      </c>
      <c r="D869" s="1" t="s">
        <v>27</v>
      </c>
      <c r="E869" s="1" t="s">
        <v>2137</v>
      </c>
      <c r="F869" s="1" t="s">
        <v>2138</v>
      </c>
      <c r="G869" s="1" t="s">
        <v>23</v>
      </c>
      <c r="I869" s="16">
        <v>41043.46297453704</v>
      </c>
      <c r="J869" s="1" t="s">
        <v>958</v>
      </c>
      <c r="K869" s="1" t="s">
        <v>18</v>
      </c>
      <c r="L869" s="1" t="s">
        <v>19</v>
      </c>
    </row>
    <row r="870" spans="1:16" ht="13" x14ac:dyDescent="0.15">
      <c r="A870" s="1">
        <v>390973</v>
      </c>
      <c r="B870" s="1">
        <v>0</v>
      </c>
      <c r="D870" s="1" t="s">
        <v>27</v>
      </c>
      <c r="E870" s="1" t="s">
        <v>2139</v>
      </c>
      <c r="F870" s="1" t="s">
        <v>2140</v>
      </c>
      <c r="G870" s="1" t="s">
        <v>23</v>
      </c>
      <c r="I870" s="16">
        <v>41822.716527777775</v>
      </c>
      <c r="J870" s="1" t="s">
        <v>17</v>
      </c>
      <c r="K870" s="1" t="s">
        <v>18</v>
      </c>
      <c r="L870" s="1" t="s">
        <v>19</v>
      </c>
    </row>
    <row r="871" spans="1:16" ht="13" x14ac:dyDescent="0.15">
      <c r="A871" s="1">
        <v>582707</v>
      </c>
      <c r="B871" s="1">
        <v>0</v>
      </c>
      <c r="C871" s="1" t="s">
        <v>829</v>
      </c>
      <c r="D871" s="1" t="s">
        <v>27</v>
      </c>
      <c r="E871" s="1" t="s">
        <v>2141</v>
      </c>
      <c r="F871" s="1" t="s">
        <v>2142</v>
      </c>
      <c r="G871" s="1" t="s">
        <v>16</v>
      </c>
      <c r="I871" s="16">
        <v>42399.261157407411</v>
      </c>
      <c r="J871" s="1" t="s">
        <v>17</v>
      </c>
      <c r="K871" s="1" t="s">
        <v>18</v>
      </c>
      <c r="L871" s="1" t="s">
        <v>19</v>
      </c>
    </row>
    <row r="872" spans="1:16" ht="13" x14ac:dyDescent="0.15">
      <c r="A872" s="1">
        <v>582701</v>
      </c>
      <c r="B872" s="1">
        <v>0</v>
      </c>
      <c r="C872" s="1" t="s">
        <v>759</v>
      </c>
      <c r="D872" s="1" t="s">
        <v>27</v>
      </c>
      <c r="E872" s="1" t="s">
        <v>2143</v>
      </c>
      <c r="F872" s="1" t="s">
        <v>2144</v>
      </c>
      <c r="G872" s="1" t="s">
        <v>16</v>
      </c>
      <c r="I872" s="16">
        <v>42399.255995370368</v>
      </c>
      <c r="J872" s="1" t="s">
        <v>17</v>
      </c>
      <c r="K872" s="1" t="s">
        <v>18</v>
      </c>
      <c r="L872" s="1" t="s">
        <v>19</v>
      </c>
    </row>
    <row r="873" spans="1:16" ht="13" x14ac:dyDescent="0.15">
      <c r="A873" s="1">
        <v>582702</v>
      </c>
      <c r="B873" s="1">
        <v>0</v>
      </c>
      <c r="C873" s="1" t="s">
        <v>101</v>
      </c>
      <c r="D873" s="1" t="s">
        <v>27</v>
      </c>
      <c r="E873" s="1" t="s">
        <v>2145</v>
      </c>
      <c r="F873" s="1" t="s">
        <v>2146</v>
      </c>
      <c r="G873" s="1" t="s">
        <v>56</v>
      </c>
      <c r="I873" s="16">
        <v>42399.256388888891</v>
      </c>
      <c r="J873" s="1" t="s">
        <v>17</v>
      </c>
      <c r="K873" s="1" t="s">
        <v>18</v>
      </c>
      <c r="L873" s="1" t="s">
        <v>19</v>
      </c>
    </row>
    <row r="874" spans="1:16" ht="13" x14ac:dyDescent="0.15">
      <c r="A874" s="1">
        <v>582703</v>
      </c>
      <c r="B874" s="1">
        <v>0</v>
      </c>
      <c r="C874" s="1" t="s">
        <v>101</v>
      </c>
      <c r="D874" s="1" t="s">
        <v>27</v>
      </c>
      <c r="E874" s="1" t="s">
        <v>2147</v>
      </c>
      <c r="F874" s="1" t="s">
        <v>2148</v>
      </c>
      <c r="G874" s="1" t="s">
        <v>16</v>
      </c>
      <c r="I874" s="16">
        <v>42399.256932870368</v>
      </c>
      <c r="J874" s="1" t="s">
        <v>17</v>
      </c>
      <c r="K874" s="1" t="s">
        <v>18</v>
      </c>
      <c r="L874" s="1" t="s">
        <v>19</v>
      </c>
    </row>
    <row r="875" spans="1:16" ht="13" x14ac:dyDescent="0.15">
      <c r="A875" s="1">
        <v>679649</v>
      </c>
      <c r="B875" s="1">
        <v>0</v>
      </c>
      <c r="C875" s="1" t="s">
        <v>12</v>
      </c>
      <c r="D875" s="1" t="s">
        <v>27</v>
      </c>
      <c r="E875" s="1" t="s">
        <v>2149</v>
      </c>
      <c r="F875" s="1" t="s">
        <v>2150</v>
      </c>
      <c r="G875" s="1" t="s">
        <v>23</v>
      </c>
      <c r="I875" s="16">
        <v>42745.338356481479</v>
      </c>
      <c r="J875" s="1" t="s">
        <v>2151</v>
      </c>
      <c r="K875" s="1" t="s">
        <v>18</v>
      </c>
      <c r="L875" s="1" t="s">
        <v>19</v>
      </c>
    </row>
    <row r="876" spans="1:16" ht="13" x14ac:dyDescent="0.15">
      <c r="A876" s="1">
        <v>369860</v>
      </c>
      <c r="B876" s="1">
        <v>0</v>
      </c>
      <c r="C876" s="1" t="s">
        <v>280</v>
      </c>
      <c r="D876" s="1" t="s">
        <v>27</v>
      </c>
      <c r="E876" s="1" t="s">
        <v>2152</v>
      </c>
      <c r="F876" s="1" t="s">
        <v>2153</v>
      </c>
      <c r="G876" s="1" t="s">
        <v>23</v>
      </c>
      <c r="I876" s="16">
        <v>41763.609814814816</v>
      </c>
      <c r="J876" s="1" t="s">
        <v>68</v>
      </c>
      <c r="K876" s="1" t="s">
        <v>18</v>
      </c>
      <c r="L876" s="1" t="s">
        <v>19</v>
      </c>
    </row>
    <row r="877" spans="1:16" ht="13" x14ac:dyDescent="0.15">
      <c r="A877" s="1">
        <v>21770</v>
      </c>
      <c r="B877" s="1">
        <v>0</v>
      </c>
      <c r="D877" s="1" t="s">
        <v>27</v>
      </c>
      <c r="E877" s="1" t="s">
        <v>2154</v>
      </c>
      <c r="F877" s="1" t="s">
        <v>2155</v>
      </c>
      <c r="G877" s="1" t="s">
        <v>23</v>
      </c>
      <c r="I877" s="16">
        <v>40070.719363425924</v>
      </c>
      <c r="J877" s="1" t="s">
        <v>366</v>
      </c>
      <c r="K877" s="1" t="s">
        <v>18</v>
      </c>
      <c r="L877" s="1" t="s">
        <v>19</v>
      </c>
    </row>
    <row r="878" spans="1:16" ht="13" x14ac:dyDescent="0.15">
      <c r="A878" s="1">
        <v>21771</v>
      </c>
      <c r="B878" s="1">
        <v>0</v>
      </c>
      <c r="D878" s="1" t="s">
        <v>27</v>
      </c>
      <c r="E878" s="1" t="s">
        <v>2156</v>
      </c>
      <c r="F878" s="1" t="s">
        <v>2155</v>
      </c>
      <c r="G878" s="1" t="s">
        <v>23</v>
      </c>
      <c r="I878" s="16">
        <v>40070.721631944441</v>
      </c>
      <c r="J878" s="1" t="s">
        <v>366</v>
      </c>
      <c r="K878" s="1" t="s">
        <v>18</v>
      </c>
      <c r="L878" s="1" t="s">
        <v>19</v>
      </c>
    </row>
    <row r="879" spans="1:16" ht="13" x14ac:dyDescent="0.15">
      <c r="A879" s="1">
        <v>610646</v>
      </c>
      <c r="B879" s="1">
        <v>0</v>
      </c>
      <c r="C879" s="1" t="s">
        <v>2157</v>
      </c>
      <c r="D879" s="1" t="s">
        <v>27</v>
      </c>
      <c r="E879" s="1" t="s">
        <v>2158</v>
      </c>
      <c r="F879" s="1" t="s">
        <v>2159</v>
      </c>
      <c r="G879" s="1" t="s">
        <v>16</v>
      </c>
      <c r="I879" s="16">
        <v>42500.439328703702</v>
      </c>
      <c r="J879" s="1" t="s">
        <v>17</v>
      </c>
      <c r="K879" s="1" t="s">
        <v>18</v>
      </c>
      <c r="L879" s="1" t="s">
        <v>19</v>
      </c>
    </row>
    <row r="880" spans="1:16" ht="13" x14ac:dyDescent="0.15">
      <c r="A880" s="1">
        <v>474784</v>
      </c>
      <c r="B880" s="1">
        <v>0</v>
      </c>
      <c r="D880" s="1" t="s">
        <v>27</v>
      </c>
      <c r="E880" s="1" t="s">
        <v>2160</v>
      </c>
      <c r="F880" s="1" t="s">
        <v>2161</v>
      </c>
      <c r="G880" s="1" t="s">
        <v>23</v>
      </c>
      <c r="I880" s="16">
        <v>42101.942071759258</v>
      </c>
      <c r="J880" s="1" t="s">
        <v>17</v>
      </c>
      <c r="K880" s="1" t="s">
        <v>18</v>
      </c>
      <c r="L880" s="1" t="s">
        <v>19</v>
      </c>
    </row>
    <row r="881" spans="1:16" ht="13" x14ac:dyDescent="0.15">
      <c r="A881" s="1">
        <v>427249</v>
      </c>
      <c r="B881" s="1">
        <v>0</v>
      </c>
      <c r="D881" s="1" t="s">
        <v>27</v>
      </c>
      <c r="E881" s="1" t="s">
        <v>2162</v>
      </c>
      <c r="F881" s="1" t="s">
        <v>2163</v>
      </c>
      <c r="I881" s="16">
        <v>41938.510914351849</v>
      </c>
      <c r="J881" s="1" t="s">
        <v>68</v>
      </c>
      <c r="K881" s="1" t="s">
        <v>18</v>
      </c>
      <c r="L881" s="1" t="s">
        <v>19</v>
      </c>
    </row>
    <row r="882" spans="1:16" ht="13" x14ac:dyDescent="0.15">
      <c r="A882" s="1">
        <v>323682</v>
      </c>
      <c r="B882" s="1">
        <v>0</v>
      </c>
      <c r="C882" s="1" t="s">
        <v>280</v>
      </c>
      <c r="D882" s="1" t="s">
        <v>27</v>
      </c>
      <c r="E882" s="1" t="s">
        <v>2164</v>
      </c>
      <c r="F882" s="1" t="s">
        <v>2165</v>
      </c>
      <c r="G882" s="1" t="s">
        <v>23</v>
      </c>
      <c r="I882" s="16">
        <v>41604.891817129632</v>
      </c>
      <c r="J882" s="1" t="s">
        <v>17</v>
      </c>
      <c r="K882" s="1" t="s">
        <v>18</v>
      </c>
      <c r="L882" s="1" t="s">
        <v>19</v>
      </c>
    </row>
    <row r="883" spans="1:16" ht="13" x14ac:dyDescent="0.15">
      <c r="A883" s="1">
        <v>121899</v>
      </c>
      <c r="B883" s="1">
        <v>0</v>
      </c>
      <c r="C883" s="1" t="s">
        <v>26</v>
      </c>
      <c r="D883" s="1" t="s">
        <v>27</v>
      </c>
      <c r="E883" s="1" t="s">
        <v>2166</v>
      </c>
      <c r="F883" s="1" t="s">
        <v>2167</v>
      </c>
      <c r="G883" s="1" t="s">
        <v>23</v>
      </c>
      <c r="I883" s="16">
        <v>41003.623831018522</v>
      </c>
      <c r="J883" s="1" t="s">
        <v>44</v>
      </c>
      <c r="K883" s="1" t="s">
        <v>18</v>
      </c>
      <c r="L883" s="1" t="s">
        <v>19</v>
      </c>
    </row>
    <row r="884" spans="1:16" ht="13" x14ac:dyDescent="0.15">
      <c r="A884" s="1">
        <v>158547</v>
      </c>
      <c r="B884" s="1">
        <v>0</v>
      </c>
      <c r="C884" s="1" t="s">
        <v>26</v>
      </c>
      <c r="D884" s="1" t="s">
        <v>27</v>
      </c>
      <c r="E884" s="1" t="s">
        <v>2168</v>
      </c>
      <c r="F884" s="1" t="s">
        <v>120</v>
      </c>
      <c r="G884" s="1" t="s">
        <v>23</v>
      </c>
      <c r="I884" s="16">
        <v>41212.722326388888</v>
      </c>
      <c r="J884" s="1" t="s">
        <v>155</v>
      </c>
      <c r="K884" s="1" t="s">
        <v>18</v>
      </c>
      <c r="L884" s="1" t="s">
        <v>19</v>
      </c>
    </row>
    <row r="885" spans="1:16" ht="13" x14ac:dyDescent="0.15">
      <c r="A885" s="1">
        <v>124919</v>
      </c>
      <c r="B885" s="1">
        <v>1</v>
      </c>
      <c r="C885" s="1" t="s">
        <v>26</v>
      </c>
      <c r="D885" s="1" t="s">
        <v>27</v>
      </c>
      <c r="E885" s="1" t="s">
        <v>2169</v>
      </c>
      <c r="F885" s="1" t="s">
        <v>1959</v>
      </c>
      <c r="G885" s="1" t="s">
        <v>23</v>
      </c>
      <c r="I885" s="16">
        <v>41023.965532407405</v>
      </c>
      <c r="J885" s="1" t="s">
        <v>155</v>
      </c>
      <c r="K885" s="1" t="s">
        <v>18</v>
      </c>
      <c r="L885" s="1" t="s">
        <v>19</v>
      </c>
      <c r="M885" s="1">
        <v>125930</v>
      </c>
      <c r="N885" s="1" t="s">
        <v>2170</v>
      </c>
      <c r="O885" s="16">
        <v>41031.613900462966</v>
      </c>
      <c r="P885" s="1" t="s">
        <v>544</v>
      </c>
    </row>
    <row r="886" spans="1:16" ht="13" x14ac:dyDescent="0.15">
      <c r="A886" s="1">
        <v>414100</v>
      </c>
      <c r="B886" s="1">
        <v>0</v>
      </c>
      <c r="D886" s="1" t="s">
        <v>27</v>
      </c>
      <c r="E886" s="1" t="s">
        <v>2171</v>
      </c>
      <c r="F886" s="1" t="s">
        <v>2172</v>
      </c>
      <c r="G886" s="1" t="s">
        <v>23</v>
      </c>
      <c r="I886" s="16">
        <v>41896.652453703704</v>
      </c>
      <c r="J886" s="1" t="s">
        <v>17</v>
      </c>
      <c r="K886" s="1" t="s">
        <v>18</v>
      </c>
      <c r="L886" s="1" t="s">
        <v>19</v>
      </c>
    </row>
    <row r="887" spans="1:16" ht="13" x14ac:dyDescent="0.15">
      <c r="A887" s="1">
        <v>613698</v>
      </c>
      <c r="B887" s="1">
        <v>0</v>
      </c>
      <c r="C887" s="1" t="s">
        <v>2173</v>
      </c>
      <c r="D887" s="1" t="s">
        <v>27</v>
      </c>
      <c r="E887" s="1" t="s">
        <v>2174</v>
      </c>
      <c r="F887" s="1" t="s">
        <v>2175</v>
      </c>
      <c r="G887" s="1" t="s">
        <v>23</v>
      </c>
      <c r="I887" s="16">
        <v>42510.873333333337</v>
      </c>
      <c r="J887" s="1" t="s">
        <v>454</v>
      </c>
      <c r="K887" s="1" t="s">
        <v>18</v>
      </c>
      <c r="L887" s="1" t="s">
        <v>19</v>
      </c>
    </row>
    <row r="888" spans="1:16" ht="13" x14ac:dyDescent="0.15">
      <c r="A888" s="1">
        <v>107258</v>
      </c>
      <c r="B888" s="1">
        <v>0</v>
      </c>
      <c r="C888" s="1" t="s">
        <v>26</v>
      </c>
      <c r="D888" s="1" t="s">
        <v>27</v>
      </c>
      <c r="E888" s="1" t="s">
        <v>2176</v>
      </c>
      <c r="F888" s="1" t="s">
        <v>2177</v>
      </c>
      <c r="G888" s="1" t="s">
        <v>23</v>
      </c>
      <c r="I888" s="16">
        <v>40889.878761574073</v>
      </c>
      <c r="J888" s="1" t="s">
        <v>398</v>
      </c>
      <c r="K888" s="1" t="s">
        <v>18</v>
      </c>
      <c r="L888" s="1" t="s">
        <v>19</v>
      </c>
    </row>
    <row r="889" spans="1:16" ht="13" x14ac:dyDescent="0.15">
      <c r="A889" s="1">
        <v>319835</v>
      </c>
      <c r="B889" s="1">
        <v>0</v>
      </c>
      <c r="D889" s="1" t="s">
        <v>27</v>
      </c>
      <c r="E889" s="1" t="s">
        <v>2178</v>
      </c>
      <c r="F889" s="1" t="s">
        <v>2179</v>
      </c>
      <c r="G889" s="1" t="s">
        <v>23</v>
      </c>
      <c r="I889" s="16">
        <v>41593.604884259257</v>
      </c>
      <c r="J889" s="1" t="s">
        <v>258</v>
      </c>
      <c r="K889" s="1" t="s">
        <v>18</v>
      </c>
      <c r="L889" s="1" t="s">
        <v>19</v>
      </c>
    </row>
    <row r="890" spans="1:16" ht="13" x14ac:dyDescent="0.15">
      <c r="A890" s="1">
        <v>49318</v>
      </c>
      <c r="B890" s="1">
        <v>0</v>
      </c>
      <c r="C890" s="1" t="s">
        <v>26</v>
      </c>
      <c r="D890" s="1" t="s">
        <v>27</v>
      </c>
      <c r="E890" s="1" t="s">
        <v>2180</v>
      </c>
      <c r="F890" s="1" t="s">
        <v>2181</v>
      </c>
      <c r="I890" s="16">
        <v>40375.676851851851</v>
      </c>
      <c r="J890" s="1" t="s">
        <v>40</v>
      </c>
      <c r="K890" s="1" t="s">
        <v>18</v>
      </c>
      <c r="L890" s="1" t="s">
        <v>19</v>
      </c>
    </row>
    <row r="891" spans="1:16" ht="13" x14ac:dyDescent="0.15">
      <c r="A891" s="1">
        <v>107873</v>
      </c>
      <c r="B891" s="1">
        <v>0</v>
      </c>
      <c r="C891" s="1" t="s">
        <v>26</v>
      </c>
      <c r="D891" s="1" t="s">
        <v>27</v>
      </c>
      <c r="E891" s="1" t="s">
        <v>2182</v>
      </c>
      <c r="F891" s="1" t="s">
        <v>2183</v>
      </c>
      <c r="G891" s="1" t="s">
        <v>23</v>
      </c>
      <c r="I891" s="16">
        <v>40893.722418981481</v>
      </c>
      <c r="J891" s="1" t="s">
        <v>40</v>
      </c>
      <c r="K891" s="1" t="s">
        <v>18</v>
      </c>
      <c r="L891" s="1" t="s">
        <v>19</v>
      </c>
    </row>
    <row r="892" spans="1:16" ht="13" x14ac:dyDescent="0.15">
      <c r="A892" s="1">
        <v>65796</v>
      </c>
      <c r="B892" s="1">
        <v>0</v>
      </c>
      <c r="C892" s="1" t="s">
        <v>26</v>
      </c>
      <c r="D892" s="1" t="s">
        <v>27</v>
      </c>
      <c r="E892" s="1" t="s">
        <v>2184</v>
      </c>
      <c r="F892" s="1" t="s">
        <v>1173</v>
      </c>
      <c r="G892" s="1" t="s">
        <v>23</v>
      </c>
      <c r="I892" s="16">
        <v>40519.960868055554</v>
      </c>
      <c r="J892" s="1" t="s">
        <v>40</v>
      </c>
      <c r="K892" s="1" t="s">
        <v>18</v>
      </c>
      <c r="L892" s="1" t="s">
        <v>19</v>
      </c>
    </row>
    <row r="893" spans="1:16" ht="13" x14ac:dyDescent="0.15">
      <c r="A893" s="1">
        <v>113439</v>
      </c>
      <c r="B893" s="1">
        <v>0</v>
      </c>
      <c r="C893" s="1" t="s">
        <v>26</v>
      </c>
      <c r="D893" s="1" t="s">
        <v>27</v>
      </c>
      <c r="E893" s="1" t="s">
        <v>2185</v>
      </c>
      <c r="F893" s="1" t="s">
        <v>313</v>
      </c>
      <c r="G893" s="1" t="s">
        <v>23</v>
      </c>
      <c r="I893" s="16">
        <v>40948.790543981479</v>
      </c>
      <c r="J893" s="1" t="s">
        <v>44</v>
      </c>
      <c r="K893" s="1" t="s">
        <v>18</v>
      </c>
      <c r="L893" s="1" t="s">
        <v>19</v>
      </c>
    </row>
    <row r="894" spans="1:16" ht="13" x14ac:dyDescent="0.15">
      <c r="A894" s="1">
        <v>7338</v>
      </c>
      <c r="B894" s="1">
        <v>0</v>
      </c>
      <c r="C894" s="1" t="s">
        <v>170</v>
      </c>
      <c r="D894" s="1" t="s">
        <v>27</v>
      </c>
      <c r="E894" s="1" t="s">
        <v>2186</v>
      </c>
      <c r="F894" s="1" t="s">
        <v>2187</v>
      </c>
      <c r="G894" s="1" t="s">
        <v>23</v>
      </c>
      <c r="I894" s="16">
        <v>39847.378599537034</v>
      </c>
      <c r="J894" s="1" t="s">
        <v>366</v>
      </c>
      <c r="K894" s="1" t="s">
        <v>18</v>
      </c>
      <c r="L894" s="1" t="s">
        <v>19</v>
      </c>
    </row>
    <row r="895" spans="1:16" ht="13" x14ac:dyDescent="0.15">
      <c r="A895" s="1">
        <v>101458</v>
      </c>
      <c r="B895" s="1">
        <v>0</v>
      </c>
      <c r="D895" s="1" t="s">
        <v>27</v>
      </c>
      <c r="E895" s="1" t="s">
        <v>2188</v>
      </c>
      <c r="F895" s="1" t="s">
        <v>2189</v>
      </c>
      <c r="I895" s="16">
        <v>40841.310706018521</v>
      </c>
      <c r="J895" s="1" t="s">
        <v>190</v>
      </c>
      <c r="K895" s="1" t="s">
        <v>18</v>
      </c>
      <c r="L895" s="1" t="s">
        <v>19</v>
      </c>
    </row>
    <row r="896" spans="1:16" ht="13" x14ac:dyDescent="0.15">
      <c r="A896" s="1">
        <v>129947</v>
      </c>
      <c r="B896" s="1">
        <v>0</v>
      </c>
      <c r="C896" s="1" t="s">
        <v>26</v>
      </c>
      <c r="D896" s="1" t="s">
        <v>27</v>
      </c>
      <c r="E896" s="1" t="s">
        <v>2190</v>
      </c>
      <c r="F896" s="1" t="s">
        <v>2191</v>
      </c>
      <c r="G896" s="1" t="s">
        <v>23</v>
      </c>
      <c r="I896" s="16">
        <v>41056.735995370371</v>
      </c>
      <c r="J896" s="1" t="s">
        <v>44</v>
      </c>
      <c r="K896" s="1" t="s">
        <v>18</v>
      </c>
      <c r="L896" s="1" t="s">
        <v>19</v>
      </c>
    </row>
    <row r="897" spans="1:12" ht="13" x14ac:dyDescent="0.15">
      <c r="A897" s="1">
        <v>82546</v>
      </c>
      <c r="B897" s="1">
        <v>0</v>
      </c>
      <c r="C897" s="1" t="s">
        <v>26</v>
      </c>
      <c r="D897" s="1" t="s">
        <v>27</v>
      </c>
      <c r="E897" s="1" t="s">
        <v>2192</v>
      </c>
      <c r="F897" s="1" t="s">
        <v>2193</v>
      </c>
      <c r="G897" s="1" t="s">
        <v>23</v>
      </c>
      <c r="I897" s="16">
        <v>40676.649317129632</v>
      </c>
      <c r="J897" s="1" t="s">
        <v>92</v>
      </c>
      <c r="K897" s="1" t="s">
        <v>18</v>
      </c>
      <c r="L897" s="1" t="s">
        <v>19</v>
      </c>
    </row>
    <row r="898" spans="1:12" ht="13" x14ac:dyDescent="0.15">
      <c r="A898" s="1">
        <v>470749</v>
      </c>
      <c r="B898" s="1">
        <v>0</v>
      </c>
      <c r="C898" s="1" t="s">
        <v>137</v>
      </c>
      <c r="D898" s="1" t="s">
        <v>27</v>
      </c>
      <c r="E898" s="1" t="s">
        <v>2194</v>
      </c>
      <c r="F898" s="1" t="s">
        <v>2195</v>
      </c>
      <c r="G898" s="1" t="s">
        <v>23</v>
      </c>
      <c r="I898" s="16">
        <v>42089.051828703705</v>
      </c>
      <c r="J898" s="1" t="s">
        <v>151</v>
      </c>
      <c r="K898" s="1" t="s">
        <v>18</v>
      </c>
      <c r="L898" s="1" t="s">
        <v>19</v>
      </c>
    </row>
    <row r="899" spans="1:12" ht="13" x14ac:dyDescent="0.15">
      <c r="A899" s="1">
        <v>34135</v>
      </c>
      <c r="B899" s="1">
        <v>0</v>
      </c>
      <c r="C899" s="1" t="s">
        <v>2196</v>
      </c>
      <c r="D899" s="1" t="s">
        <v>27</v>
      </c>
      <c r="E899" s="1" t="s">
        <v>2197</v>
      </c>
      <c r="F899" s="1" t="s">
        <v>2198</v>
      </c>
      <c r="I899" s="16">
        <v>40210.994490740741</v>
      </c>
      <c r="J899" s="1" t="s">
        <v>2199</v>
      </c>
      <c r="K899" s="1" t="s">
        <v>18</v>
      </c>
      <c r="L899" s="1" t="s">
        <v>19</v>
      </c>
    </row>
    <row r="900" spans="1:12" ht="13" x14ac:dyDescent="0.15">
      <c r="A900" s="1">
        <v>98556</v>
      </c>
      <c r="B900" s="1">
        <v>0</v>
      </c>
      <c r="C900" s="1" t="s">
        <v>26</v>
      </c>
      <c r="D900" s="1" t="s">
        <v>27</v>
      </c>
      <c r="E900" s="1" t="s">
        <v>2200</v>
      </c>
      <c r="F900" s="1" t="s">
        <v>628</v>
      </c>
      <c r="G900" s="1" t="s">
        <v>23</v>
      </c>
      <c r="I900" s="16">
        <v>40815.664641203701</v>
      </c>
      <c r="J900" s="1" t="s">
        <v>44</v>
      </c>
      <c r="K900" s="1" t="s">
        <v>18</v>
      </c>
      <c r="L900" s="1" t="s">
        <v>19</v>
      </c>
    </row>
    <row r="901" spans="1:12" ht="13" x14ac:dyDescent="0.15">
      <c r="A901" s="1">
        <v>70027</v>
      </c>
      <c r="B901" s="1">
        <v>0</v>
      </c>
      <c r="C901" s="1" t="s">
        <v>26</v>
      </c>
      <c r="D901" s="1" t="s">
        <v>27</v>
      </c>
      <c r="E901" s="1" t="s">
        <v>2201</v>
      </c>
      <c r="F901" s="1" t="s">
        <v>2202</v>
      </c>
      <c r="I901" s="16">
        <v>40562.010335648149</v>
      </c>
      <c r="J901" s="1" t="s">
        <v>92</v>
      </c>
      <c r="K901" s="1" t="s">
        <v>18</v>
      </c>
      <c r="L901" s="1" t="s">
        <v>19</v>
      </c>
    </row>
    <row r="902" spans="1:12" ht="13" x14ac:dyDescent="0.15">
      <c r="A902" s="1">
        <v>481639</v>
      </c>
      <c r="B902" s="1">
        <v>0</v>
      </c>
      <c r="C902" s="1" t="s">
        <v>137</v>
      </c>
      <c r="D902" s="1" t="s">
        <v>27</v>
      </c>
      <c r="E902" s="1" t="s">
        <v>2203</v>
      </c>
      <c r="F902" s="1" t="s">
        <v>2204</v>
      </c>
      <c r="G902" s="1" t="s">
        <v>23</v>
      </c>
      <c r="I902" s="16">
        <v>42121.845185185186</v>
      </c>
      <c r="J902" s="1" t="s">
        <v>2205</v>
      </c>
      <c r="K902" s="1" t="s">
        <v>18</v>
      </c>
      <c r="L902" s="1" t="s">
        <v>19</v>
      </c>
    </row>
    <row r="903" spans="1:12" ht="13" x14ac:dyDescent="0.15">
      <c r="A903" s="1">
        <v>285578</v>
      </c>
      <c r="B903" s="1">
        <v>0</v>
      </c>
      <c r="C903" s="1" t="s">
        <v>2206</v>
      </c>
      <c r="D903" s="1" t="s">
        <v>27</v>
      </c>
      <c r="E903" s="1" t="s">
        <v>2207</v>
      </c>
      <c r="F903" s="1" t="s">
        <v>746</v>
      </c>
      <c r="G903" s="1" t="s">
        <v>23</v>
      </c>
      <c r="I903" s="16">
        <v>41522.110821759263</v>
      </c>
      <c r="J903" s="1" t="s">
        <v>17</v>
      </c>
      <c r="K903" s="1" t="s">
        <v>18</v>
      </c>
      <c r="L903" s="1" t="s">
        <v>19</v>
      </c>
    </row>
    <row r="904" spans="1:12" ht="13" x14ac:dyDescent="0.15">
      <c r="A904" s="1">
        <v>260428</v>
      </c>
      <c r="B904" s="1">
        <v>0</v>
      </c>
      <c r="D904" s="1" t="s">
        <v>27</v>
      </c>
      <c r="E904" s="1" t="s">
        <v>2208</v>
      </c>
      <c r="F904" s="1" t="s">
        <v>2209</v>
      </c>
      <c r="G904" s="1" t="s">
        <v>23</v>
      </c>
      <c r="I904" s="16">
        <v>41470.952372685184</v>
      </c>
      <c r="J904" s="1" t="s">
        <v>68</v>
      </c>
      <c r="K904" s="1" t="s">
        <v>18</v>
      </c>
      <c r="L904" s="1" t="s">
        <v>19</v>
      </c>
    </row>
    <row r="905" spans="1:12" ht="13" x14ac:dyDescent="0.15">
      <c r="A905" s="1">
        <v>506749</v>
      </c>
      <c r="B905" s="1">
        <v>0</v>
      </c>
      <c r="C905" s="1" t="s">
        <v>225</v>
      </c>
      <c r="D905" s="1" t="s">
        <v>27</v>
      </c>
      <c r="E905" s="1" t="s">
        <v>2210</v>
      </c>
      <c r="F905" s="1" t="s">
        <v>2211</v>
      </c>
      <c r="G905" s="1" t="s">
        <v>23</v>
      </c>
      <c r="I905" s="16">
        <v>42188.206921296296</v>
      </c>
      <c r="J905" s="1" t="s">
        <v>17</v>
      </c>
      <c r="K905" s="1" t="s">
        <v>18</v>
      </c>
      <c r="L905" s="1" t="s">
        <v>19</v>
      </c>
    </row>
    <row r="906" spans="1:12" ht="13" x14ac:dyDescent="0.15">
      <c r="A906" s="1">
        <v>56206</v>
      </c>
      <c r="B906" s="1">
        <v>0</v>
      </c>
      <c r="C906" s="1" t="s">
        <v>26</v>
      </c>
      <c r="D906" s="1" t="s">
        <v>27</v>
      </c>
      <c r="E906" s="1" t="s">
        <v>2212</v>
      </c>
      <c r="F906" s="1" t="s">
        <v>651</v>
      </c>
      <c r="G906" s="1" t="s">
        <v>23</v>
      </c>
      <c r="I906" s="16">
        <v>40440.817615740743</v>
      </c>
      <c r="J906" s="1" t="s">
        <v>40</v>
      </c>
      <c r="K906" s="1" t="s">
        <v>18</v>
      </c>
      <c r="L906" s="1" t="s">
        <v>19</v>
      </c>
    </row>
    <row r="907" spans="1:12" ht="13" x14ac:dyDescent="0.15">
      <c r="A907" s="1">
        <v>422374</v>
      </c>
      <c r="B907" s="1">
        <v>0</v>
      </c>
      <c r="C907" s="1" t="s">
        <v>2213</v>
      </c>
      <c r="D907" s="1" t="s">
        <v>27</v>
      </c>
      <c r="E907" s="1" t="s">
        <v>2214</v>
      </c>
      <c r="F907" s="1" t="s">
        <v>2215</v>
      </c>
      <c r="I907" s="16">
        <v>41922.709560185183</v>
      </c>
      <c r="J907" s="1" t="s">
        <v>2216</v>
      </c>
      <c r="K907" s="1" t="s">
        <v>18</v>
      </c>
      <c r="L907" s="1" t="s">
        <v>19</v>
      </c>
    </row>
    <row r="908" spans="1:12" ht="13" x14ac:dyDescent="0.15">
      <c r="A908" s="1">
        <v>30146</v>
      </c>
      <c r="B908" s="1">
        <v>0</v>
      </c>
      <c r="C908" s="1" t="s">
        <v>305</v>
      </c>
      <c r="D908" s="1" t="s">
        <v>27</v>
      </c>
      <c r="E908" s="1" t="s">
        <v>2217</v>
      </c>
      <c r="F908" s="1" t="s">
        <v>2218</v>
      </c>
      <c r="G908" s="1" t="s">
        <v>23</v>
      </c>
      <c r="I908" s="16">
        <v>40158.84747685185</v>
      </c>
      <c r="J908" s="1" t="s">
        <v>2219</v>
      </c>
      <c r="K908" s="1" t="s">
        <v>18</v>
      </c>
      <c r="L908" s="1" t="s">
        <v>19</v>
      </c>
    </row>
    <row r="909" spans="1:12" ht="13" x14ac:dyDescent="0.15">
      <c r="A909" s="1">
        <v>437636</v>
      </c>
      <c r="B909" s="1">
        <v>0</v>
      </c>
      <c r="D909" s="1" t="s">
        <v>27</v>
      </c>
      <c r="E909" s="1" t="s">
        <v>2220</v>
      </c>
      <c r="F909" s="1" t="s">
        <v>2221</v>
      </c>
      <c r="G909" s="1" t="s">
        <v>23</v>
      </c>
      <c r="I909" s="16">
        <v>41973.065671296295</v>
      </c>
      <c r="J909" s="1" t="s">
        <v>17</v>
      </c>
      <c r="K909" s="1" t="s">
        <v>18</v>
      </c>
      <c r="L909" s="1" t="s">
        <v>19</v>
      </c>
    </row>
    <row r="910" spans="1:12" ht="13" x14ac:dyDescent="0.15">
      <c r="A910" s="1">
        <v>555784</v>
      </c>
      <c r="B910" s="1">
        <v>0</v>
      </c>
      <c r="C910" s="1" t="s">
        <v>12</v>
      </c>
      <c r="D910" s="1" t="s">
        <v>27</v>
      </c>
      <c r="E910" s="1" t="s">
        <v>2222</v>
      </c>
      <c r="F910" s="1" t="s">
        <v>2223</v>
      </c>
      <c r="G910" s="1" t="s">
        <v>16</v>
      </c>
      <c r="I910" s="16">
        <v>42321.976064814815</v>
      </c>
      <c r="J910" s="1" t="s">
        <v>17</v>
      </c>
      <c r="K910" s="1" t="s">
        <v>18</v>
      </c>
      <c r="L910" s="1" t="s">
        <v>19</v>
      </c>
    </row>
    <row r="911" spans="1:12" ht="13" x14ac:dyDescent="0.15">
      <c r="A911" s="1">
        <v>136226</v>
      </c>
      <c r="B911" s="1">
        <v>0</v>
      </c>
      <c r="C911" s="1" t="s">
        <v>527</v>
      </c>
      <c r="D911" s="1" t="s">
        <v>27</v>
      </c>
      <c r="E911" s="1" t="s">
        <v>473</v>
      </c>
      <c r="F911" s="1" t="s">
        <v>2224</v>
      </c>
      <c r="G911" s="1" t="s">
        <v>23</v>
      </c>
      <c r="I911" s="16">
        <v>41097.584872685184</v>
      </c>
      <c r="J911" s="1" t="s">
        <v>40</v>
      </c>
      <c r="K911" s="1" t="s">
        <v>18</v>
      </c>
      <c r="L911" s="1" t="s">
        <v>19</v>
      </c>
    </row>
    <row r="912" spans="1:12" ht="13" x14ac:dyDescent="0.15">
      <c r="A912" s="1">
        <v>137052</v>
      </c>
      <c r="B912" s="1">
        <v>0</v>
      </c>
      <c r="C912" s="1" t="s">
        <v>26</v>
      </c>
      <c r="D912" s="1" t="s">
        <v>27</v>
      </c>
      <c r="E912" s="1" t="s">
        <v>2225</v>
      </c>
      <c r="F912" s="1" t="s">
        <v>2226</v>
      </c>
      <c r="G912" s="1" t="s">
        <v>23</v>
      </c>
      <c r="I912" s="16">
        <v>41102.677858796298</v>
      </c>
      <c r="J912" s="1" t="s">
        <v>40</v>
      </c>
      <c r="K912" s="1" t="s">
        <v>18</v>
      </c>
      <c r="L912" s="1" t="s">
        <v>19</v>
      </c>
    </row>
    <row r="913" spans="1:20" ht="13" x14ac:dyDescent="0.15">
      <c r="A913" s="1">
        <v>620937</v>
      </c>
      <c r="B913" s="1">
        <v>0</v>
      </c>
      <c r="C913" s="1" t="s">
        <v>2227</v>
      </c>
      <c r="D913" s="1" t="s">
        <v>27</v>
      </c>
      <c r="E913" s="1" t="s">
        <v>2228</v>
      </c>
      <c r="F913" s="1" t="s">
        <v>2229</v>
      </c>
      <c r="G913" s="1" t="s">
        <v>23</v>
      </c>
      <c r="I913" s="16">
        <v>42538.088900462964</v>
      </c>
      <c r="J913" s="1" t="s">
        <v>2230</v>
      </c>
      <c r="K913" s="1" t="s">
        <v>18</v>
      </c>
      <c r="L913" s="1" t="s">
        <v>19</v>
      </c>
    </row>
    <row r="914" spans="1:20" ht="13" x14ac:dyDescent="0.15">
      <c r="A914" s="1">
        <v>42723</v>
      </c>
      <c r="B914" s="1">
        <v>0</v>
      </c>
      <c r="C914" s="1" t="s">
        <v>133</v>
      </c>
      <c r="D914" s="1" t="s">
        <v>27</v>
      </c>
      <c r="E914" s="1" t="s">
        <v>2231</v>
      </c>
      <c r="F914" s="1" t="s">
        <v>29</v>
      </c>
      <c r="I914" s="16">
        <v>40296.594317129631</v>
      </c>
      <c r="J914" s="1" t="s">
        <v>151</v>
      </c>
      <c r="K914" s="1" t="s">
        <v>18</v>
      </c>
      <c r="L914" s="1" t="s">
        <v>19</v>
      </c>
    </row>
    <row r="915" spans="1:20" ht="13" x14ac:dyDescent="0.15">
      <c r="A915" s="1">
        <v>97608</v>
      </c>
      <c r="B915" s="1">
        <v>2</v>
      </c>
      <c r="C915" s="1" t="s">
        <v>26</v>
      </c>
      <c r="D915" s="1" t="s">
        <v>27</v>
      </c>
      <c r="E915" s="1" t="s">
        <v>2232</v>
      </c>
      <c r="F915" s="1" t="s">
        <v>2233</v>
      </c>
      <c r="G915" s="1" t="s">
        <v>23</v>
      </c>
      <c r="I915" s="16">
        <v>40808.669618055559</v>
      </c>
      <c r="J915" s="1" t="s">
        <v>40</v>
      </c>
      <c r="K915" s="1" t="s">
        <v>18</v>
      </c>
      <c r="L915" s="1" t="s">
        <v>19</v>
      </c>
      <c r="M915" s="1">
        <v>99296</v>
      </c>
      <c r="N915" s="1" t="s">
        <v>2234</v>
      </c>
      <c r="O915" s="16">
        <v>40822.29315972222</v>
      </c>
      <c r="P915" s="1" t="s">
        <v>44</v>
      </c>
      <c r="Q915" s="1">
        <v>98672</v>
      </c>
      <c r="R915" s="1" t="s">
        <v>2234</v>
      </c>
      <c r="S915" s="2">
        <v>40816.64366898148</v>
      </c>
      <c r="T915" s="1" t="s">
        <v>2235</v>
      </c>
    </row>
    <row r="916" spans="1:20" ht="13" x14ac:dyDescent="0.15">
      <c r="A916" s="1">
        <v>459115</v>
      </c>
      <c r="B916" s="1">
        <v>0</v>
      </c>
      <c r="D916" s="1" t="s">
        <v>27</v>
      </c>
      <c r="E916" s="1" t="s">
        <v>2236</v>
      </c>
      <c r="F916" s="1" t="s">
        <v>250</v>
      </c>
      <c r="G916" s="1" t="s">
        <v>23</v>
      </c>
      <c r="I916" s="16">
        <v>42052.270810185182</v>
      </c>
      <c r="J916" s="1" t="s">
        <v>17</v>
      </c>
      <c r="K916" s="1" t="s">
        <v>18</v>
      </c>
      <c r="L916" s="1" t="s">
        <v>19</v>
      </c>
    </row>
    <row r="917" spans="1:20" ht="13" x14ac:dyDescent="0.15">
      <c r="A917" s="1">
        <v>115159</v>
      </c>
      <c r="B917" s="1">
        <v>0</v>
      </c>
      <c r="C917" s="1" t="s">
        <v>26</v>
      </c>
      <c r="D917" s="1" t="s">
        <v>27</v>
      </c>
      <c r="E917" s="1" t="s">
        <v>2237</v>
      </c>
      <c r="F917" s="1" t="s">
        <v>2238</v>
      </c>
      <c r="G917" s="1" t="s">
        <v>23</v>
      </c>
      <c r="I917" s="16">
        <v>40960.881053240744</v>
      </c>
      <c r="J917" s="1" t="s">
        <v>1922</v>
      </c>
      <c r="K917" s="1" t="s">
        <v>18</v>
      </c>
      <c r="L917" s="1" t="s">
        <v>19</v>
      </c>
    </row>
    <row r="918" spans="1:20" ht="13" x14ac:dyDescent="0.15">
      <c r="A918" s="1">
        <v>330222</v>
      </c>
      <c r="B918" s="1">
        <v>0</v>
      </c>
      <c r="C918" s="1" t="s">
        <v>470</v>
      </c>
      <c r="D918" s="1" t="s">
        <v>27</v>
      </c>
      <c r="E918" s="1" t="s">
        <v>2239</v>
      </c>
      <c r="F918" s="1" t="s">
        <v>1198</v>
      </c>
      <c r="G918" s="1" t="s">
        <v>23</v>
      </c>
      <c r="I918" s="16">
        <v>41628.693692129629</v>
      </c>
      <c r="J918" s="1" t="s">
        <v>17</v>
      </c>
      <c r="K918" s="1" t="s">
        <v>18</v>
      </c>
      <c r="L918" s="1" t="s">
        <v>19</v>
      </c>
    </row>
    <row r="919" spans="1:20" ht="13" x14ac:dyDescent="0.15">
      <c r="A919" s="1">
        <v>130369</v>
      </c>
      <c r="B919" s="1">
        <v>1</v>
      </c>
      <c r="C919" s="1" t="s">
        <v>26</v>
      </c>
      <c r="D919" s="1" t="s">
        <v>27</v>
      </c>
      <c r="E919" s="1" t="s">
        <v>380</v>
      </c>
      <c r="F919" s="1" t="s">
        <v>2240</v>
      </c>
      <c r="G919" s="1" t="s">
        <v>23</v>
      </c>
      <c r="I919" s="16">
        <v>41059.860358796293</v>
      </c>
      <c r="J919" s="1" t="s">
        <v>40</v>
      </c>
      <c r="K919" s="1" t="s">
        <v>18</v>
      </c>
      <c r="L919" s="1" t="s">
        <v>19</v>
      </c>
      <c r="M919" s="1">
        <v>130605</v>
      </c>
      <c r="N919" s="1" t="s">
        <v>2241</v>
      </c>
      <c r="O919" s="16">
        <v>41060.786319444444</v>
      </c>
      <c r="P919" s="1" t="s">
        <v>44</v>
      </c>
    </row>
    <row r="920" spans="1:20" ht="13" x14ac:dyDescent="0.15">
      <c r="A920" s="1">
        <v>126406</v>
      </c>
      <c r="B920" s="1">
        <v>0</v>
      </c>
      <c r="C920" s="1" t="s">
        <v>26</v>
      </c>
      <c r="D920" s="1" t="s">
        <v>27</v>
      </c>
      <c r="E920" s="1" t="s">
        <v>2242</v>
      </c>
      <c r="F920" s="1" t="s">
        <v>2243</v>
      </c>
      <c r="G920" s="1" t="s">
        <v>23</v>
      </c>
      <c r="I920" s="16">
        <v>41035.282650462963</v>
      </c>
      <c r="J920" s="1" t="s">
        <v>40</v>
      </c>
      <c r="K920" s="1" t="s">
        <v>18</v>
      </c>
      <c r="L920" s="1" t="s">
        <v>19</v>
      </c>
    </row>
    <row r="921" spans="1:20" ht="13" x14ac:dyDescent="0.15">
      <c r="A921" s="1">
        <v>84885</v>
      </c>
      <c r="B921" s="1">
        <v>0</v>
      </c>
      <c r="C921" s="1" t="s">
        <v>26</v>
      </c>
      <c r="D921" s="1" t="s">
        <v>27</v>
      </c>
      <c r="E921" s="1" t="s">
        <v>2244</v>
      </c>
      <c r="F921" s="1" t="s">
        <v>2245</v>
      </c>
      <c r="G921" s="1" t="s">
        <v>23</v>
      </c>
      <c r="I921" s="16">
        <v>40697.780312499999</v>
      </c>
      <c r="J921" s="1" t="s">
        <v>40</v>
      </c>
      <c r="K921" s="1" t="s">
        <v>18</v>
      </c>
      <c r="L921" s="1" t="s">
        <v>19</v>
      </c>
    </row>
    <row r="922" spans="1:20" ht="13" x14ac:dyDescent="0.15">
      <c r="A922" s="1">
        <v>627355</v>
      </c>
      <c r="B922" s="1">
        <v>0</v>
      </c>
      <c r="C922" s="1" t="s">
        <v>2246</v>
      </c>
      <c r="D922" s="1" t="s">
        <v>27</v>
      </c>
      <c r="E922" s="1" t="s">
        <v>2247</v>
      </c>
      <c r="F922" s="1" t="s">
        <v>2248</v>
      </c>
      <c r="G922" s="1" t="s">
        <v>540</v>
      </c>
      <c r="I922" s="16">
        <v>42563.241851851853</v>
      </c>
      <c r="J922" s="1" t="s">
        <v>17</v>
      </c>
      <c r="K922" s="1" t="s">
        <v>18</v>
      </c>
      <c r="L922" s="1" t="s">
        <v>19</v>
      </c>
    </row>
    <row r="923" spans="1:20" ht="13" x14ac:dyDescent="0.15">
      <c r="A923" s="1">
        <v>121692</v>
      </c>
      <c r="B923" s="1">
        <v>0</v>
      </c>
      <c r="C923" s="1" t="s">
        <v>2249</v>
      </c>
      <c r="D923" s="1" t="s">
        <v>27</v>
      </c>
      <c r="E923" s="1" t="s">
        <v>2250</v>
      </c>
      <c r="F923" s="1" t="s">
        <v>2251</v>
      </c>
      <c r="G923" s="1" t="s">
        <v>23</v>
      </c>
      <c r="I923" s="16">
        <v>41002.69394675926</v>
      </c>
      <c r="J923" s="1" t="s">
        <v>148</v>
      </c>
      <c r="K923" s="1" t="s">
        <v>18</v>
      </c>
      <c r="L923" s="1" t="s">
        <v>19</v>
      </c>
    </row>
    <row r="924" spans="1:20" ht="13" x14ac:dyDescent="0.15">
      <c r="A924" s="1">
        <v>384662</v>
      </c>
      <c r="B924" s="1">
        <v>0</v>
      </c>
      <c r="C924" s="1" t="s">
        <v>12</v>
      </c>
      <c r="D924" s="1" t="s">
        <v>27</v>
      </c>
      <c r="E924" s="1" t="s">
        <v>2252</v>
      </c>
      <c r="F924" s="1" t="s">
        <v>951</v>
      </c>
      <c r="G924" s="1" t="s">
        <v>23</v>
      </c>
      <c r="I924" s="16">
        <v>41804.039710648147</v>
      </c>
      <c r="J924" s="1" t="s">
        <v>952</v>
      </c>
      <c r="K924" s="1" t="s">
        <v>18</v>
      </c>
      <c r="L924" s="1" t="s">
        <v>19</v>
      </c>
    </row>
    <row r="925" spans="1:20" ht="13" x14ac:dyDescent="0.15">
      <c r="A925" s="1">
        <v>158199</v>
      </c>
      <c r="B925" s="1">
        <v>0</v>
      </c>
      <c r="C925" s="1" t="s">
        <v>26</v>
      </c>
      <c r="D925" s="1" t="s">
        <v>27</v>
      </c>
      <c r="E925" s="1" t="s">
        <v>2253</v>
      </c>
      <c r="F925" s="1" t="s">
        <v>707</v>
      </c>
      <c r="G925" s="1" t="s">
        <v>23</v>
      </c>
      <c r="I925" s="16">
        <v>41210.110324074078</v>
      </c>
      <c r="J925" s="1" t="s">
        <v>40</v>
      </c>
      <c r="K925" s="1" t="s">
        <v>18</v>
      </c>
      <c r="L925" s="1" t="s">
        <v>19</v>
      </c>
    </row>
    <row r="926" spans="1:20" ht="13" x14ac:dyDescent="0.15">
      <c r="A926" s="1">
        <v>63495</v>
      </c>
      <c r="B926" s="1">
        <v>0</v>
      </c>
      <c r="C926" s="1" t="s">
        <v>26</v>
      </c>
      <c r="D926" s="1" t="s">
        <v>27</v>
      </c>
      <c r="E926" s="1" t="s">
        <v>2254</v>
      </c>
      <c r="F926" s="1" t="s">
        <v>2255</v>
      </c>
      <c r="G926" s="1" t="s">
        <v>159</v>
      </c>
      <c r="I926" s="16">
        <v>40499.741446759261</v>
      </c>
      <c r="J926" s="1" t="s">
        <v>261</v>
      </c>
      <c r="K926" s="1" t="s">
        <v>18</v>
      </c>
      <c r="L926" s="1" t="s">
        <v>19</v>
      </c>
    </row>
    <row r="927" spans="1:20" ht="13" x14ac:dyDescent="0.15">
      <c r="A927" s="1">
        <v>54636</v>
      </c>
      <c r="B927" s="1">
        <v>0</v>
      </c>
      <c r="C927" s="1" t="s">
        <v>133</v>
      </c>
      <c r="D927" s="1" t="s">
        <v>27</v>
      </c>
      <c r="E927" s="1" t="s">
        <v>2256</v>
      </c>
      <c r="F927" s="1" t="s">
        <v>112</v>
      </c>
      <c r="G927" s="1" t="s">
        <v>23</v>
      </c>
      <c r="I927" s="16">
        <v>40427.827708333331</v>
      </c>
      <c r="J927" s="1" t="s">
        <v>148</v>
      </c>
      <c r="K927" s="1" t="s">
        <v>18</v>
      </c>
      <c r="L927" s="1" t="s">
        <v>19</v>
      </c>
    </row>
    <row r="928" spans="1:20" ht="13" x14ac:dyDescent="0.15">
      <c r="A928" s="1">
        <v>176252</v>
      </c>
      <c r="B928" s="1">
        <v>0</v>
      </c>
      <c r="C928" s="1" t="s">
        <v>2257</v>
      </c>
      <c r="D928" s="1" t="s">
        <v>27</v>
      </c>
      <c r="E928" s="1" t="s">
        <v>2258</v>
      </c>
      <c r="F928" s="1" t="s">
        <v>2259</v>
      </c>
      <c r="G928" s="1" t="s">
        <v>23</v>
      </c>
      <c r="I928" s="16">
        <v>41319.534062500003</v>
      </c>
      <c r="J928" s="1" t="s">
        <v>98</v>
      </c>
      <c r="K928" s="1" t="s">
        <v>18</v>
      </c>
      <c r="L928" s="1" t="s">
        <v>19</v>
      </c>
    </row>
    <row r="929" spans="1:12" ht="13" x14ac:dyDescent="0.15">
      <c r="A929" s="1">
        <v>456828</v>
      </c>
      <c r="B929" s="1">
        <v>0</v>
      </c>
      <c r="D929" s="1" t="s">
        <v>27</v>
      </c>
      <c r="E929" s="1" t="s">
        <v>2260</v>
      </c>
      <c r="F929" s="1" t="s">
        <v>2261</v>
      </c>
      <c r="G929" s="1" t="s">
        <v>23</v>
      </c>
      <c r="I929" s="16">
        <v>42044.613356481481</v>
      </c>
      <c r="J929" s="1" t="s">
        <v>68</v>
      </c>
      <c r="K929" s="1" t="s">
        <v>18</v>
      </c>
      <c r="L929" s="1" t="s">
        <v>19</v>
      </c>
    </row>
    <row r="930" spans="1:12" ht="13" x14ac:dyDescent="0.15">
      <c r="A930" s="1">
        <v>172926</v>
      </c>
      <c r="B930" s="1">
        <v>0</v>
      </c>
      <c r="C930" s="1" t="s">
        <v>2262</v>
      </c>
      <c r="D930" s="1" t="s">
        <v>27</v>
      </c>
      <c r="E930" s="1" t="s">
        <v>2263</v>
      </c>
      <c r="F930" s="1" t="s">
        <v>976</v>
      </c>
      <c r="G930" s="1" t="s">
        <v>23</v>
      </c>
      <c r="I930" s="16">
        <v>41303.826180555552</v>
      </c>
      <c r="J930" s="1" t="s">
        <v>408</v>
      </c>
      <c r="K930" s="1" t="s">
        <v>18</v>
      </c>
      <c r="L930" s="1" t="s">
        <v>19</v>
      </c>
    </row>
    <row r="931" spans="1:12" ht="13" x14ac:dyDescent="0.15">
      <c r="A931" s="1">
        <v>484610</v>
      </c>
      <c r="B931" s="1">
        <v>0</v>
      </c>
      <c r="C931" s="1" t="s">
        <v>137</v>
      </c>
      <c r="D931" s="1" t="s">
        <v>27</v>
      </c>
      <c r="E931" s="1" t="s">
        <v>2264</v>
      </c>
      <c r="F931" s="1" t="s">
        <v>2265</v>
      </c>
      <c r="I931" s="16">
        <v>42129.450243055559</v>
      </c>
      <c r="J931" s="1" t="s">
        <v>656</v>
      </c>
      <c r="K931" s="1" t="s">
        <v>18</v>
      </c>
      <c r="L931" s="1" t="s">
        <v>19</v>
      </c>
    </row>
    <row r="932" spans="1:12" ht="13" x14ac:dyDescent="0.15">
      <c r="A932" s="1">
        <v>62293</v>
      </c>
      <c r="B932" s="1">
        <v>0</v>
      </c>
      <c r="C932" s="1" t="s">
        <v>26</v>
      </c>
      <c r="D932" s="1" t="s">
        <v>27</v>
      </c>
      <c r="E932" s="1" t="s">
        <v>2266</v>
      </c>
      <c r="F932" s="1" t="s">
        <v>720</v>
      </c>
      <c r="G932" s="1" t="s">
        <v>23</v>
      </c>
      <c r="I932" s="16">
        <v>40490.123055555552</v>
      </c>
      <c r="J932" s="1" t="s">
        <v>40</v>
      </c>
      <c r="K932" s="1" t="s">
        <v>18</v>
      </c>
      <c r="L932" s="1" t="s">
        <v>19</v>
      </c>
    </row>
    <row r="933" spans="1:12" ht="13" x14ac:dyDescent="0.15">
      <c r="A933" s="1">
        <v>546545</v>
      </c>
      <c r="B933" s="1">
        <v>0</v>
      </c>
      <c r="C933" s="1" t="s">
        <v>1294</v>
      </c>
      <c r="D933" s="1" t="s">
        <v>27</v>
      </c>
      <c r="E933" s="1" t="s">
        <v>2267</v>
      </c>
      <c r="F933" s="1" t="s">
        <v>2268</v>
      </c>
      <c r="G933" s="1" t="s">
        <v>23</v>
      </c>
      <c r="I933" s="16">
        <v>42299.586678240739</v>
      </c>
      <c r="J933" s="1" t="s">
        <v>247</v>
      </c>
      <c r="K933" s="1" t="s">
        <v>18</v>
      </c>
      <c r="L933" s="1" t="s">
        <v>19</v>
      </c>
    </row>
    <row r="934" spans="1:12" ht="13" x14ac:dyDescent="0.15">
      <c r="A934" s="1">
        <v>528799</v>
      </c>
      <c r="B934" s="1">
        <v>0</v>
      </c>
      <c r="C934" s="1" t="s">
        <v>2269</v>
      </c>
      <c r="D934" s="1" t="s">
        <v>27</v>
      </c>
      <c r="E934" s="1" t="s">
        <v>2270</v>
      </c>
      <c r="F934" s="1" t="s">
        <v>2271</v>
      </c>
      <c r="G934" s="1" t="s">
        <v>16</v>
      </c>
      <c r="I934" s="16">
        <v>42253.872847222221</v>
      </c>
      <c r="J934" s="1" t="s">
        <v>17</v>
      </c>
      <c r="K934" s="1" t="s">
        <v>18</v>
      </c>
      <c r="L934" s="1" t="s">
        <v>19</v>
      </c>
    </row>
    <row r="935" spans="1:12" ht="13" x14ac:dyDescent="0.15">
      <c r="A935" s="1">
        <v>528798</v>
      </c>
      <c r="B935" s="1">
        <v>0</v>
      </c>
      <c r="C935" s="1" t="s">
        <v>26</v>
      </c>
      <c r="D935" s="1" t="s">
        <v>27</v>
      </c>
      <c r="E935" s="1" t="s">
        <v>2272</v>
      </c>
      <c r="F935" s="1" t="s">
        <v>2273</v>
      </c>
      <c r="G935" s="1" t="s">
        <v>16</v>
      </c>
      <c r="I935" s="16">
        <v>42253.872523148151</v>
      </c>
      <c r="J935" s="1" t="s">
        <v>17</v>
      </c>
      <c r="K935" s="1" t="s">
        <v>18</v>
      </c>
      <c r="L935" s="1" t="s">
        <v>19</v>
      </c>
    </row>
    <row r="936" spans="1:12" ht="13" x14ac:dyDescent="0.15">
      <c r="A936" s="1">
        <v>442710</v>
      </c>
      <c r="B936" s="1">
        <v>0</v>
      </c>
      <c r="C936" s="1" t="s">
        <v>101</v>
      </c>
      <c r="D936" s="1" t="s">
        <v>27</v>
      </c>
      <c r="E936" s="1" t="s">
        <v>2274</v>
      </c>
      <c r="F936" s="1" t="s">
        <v>2275</v>
      </c>
      <c r="I936" s="16">
        <v>41989.549560185187</v>
      </c>
      <c r="J936" s="1" t="s">
        <v>68</v>
      </c>
      <c r="K936" s="1" t="s">
        <v>18</v>
      </c>
      <c r="L936" s="1" t="s">
        <v>19</v>
      </c>
    </row>
    <row r="937" spans="1:12" ht="13" x14ac:dyDescent="0.15">
      <c r="A937" s="1">
        <v>104011</v>
      </c>
      <c r="B937" s="1">
        <v>0</v>
      </c>
      <c r="C937" s="1" t="s">
        <v>145</v>
      </c>
      <c r="D937" s="1" t="s">
        <v>27</v>
      </c>
      <c r="E937" s="1" t="s">
        <v>2276</v>
      </c>
      <c r="F937" s="1" t="s">
        <v>2277</v>
      </c>
      <c r="G937" s="1" t="s">
        <v>23</v>
      </c>
      <c r="I937" s="16">
        <v>40859.549826388888</v>
      </c>
      <c r="J937" s="1" t="s">
        <v>261</v>
      </c>
      <c r="K937" s="1" t="s">
        <v>18</v>
      </c>
      <c r="L937" s="1" t="s">
        <v>19</v>
      </c>
    </row>
    <row r="938" spans="1:12" ht="13" x14ac:dyDescent="0.15">
      <c r="A938" s="1">
        <v>485855</v>
      </c>
      <c r="B938" s="1">
        <v>0</v>
      </c>
      <c r="D938" s="1" t="s">
        <v>27</v>
      </c>
      <c r="E938" s="1" t="s">
        <v>2278</v>
      </c>
      <c r="F938" s="1" t="s">
        <v>2279</v>
      </c>
      <c r="G938" s="1" t="s">
        <v>23</v>
      </c>
      <c r="I938" s="16">
        <v>42132.186053240737</v>
      </c>
      <c r="J938" s="1" t="s">
        <v>17</v>
      </c>
      <c r="K938" s="1" t="s">
        <v>18</v>
      </c>
      <c r="L938" s="1" t="s">
        <v>19</v>
      </c>
    </row>
    <row r="939" spans="1:12" ht="13" x14ac:dyDescent="0.15">
      <c r="A939" s="1">
        <v>339337</v>
      </c>
      <c r="B939" s="1">
        <v>0</v>
      </c>
      <c r="D939" s="1" t="s">
        <v>27</v>
      </c>
      <c r="E939" s="1" t="s">
        <v>2280</v>
      </c>
      <c r="F939" s="1" t="s">
        <v>2281</v>
      </c>
      <c r="G939" s="1" t="s">
        <v>23</v>
      </c>
      <c r="I939" s="16">
        <v>41669.218321759261</v>
      </c>
      <c r="J939" s="1" t="s">
        <v>40</v>
      </c>
      <c r="K939" s="1" t="s">
        <v>18</v>
      </c>
      <c r="L939" s="1" t="s">
        <v>19</v>
      </c>
    </row>
    <row r="940" spans="1:12" ht="13" x14ac:dyDescent="0.15">
      <c r="A940" s="1">
        <v>80116</v>
      </c>
      <c r="B940" s="1">
        <v>0</v>
      </c>
      <c r="C940" s="1" t="s">
        <v>26</v>
      </c>
      <c r="D940" s="1" t="s">
        <v>27</v>
      </c>
      <c r="E940" s="1" t="s">
        <v>2282</v>
      </c>
      <c r="F940" s="1" t="s">
        <v>2283</v>
      </c>
      <c r="G940" s="1" t="s">
        <v>23</v>
      </c>
      <c r="I940" s="16">
        <v>40654.097361111111</v>
      </c>
      <c r="J940" s="1" t="s">
        <v>92</v>
      </c>
      <c r="K940" s="1" t="s">
        <v>18</v>
      </c>
      <c r="L940" s="1" t="s">
        <v>19</v>
      </c>
    </row>
    <row r="941" spans="1:12" ht="13" x14ac:dyDescent="0.15">
      <c r="A941" s="1">
        <v>43488</v>
      </c>
      <c r="B941" s="1">
        <v>0</v>
      </c>
      <c r="C941" s="1" t="s">
        <v>26</v>
      </c>
      <c r="D941" s="1" t="s">
        <v>27</v>
      </c>
      <c r="E941" s="1" t="s">
        <v>2284</v>
      </c>
      <c r="F941" s="1" t="s">
        <v>2285</v>
      </c>
      <c r="I941" s="16">
        <v>40304.993587962963</v>
      </c>
      <c r="J941" s="1" t="s">
        <v>398</v>
      </c>
      <c r="K941" s="1" t="s">
        <v>18</v>
      </c>
      <c r="L941" s="1" t="s">
        <v>19</v>
      </c>
    </row>
    <row r="942" spans="1:12" ht="13" x14ac:dyDescent="0.15">
      <c r="A942" s="1">
        <v>383704</v>
      </c>
      <c r="B942" s="1">
        <v>0</v>
      </c>
      <c r="D942" s="1" t="s">
        <v>27</v>
      </c>
      <c r="E942" s="1" t="s">
        <v>2286</v>
      </c>
      <c r="F942" s="1" t="s">
        <v>2287</v>
      </c>
      <c r="G942" s="1" t="s">
        <v>23</v>
      </c>
      <c r="I942" s="16">
        <v>41802.125335648147</v>
      </c>
      <c r="J942" s="1" t="s">
        <v>155</v>
      </c>
      <c r="K942" s="1" t="s">
        <v>18</v>
      </c>
      <c r="L942" s="1" t="s">
        <v>19</v>
      </c>
    </row>
    <row r="943" spans="1:12" ht="13" x14ac:dyDescent="0.15">
      <c r="A943" s="1">
        <v>377416</v>
      </c>
      <c r="B943" s="1">
        <v>0</v>
      </c>
      <c r="C943" s="1" t="s">
        <v>527</v>
      </c>
      <c r="D943" s="1" t="s">
        <v>27</v>
      </c>
      <c r="E943" s="1" t="s">
        <v>1197</v>
      </c>
      <c r="F943" s="1" t="s">
        <v>2288</v>
      </c>
      <c r="G943" s="1" t="s">
        <v>813</v>
      </c>
      <c r="I943" s="16">
        <v>41785.415729166663</v>
      </c>
      <c r="J943" s="1" t="s">
        <v>17</v>
      </c>
      <c r="K943" s="1" t="s">
        <v>18</v>
      </c>
      <c r="L943" s="1" t="s">
        <v>19</v>
      </c>
    </row>
    <row r="944" spans="1:12" ht="13" x14ac:dyDescent="0.15">
      <c r="A944" s="1">
        <v>86705</v>
      </c>
      <c r="B944" s="1">
        <v>0</v>
      </c>
      <c r="C944" s="1" t="s">
        <v>26</v>
      </c>
      <c r="D944" s="1" t="s">
        <v>27</v>
      </c>
      <c r="E944" s="1" t="s">
        <v>2289</v>
      </c>
      <c r="F944" s="1" t="s">
        <v>2290</v>
      </c>
      <c r="G944" s="1" t="s">
        <v>23</v>
      </c>
      <c r="I944" s="16">
        <v>40713.63175925926</v>
      </c>
      <c r="J944" s="1" t="s">
        <v>40</v>
      </c>
      <c r="K944" s="1" t="s">
        <v>18</v>
      </c>
      <c r="L944" s="1" t="s">
        <v>19</v>
      </c>
    </row>
    <row r="945" spans="1:20" ht="13" x14ac:dyDescent="0.15">
      <c r="A945" s="1">
        <v>445747</v>
      </c>
      <c r="B945" s="1">
        <v>0</v>
      </c>
      <c r="D945" s="1" t="s">
        <v>27</v>
      </c>
      <c r="E945" s="1" t="s">
        <v>2291</v>
      </c>
      <c r="F945" s="1" t="s">
        <v>2292</v>
      </c>
      <c r="G945" s="1" t="s">
        <v>23</v>
      </c>
      <c r="I945" s="16">
        <v>42004.662210648145</v>
      </c>
      <c r="J945" s="1" t="s">
        <v>17</v>
      </c>
      <c r="K945" s="1" t="s">
        <v>18</v>
      </c>
      <c r="L945" s="1" t="s">
        <v>19</v>
      </c>
    </row>
    <row r="946" spans="1:20" ht="13" x14ac:dyDescent="0.15">
      <c r="A946" s="1">
        <v>72517</v>
      </c>
      <c r="B946" s="1">
        <v>0</v>
      </c>
      <c r="C946" s="1" t="s">
        <v>170</v>
      </c>
      <c r="D946" s="1" t="s">
        <v>27</v>
      </c>
      <c r="E946" s="1" t="s">
        <v>2293</v>
      </c>
      <c r="F946" s="1" t="s">
        <v>2294</v>
      </c>
      <c r="I946" s="16">
        <v>40584.130011574074</v>
      </c>
      <c r="J946" s="1" t="s">
        <v>2295</v>
      </c>
      <c r="K946" s="1" t="s">
        <v>18</v>
      </c>
      <c r="L946" s="1" t="s">
        <v>19</v>
      </c>
    </row>
    <row r="947" spans="1:20" ht="13" x14ac:dyDescent="0.15">
      <c r="A947" s="1">
        <v>124895</v>
      </c>
      <c r="B947" s="1">
        <v>0</v>
      </c>
      <c r="C947" s="1" t="s">
        <v>26</v>
      </c>
      <c r="D947" s="1" t="s">
        <v>27</v>
      </c>
      <c r="E947" s="1" t="s">
        <v>2296</v>
      </c>
      <c r="F947" s="1" t="s">
        <v>2297</v>
      </c>
      <c r="G947" s="1" t="s">
        <v>23</v>
      </c>
      <c r="I947" s="16">
        <v>41023.8984837963</v>
      </c>
      <c r="J947" s="1" t="s">
        <v>40</v>
      </c>
      <c r="K947" s="1" t="s">
        <v>18</v>
      </c>
      <c r="L947" s="1" t="s">
        <v>19</v>
      </c>
    </row>
    <row r="948" spans="1:20" ht="13" x14ac:dyDescent="0.15">
      <c r="A948" s="1">
        <v>124893</v>
      </c>
      <c r="B948" s="1">
        <v>0</v>
      </c>
      <c r="C948" s="1" t="s">
        <v>26</v>
      </c>
      <c r="D948" s="1" t="s">
        <v>27</v>
      </c>
      <c r="E948" s="1" t="s">
        <v>2298</v>
      </c>
      <c r="F948" s="1" t="s">
        <v>2299</v>
      </c>
      <c r="G948" s="1" t="s">
        <v>23</v>
      </c>
      <c r="I948" s="16">
        <v>41023.896226851852</v>
      </c>
      <c r="J948" s="1" t="s">
        <v>40</v>
      </c>
      <c r="K948" s="1" t="s">
        <v>18</v>
      </c>
      <c r="L948" s="1" t="s">
        <v>19</v>
      </c>
    </row>
    <row r="949" spans="1:20" ht="13" x14ac:dyDescent="0.15">
      <c r="A949" s="1">
        <v>89219</v>
      </c>
      <c r="B949" s="1">
        <v>1</v>
      </c>
      <c r="C949" s="1" t="s">
        <v>26</v>
      </c>
      <c r="D949" s="1" t="s">
        <v>27</v>
      </c>
      <c r="E949" s="1" t="s">
        <v>2300</v>
      </c>
      <c r="F949" s="1" t="s">
        <v>2301</v>
      </c>
      <c r="I949" s="16">
        <v>40737.791851851849</v>
      </c>
      <c r="J949" s="1" t="s">
        <v>544</v>
      </c>
      <c r="K949" s="1" t="s">
        <v>18</v>
      </c>
      <c r="L949" s="1" t="s">
        <v>19</v>
      </c>
      <c r="M949" s="1">
        <v>93119</v>
      </c>
      <c r="N949" s="1" t="s">
        <v>2302</v>
      </c>
      <c r="O949" s="16">
        <v>40771.810740740744</v>
      </c>
      <c r="P949" s="1" t="s">
        <v>44</v>
      </c>
    </row>
    <row r="950" spans="1:20" ht="13" x14ac:dyDescent="0.15">
      <c r="A950" s="1">
        <v>66986</v>
      </c>
      <c r="B950" s="1">
        <v>0</v>
      </c>
      <c r="C950" s="1" t="s">
        <v>133</v>
      </c>
      <c r="D950" s="1" t="s">
        <v>27</v>
      </c>
      <c r="E950" s="1" t="s">
        <v>2303</v>
      </c>
      <c r="F950" s="1" t="s">
        <v>1173</v>
      </c>
      <c r="G950" s="1" t="s">
        <v>23</v>
      </c>
      <c r="I950" s="16">
        <v>40527.611342592594</v>
      </c>
      <c r="J950" s="1" t="s">
        <v>148</v>
      </c>
      <c r="K950" s="1" t="s">
        <v>18</v>
      </c>
      <c r="L950" s="1" t="s">
        <v>19</v>
      </c>
    </row>
    <row r="951" spans="1:20" ht="13" x14ac:dyDescent="0.15">
      <c r="A951" s="1">
        <v>613266</v>
      </c>
      <c r="B951" s="1">
        <v>0</v>
      </c>
      <c r="C951" s="1" t="s">
        <v>2304</v>
      </c>
      <c r="D951" s="1" t="s">
        <v>27</v>
      </c>
      <c r="E951" s="1" t="s">
        <v>2305</v>
      </c>
      <c r="F951" s="1" t="s">
        <v>2306</v>
      </c>
      <c r="G951" s="1" t="s">
        <v>23</v>
      </c>
      <c r="I951" s="16">
        <v>42509.823495370372</v>
      </c>
      <c r="J951" s="1" t="s">
        <v>247</v>
      </c>
      <c r="K951" s="1" t="s">
        <v>18</v>
      </c>
      <c r="L951" s="1" t="s">
        <v>19</v>
      </c>
    </row>
    <row r="952" spans="1:20" ht="13" x14ac:dyDescent="0.15">
      <c r="A952" s="1">
        <v>149717</v>
      </c>
      <c r="B952" s="1">
        <v>1</v>
      </c>
      <c r="C952" s="1" t="s">
        <v>414</v>
      </c>
      <c r="D952" s="1" t="s">
        <v>27</v>
      </c>
      <c r="E952" s="1" t="s">
        <v>2307</v>
      </c>
      <c r="F952" s="1" t="s">
        <v>2308</v>
      </c>
      <c r="G952" s="1" t="s">
        <v>540</v>
      </c>
      <c r="I952" s="16">
        <v>41166.823634259257</v>
      </c>
      <c r="J952" s="1" t="s">
        <v>44</v>
      </c>
      <c r="K952" s="1" t="s">
        <v>18</v>
      </c>
      <c r="L952" s="1" t="s">
        <v>19</v>
      </c>
      <c r="M952" s="1">
        <v>153037</v>
      </c>
      <c r="N952" s="1" t="s">
        <v>2309</v>
      </c>
      <c r="O952" s="16">
        <v>41180.838425925926</v>
      </c>
      <c r="P952" s="1" t="s">
        <v>151</v>
      </c>
    </row>
    <row r="953" spans="1:20" ht="13" x14ac:dyDescent="0.15">
      <c r="A953" s="1">
        <v>45614</v>
      </c>
      <c r="B953" s="1">
        <v>0</v>
      </c>
      <c r="C953" s="1" t="s">
        <v>26</v>
      </c>
      <c r="D953" s="1" t="s">
        <v>27</v>
      </c>
      <c r="E953" s="1" t="s">
        <v>2310</v>
      </c>
      <c r="F953" s="1" t="s">
        <v>2311</v>
      </c>
      <c r="I953" s="16">
        <v>40331.234039351853</v>
      </c>
      <c r="J953" s="1" t="s">
        <v>40</v>
      </c>
      <c r="K953" s="1" t="s">
        <v>18</v>
      </c>
      <c r="L953" s="1" t="s">
        <v>19</v>
      </c>
    </row>
    <row r="954" spans="1:20" ht="13" x14ac:dyDescent="0.15">
      <c r="A954" s="1">
        <v>69556</v>
      </c>
      <c r="B954" s="1">
        <v>0</v>
      </c>
      <c r="C954" s="1" t="s">
        <v>26</v>
      </c>
      <c r="D954" s="1" t="s">
        <v>27</v>
      </c>
      <c r="E954" s="1" t="s">
        <v>2312</v>
      </c>
      <c r="F954" s="1" t="s">
        <v>430</v>
      </c>
      <c r="G954" s="1" t="s">
        <v>23</v>
      </c>
      <c r="I954" s="16">
        <v>40556.708680555559</v>
      </c>
      <c r="J954" s="1" t="s">
        <v>40</v>
      </c>
      <c r="K954" s="1" t="s">
        <v>18</v>
      </c>
      <c r="L954" s="1" t="s">
        <v>19</v>
      </c>
    </row>
    <row r="955" spans="1:20" ht="13" x14ac:dyDescent="0.15">
      <c r="A955" s="1">
        <v>79746</v>
      </c>
      <c r="B955" s="1">
        <v>0</v>
      </c>
      <c r="C955" s="1" t="s">
        <v>26</v>
      </c>
      <c r="D955" s="1" t="s">
        <v>27</v>
      </c>
      <c r="E955" s="1" t="s">
        <v>2313</v>
      </c>
      <c r="F955" s="1" t="s">
        <v>2314</v>
      </c>
      <c r="G955" s="1" t="s">
        <v>23</v>
      </c>
      <c r="I955" s="16">
        <v>40651.658692129633</v>
      </c>
      <c r="J955" s="1" t="s">
        <v>40</v>
      </c>
      <c r="K955" s="1" t="s">
        <v>18</v>
      </c>
      <c r="L955" s="1" t="s">
        <v>19</v>
      </c>
    </row>
    <row r="956" spans="1:20" ht="13" x14ac:dyDescent="0.15">
      <c r="A956" s="1">
        <v>495933</v>
      </c>
      <c r="B956" s="1">
        <v>1</v>
      </c>
      <c r="C956" s="1" t="s">
        <v>670</v>
      </c>
      <c r="D956" s="1" t="s">
        <v>27</v>
      </c>
      <c r="E956" s="1" t="s">
        <v>2315</v>
      </c>
      <c r="F956" s="1" t="s">
        <v>2316</v>
      </c>
      <c r="G956" s="1" t="s">
        <v>23</v>
      </c>
      <c r="I956" s="16">
        <v>42158.125787037039</v>
      </c>
      <c r="J956" s="1" t="s">
        <v>2317</v>
      </c>
      <c r="K956" s="1" t="s">
        <v>18</v>
      </c>
      <c r="L956" s="1" t="s">
        <v>19</v>
      </c>
      <c r="M956" s="1">
        <v>499936</v>
      </c>
      <c r="N956" s="1" t="s">
        <v>2318</v>
      </c>
      <c r="O956" s="16">
        <v>42167.782881944448</v>
      </c>
      <c r="P956" s="1" t="s">
        <v>485</v>
      </c>
    </row>
    <row r="957" spans="1:20" ht="13" x14ac:dyDescent="0.15">
      <c r="A957" s="1">
        <v>445831</v>
      </c>
      <c r="B957" s="1">
        <v>1</v>
      </c>
      <c r="C957" s="1" t="s">
        <v>65</v>
      </c>
      <c r="D957" s="1" t="s">
        <v>27</v>
      </c>
      <c r="E957" s="1" t="s">
        <v>2319</v>
      </c>
      <c r="F957" s="1" t="s">
        <v>2320</v>
      </c>
      <c r="G957" s="1" t="s">
        <v>23</v>
      </c>
      <c r="I957" s="16">
        <v>42006.06827546296</v>
      </c>
      <c r="J957" s="1" t="s">
        <v>17</v>
      </c>
      <c r="K957" s="1" t="s">
        <v>18</v>
      </c>
      <c r="L957" s="1" t="s">
        <v>19</v>
      </c>
      <c r="M957" s="1">
        <v>445811</v>
      </c>
      <c r="N957" s="1" t="s">
        <v>2321</v>
      </c>
      <c r="O957" s="16">
        <v>42005.784594907411</v>
      </c>
      <c r="P957" s="1" t="s">
        <v>68</v>
      </c>
    </row>
    <row r="958" spans="1:20" ht="13" x14ac:dyDescent="0.15">
      <c r="A958" s="1">
        <v>166795</v>
      </c>
      <c r="B958" s="1">
        <v>0</v>
      </c>
      <c r="C958" s="1" t="s">
        <v>967</v>
      </c>
      <c r="D958" s="1" t="s">
        <v>27</v>
      </c>
      <c r="E958" s="1" t="s">
        <v>2322</v>
      </c>
      <c r="F958" s="1" t="s">
        <v>2323</v>
      </c>
      <c r="G958" s="1" t="s">
        <v>23</v>
      </c>
      <c r="I958" s="16">
        <v>41262.094594907408</v>
      </c>
      <c r="J958" s="1" t="s">
        <v>151</v>
      </c>
      <c r="K958" s="1" t="s">
        <v>18</v>
      </c>
      <c r="L958" s="1" t="s">
        <v>19</v>
      </c>
    </row>
    <row r="959" spans="1:20" ht="13" x14ac:dyDescent="0.15">
      <c r="A959" s="1">
        <v>116637</v>
      </c>
      <c r="B959" s="1">
        <v>2</v>
      </c>
      <c r="C959" s="1" t="s">
        <v>1682</v>
      </c>
      <c r="D959" s="1" t="s">
        <v>27</v>
      </c>
      <c r="E959" s="1" t="s">
        <v>2324</v>
      </c>
      <c r="F959" s="1" t="s">
        <v>2325</v>
      </c>
      <c r="G959" s="1" t="s">
        <v>23</v>
      </c>
      <c r="I959" s="16">
        <v>40971.013981481483</v>
      </c>
      <c r="J959" s="1" t="s">
        <v>2326</v>
      </c>
      <c r="K959" s="1" t="s">
        <v>18</v>
      </c>
      <c r="L959" s="1" t="s">
        <v>19</v>
      </c>
      <c r="M959" s="1">
        <v>116157</v>
      </c>
      <c r="N959" s="1" t="s">
        <v>2327</v>
      </c>
      <c r="O959" s="16">
        <v>40967.929143518515</v>
      </c>
      <c r="P959" s="1" t="s">
        <v>2328</v>
      </c>
      <c r="Q959" s="1">
        <v>116456</v>
      </c>
      <c r="R959" s="1" t="s">
        <v>2329</v>
      </c>
      <c r="S959" s="4">
        <v>40969.957094907404</v>
      </c>
      <c r="T959" s="1" t="s">
        <v>2330</v>
      </c>
    </row>
    <row r="960" spans="1:20" ht="13" x14ac:dyDescent="0.15">
      <c r="A960" s="1">
        <v>71734</v>
      </c>
      <c r="B960" s="1">
        <v>0</v>
      </c>
      <c r="C960" s="1" t="s">
        <v>26</v>
      </c>
      <c r="D960" s="1" t="s">
        <v>27</v>
      </c>
      <c r="E960" s="1" t="s">
        <v>2331</v>
      </c>
      <c r="F960" s="1" t="s">
        <v>2332</v>
      </c>
      <c r="G960" s="1" t="s">
        <v>23</v>
      </c>
      <c r="I960" s="16">
        <v>40577.04792824074</v>
      </c>
      <c r="J960" s="1" t="s">
        <v>2333</v>
      </c>
      <c r="K960" s="1" t="s">
        <v>18</v>
      </c>
      <c r="L960" s="1" t="s">
        <v>19</v>
      </c>
    </row>
    <row r="961" spans="1:20" ht="13" x14ac:dyDescent="0.15">
      <c r="A961" s="1">
        <v>248960</v>
      </c>
      <c r="B961" s="1">
        <v>0</v>
      </c>
      <c r="C961" s="1" t="s">
        <v>2334</v>
      </c>
      <c r="D961" s="1" t="s">
        <v>27</v>
      </c>
      <c r="E961" s="1" t="s">
        <v>2335</v>
      </c>
      <c r="F961" s="1" t="s">
        <v>2336</v>
      </c>
      <c r="G961" s="1" t="s">
        <v>159</v>
      </c>
      <c r="I961" s="16">
        <v>41437.654687499999</v>
      </c>
      <c r="J961" s="1" t="s">
        <v>758</v>
      </c>
      <c r="K961" s="1" t="s">
        <v>18</v>
      </c>
      <c r="L961" s="1" t="s">
        <v>19</v>
      </c>
    </row>
    <row r="962" spans="1:20" ht="13" x14ac:dyDescent="0.15">
      <c r="A962" s="1">
        <v>71551</v>
      </c>
      <c r="B962" s="1">
        <v>2</v>
      </c>
      <c r="C962" s="1" t="s">
        <v>26</v>
      </c>
      <c r="D962" s="1" t="s">
        <v>27</v>
      </c>
      <c r="E962" s="1" t="s">
        <v>2337</v>
      </c>
      <c r="F962" s="1" t="s">
        <v>2338</v>
      </c>
      <c r="G962" s="1" t="s">
        <v>23</v>
      </c>
      <c r="I962" s="16">
        <v>40575.647465277776</v>
      </c>
      <c r="J962" s="1" t="s">
        <v>445</v>
      </c>
      <c r="K962" s="1" t="s">
        <v>18</v>
      </c>
      <c r="L962" s="1" t="s">
        <v>19</v>
      </c>
      <c r="M962" s="1">
        <v>97087</v>
      </c>
      <c r="N962" s="1" t="s">
        <v>2339</v>
      </c>
      <c r="O962" s="16">
        <v>40805.554108796299</v>
      </c>
      <c r="P962" s="1" t="s">
        <v>44</v>
      </c>
      <c r="Q962" s="1">
        <v>94089</v>
      </c>
      <c r="R962" s="1" t="s">
        <v>2339</v>
      </c>
      <c r="S962" s="2">
        <v>40779.689849537041</v>
      </c>
      <c r="T962" s="1" t="s">
        <v>40</v>
      </c>
    </row>
    <row r="963" spans="1:20" ht="13" x14ac:dyDescent="0.15">
      <c r="A963" s="1">
        <v>554129</v>
      </c>
      <c r="B963" s="1">
        <v>0</v>
      </c>
      <c r="C963" s="1" t="s">
        <v>12</v>
      </c>
      <c r="D963" s="1" t="s">
        <v>27</v>
      </c>
      <c r="E963" s="1" t="s">
        <v>2340</v>
      </c>
      <c r="F963" s="1" t="s">
        <v>2341</v>
      </c>
      <c r="G963" s="1" t="s">
        <v>16</v>
      </c>
      <c r="I963" s="16">
        <v>42318.766539351855</v>
      </c>
      <c r="J963" s="1" t="s">
        <v>17</v>
      </c>
      <c r="K963" s="1" t="s">
        <v>18</v>
      </c>
      <c r="L963" s="1" t="s">
        <v>19</v>
      </c>
    </row>
    <row r="964" spans="1:20" ht="13" x14ac:dyDescent="0.15">
      <c r="A964" s="1">
        <v>590620</v>
      </c>
      <c r="B964" s="1">
        <v>0</v>
      </c>
      <c r="C964" s="1" t="s">
        <v>268</v>
      </c>
      <c r="D964" s="1" t="s">
        <v>27</v>
      </c>
      <c r="E964" s="1" t="s">
        <v>2342</v>
      </c>
      <c r="F964" s="1" t="s">
        <v>2343</v>
      </c>
      <c r="G964" s="1" t="s">
        <v>16</v>
      </c>
      <c r="I964" s="16">
        <v>42429.00712962963</v>
      </c>
      <c r="J964" s="1" t="s">
        <v>17</v>
      </c>
      <c r="K964" s="1" t="s">
        <v>18</v>
      </c>
      <c r="L964" s="1" t="s">
        <v>19</v>
      </c>
    </row>
    <row r="965" spans="1:20" ht="13" x14ac:dyDescent="0.15">
      <c r="A965" s="1">
        <v>611887</v>
      </c>
      <c r="B965" s="1">
        <v>0</v>
      </c>
      <c r="C965" s="1" t="s">
        <v>2173</v>
      </c>
      <c r="D965" s="1" t="s">
        <v>27</v>
      </c>
      <c r="E965" s="1" t="s">
        <v>2344</v>
      </c>
      <c r="F965" s="1" t="s">
        <v>2345</v>
      </c>
      <c r="I965" s="16">
        <v>42503.936319444445</v>
      </c>
      <c r="J965" s="1" t="s">
        <v>454</v>
      </c>
      <c r="K965" s="1" t="s">
        <v>18</v>
      </c>
      <c r="L965" s="1" t="s">
        <v>19</v>
      </c>
    </row>
    <row r="966" spans="1:20" ht="13" x14ac:dyDescent="0.15">
      <c r="A966" s="1">
        <v>236269</v>
      </c>
      <c r="B966" s="1">
        <v>0</v>
      </c>
      <c r="C966" s="1" t="s">
        <v>31</v>
      </c>
      <c r="D966" s="1" t="s">
        <v>27</v>
      </c>
      <c r="E966" s="1" t="s">
        <v>2346</v>
      </c>
      <c r="F966" s="1" t="s">
        <v>772</v>
      </c>
      <c r="G966" s="1" t="s">
        <v>23</v>
      </c>
      <c r="I966" s="16">
        <v>41393.159351851849</v>
      </c>
      <c r="J966" s="1" t="s">
        <v>40</v>
      </c>
      <c r="K966" s="1" t="s">
        <v>18</v>
      </c>
      <c r="L966" s="1" t="s">
        <v>19</v>
      </c>
    </row>
    <row r="967" spans="1:20" ht="13" x14ac:dyDescent="0.15">
      <c r="A967" s="1">
        <v>481044</v>
      </c>
      <c r="B967" s="1">
        <v>0</v>
      </c>
      <c r="C967" s="1" t="s">
        <v>759</v>
      </c>
      <c r="D967" s="1" t="s">
        <v>27</v>
      </c>
      <c r="E967" s="1" t="s">
        <v>2347</v>
      </c>
      <c r="F967" s="1" t="s">
        <v>2348</v>
      </c>
      <c r="I967" s="16">
        <v>42118.685254629629</v>
      </c>
      <c r="J967" s="1" t="s">
        <v>57</v>
      </c>
      <c r="K967" s="1" t="s">
        <v>18</v>
      </c>
      <c r="L967" s="1" t="s">
        <v>19</v>
      </c>
    </row>
    <row r="968" spans="1:20" ht="13" x14ac:dyDescent="0.15">
      <c r="A968" s="1">
        <v>49317</v>
      </c>
      <c r="B968" s="1">
        <v>0</v>
      </c>
      <c r="C968" s="1" t="s">
        <v>26</v>
      </c>
      <c r="D968" s="1" t="s">
        <v>27</v>
      </c>
      <c r="E968" s="1" t="s">
        <v>2349</v>
      </c>
      <c r="F968" s="1" t="s">
        <v>2350</v>
      </c>
      <c r="I968" s="16">
        <v>40375.671203703707</v>
      </c>
      <c r="J968" s="1" t="s">
        <v>40</v>
      </c>
      <c r="K968" s="1" t="s">
        <v>18</v>
      </c>
      <c r="L968" s="1" t="s">
        <v>19</v>
      </c>
    </row>
    <row r="969" spans="1:20" ht="13" x14ac:dyDescent="0.15">
      <c r="A969" s="1">
        <v>448423</v>
      </c>
      <c r="B969" s="1">
        <v>0</v>
      </c>
      <c r="C969" s="1" t="s">
        <v>65</v>
      </c>
      <c r="D969" s="1" t="s">
        <v>27</v>
      </c>
      <c r="E969" s="1" t="s">
        <v>798</v>
      </c>
      <c r="F969" s="1" t="s">
        <v>2351</v>
      </c>
      <c r="G969" s="1" t="s">
        <v>23</v>
      </c>
      <c r="I969" s="16">
        <v>42017.720694444448</v>
      </c>
      <c r="J969" s="1" t="s">
        <v>68</v>
      </c>
      <c r="K969" s="1" t="s">
        <v>18</v>
      </c>
      <c r="L969" s="1" t="s">
        <v>19</v>
      </c>
    </row>
    <row r="970" spans="1:20" ht="13" x14ac:dyDescent="0.15">
      <c r="A970" s="1">
        <v>556351</v>
      </c>
      <c r="B970" s="1">
        <v>0</v>
      </c>
      <c r="C970" s="1" t="s">
        <v>2352</v>
      </c>
      <c r="D970" s="1" t="s">
        <v>27</v>
      </c>
      <c r="E970" s="1" t="s">
        <v>2353</v>
      </c>
      <c r="F970" s="1" t="s">
        <v>2354</v>
      </c>
      <c r="G970" s="1" t="s">
        <v>159</v>
      </c>
      <c r="I970" s="16">
        <v>42324.182719907411</v>
      </c>
      <c r="J970" s="1" t="s">
        <v>17</v>
      </c>
      <c r="K970" s="1" t="s">
        <v>18</v>
      </c>
      <c r="L970" s="1" t="s">
        <v>19</v>
      </c>
    </row>
    <row r="971" spans="1:20" ht="13" x14ac:dyDescent="0.15">
      <c r="A971" s="1">
        <v>79595</v>
      </c>
      <c r="B971" s="1">
        <v>0</v>
      </c>
      <c r="C971" s="1" t="s">
        <v>26</v>
      </c>
      <c r="D971" s="1" t="s">
        <v>27</v>
      </c>
      <c r="E971" s="1" t="s">
        <v>2355</v>
      </c>
      <c r="F971" s="1" t="s">
        <v>2356</v>
      </c>
      <c r="G971" s="1" t="s">
        <v>23</v>
      </c>
      <c r="I971" s="16">
        <v>40648.757534722223</v>
      </c>
      <c r="J971" s="1" t="s">
        <v>40</v>
      </c>
      <c r="K971" s="1" t="s">
        <v>18</v>
      </c>
      <c r="L971" s="1" t="s">
        <v>19</v>
      </c>
    </row>
    <row r="972" spans="1:20" ht="13" x14ac:dyDescent="0.15">
      <c r="A972" s="1">
        <v>100526</v>
      </c>
      <c r="B972" s="1">
        <v>0</v>
      </c>
      <c r="C972" s="1" t="s">
        <v>26</v>
      </c>
      <c r="D972" s="1" t="s">
        <v>27</v>
      </c>
      <c r="E972" s="1" t="s">
        <v>2357</v>
      </c>
      <c r="F972" s="1" t="s">
        <v>1201</v>
      </c>
      <c r="G972" s="1" t="s">
        <v>23</v>
      </c>
      <c r="I972" s="16">
        <v>40833.048229166663</v>
      </c>
      <c r="J972" s="1" t="s">
        <v>40</v>
      </c>
      <c r="K972" s="1" t="s">
        <v>18</v>
      </c>
      <c r="L972" s="1" t="s">
        <v>19</v>
      </c>
    </row>
    <row r="973" spans="1:20" ht="13" x14ac:dyDescent="0.15">
      <c r="A973" s="1">
        <v>682194</v>
      </c>
      <c r="B973" s="1">
        <v>0</v>
      </c>
      <c r="C973" s="1" t="s">
        <v>107</v>
      </c>
      <c r="D973" s="1" t="s">
        <v>27</v>
      </c>
      <c r="E973" s="1" t="s">
        <v>2358</v>
      </c>
      <c r="F973" s="1" t="s">
        <v>2359</v>
      </c>
      <c r="G973" s="1" t="s">
        <v>56</v>
      </c>
      <c r="I973" s="16">
        <v>42753.484212962961</v>
      </c>
      <c r="J973" s="1" t="s">
        <v>2360</v>
      </c>
      <c r="K973" s="1" t="s">
        <v>18</v>
      </c>
      <c r="L973" s="1" t="s">
        <v>19</v>
      </c>
    </row>
    <row r="974" spans="1:20" ht="13" x14ac:dyDescent="0.15">
      <c r="A974" s="1">
        <v>655904</v>
      </c>
      <c r="B974" s="1">
        <v>0</v>
      </c>
      <c r="C974" s="1" t="s">
        <v>280</v>
      </c>
      <c r="D974" s="1" t="s">
        <v>27</v>
      </c>
      <c r="E974" s="1" t="s">
        <v>2361</v>
      </c>
      <c r="F974" s="1" t="s">
        <v>2362</v>
      </c>
      <c r="G974" s="1" t="s">
        <v>23</v>
      </c>
      <c r="I974" s="16">
        <v>42657.156053240738</v>
      </c>
      <c r="J974" s="1" t="s">
        <v>247</v>
      </c>
      <c r="K974" s="1" t="s">
        <v>18</v>
      </c>
      <c r="L974" s="1" t="s">
        <v>19</v>
      </c>
    </row>
    <row r="975" spans="1:20" ht="13" x14ac:dyDescent="0.15">
      <c r="A975" s="1">
        <v>666284</v>
      </c>
      <c r="B975" s="1">
        <v>0</v>
      </c>
      <c r="C975" s="1" t="s">
        <v>2363</v>
      </c>
      <c r="D975" s="1" t="s">
        <v>27</v>
      </c>
      <c r="E975" s="1" t="s">
        <v>2364</v>
      </c>
      <c r="F975" s="1" t="s">
        <v>2365</v>
      </c>
      <c r="G975" s="1" t="s">
        <v>558</v>
      </c>
      <c r="I975" s="16">
        <v>42691.536273148151</v>
      </c>
      <c r="J975" s="1" t="s">
        <v>2366</v>
      </c>
      <c r="K975" s="1" t="s">
        <v>18</v>
      </c>
      <c r="L975" s="1" t="s">
        <v>19</v>
      </c>
    </row>
    <row r="976" spans="1:20" ht="13" x14ac:dyDescent="0.15">
      <c r="A976" s="1">
        <v>117110</v>
      </c>
      <c r="B976" s="1">
        <v>0</v>
      </c>
      <c r="C976" s="1" t="s">
        <v>26</v>
      </c>
      <c r="D976" s="1" t="s">
        <v>27</v>
      </c>
      <c r="E976" s="1" t="s">
        <v>1611</v>
      </c>
      <c r="F976" s="1" t="s">
        <v>2367</v>
      </c>
      <c r="G976" s="1" t="s">
        <v>23</v>
      </c>
      <c r="I976" s="16">
        <v>40975.176354166666</v>
      </c>
      <c r="J976" s="1" t="s">
        <v>40</v>
      </c>
      <c r="K976" s="1" t="s">
        <v>18</v>
      </c>
      <c r="L976" s="1" t="s">
        <v>19</v>
      </c>
    </row>
    <row r="977" spans="1:16" ht="13" x14ac:dyDescent="0.15">
      <c r="A977" s="1">
        <v>429166</v>
      </c>
      <c r="B977" s="1">
        <v>0</v>
      </c>
      <c r="D977" s="1" t="s">
        <v>27</v>
      </c>
      <c r="E977" s="1" t="s">
        <v>2368</v>
      </c>
      <c r="F977" s="1" t="s">
        <v>2369</v>
      </c>
      <c r="G977" s="1" t="s">
        <v>23</v>
      </c>
      <c r="I977" s="16">
        <v>41943.578136574077</v>
      </c>
      <c r="J977" s="1" t="s">
        <v>1151</v>
      </c>
      <c r="K977" s="1" t="s">
        <v>18</v>
      </c>
      <c r="L977" s="1" t="s">
        <v>19</v>
      </c>
    </row>
    <row r="978" spans="1:16" ht="13" x14ac:dyDescent="0.15">
      <c r="A978" s="1">
        <v>508086</v>
      </c>
      <c r="B978" s="1">
        <v>0</v>
      </c>
      <c r="C978" s="1" t="s">
        <v>137</v>
      </c>
      <c r="D978" s="1" t="s">
        <v>27</v>
      </c>
      <c r="E978" s="1" t="s">
        <v>2370</v>
      </c>
      <c r="F978" s="1" t="s">
        <v>2371</v>
      </c>
      <c r="G978" s="1" t="s">
        <v>23</v>
      </c>
      <c r="I978" s="16">
        <v>42193.551979166667</v>
      </c>
      <c r="J978" s="1" t="s">
        <v>656</v>
      </c>
      <c r="K978" s="1" t="s">
        <v>18</v>
      </c>
      <c r="L978" s="1" t="s">
        <v>19</v>
      </c>
    </row>
    <row r="979" spans="1:16" ht="13" x14ac:dyDescent="0.15">
      <c r="A979" s="1">
        <v>93416</v>
      </c>
      <c r="B979" s="1">
        <v>0</v>
      </c>
      <c r="D979" s="1" t="s">
        <v>27</v>
      </c>
      <c r="E979" s="1" t="s">
        <v>2372</v>
      </c>
      <c r="F979" s="1" t="s">
        <v>2373</v>
      </c>
      <c r="I979" s="16">
        <v>40773.865706018521</v>
      </c>
      <c r="J979" s="1" t="s">
        <v>279</v>
      </c>
      <c r="K979" s="1" t="s">
        <v>18</v>
      </c>
      <c r="L979" s="1" t="s">
        <v>19</v>
      </c>
    </row>
    <row r="980" spans="1:16" ht="13" x14ac:dyDescent="0.15">
      <c r="A980" s="1">
        <v>85302</v>
      </c>
      <c r="B980" s="1">
        <v>1</v>
      </c>
      <c r="C980" s="1" t="s">
        <v>26</v>
      </c>
      <c r="D980" s="1" t="s">
        <v>27</v>
      </c>
      <c r="E980" s="1" t="s">
        <v>2374</v>
      </c>
      <c r="F980" s="1" t="s">
        <v>2375</v>
      </c>
      <c r="G980" s="1" t="s">
        <v>23</v>
      </c>
      <c r="I980" s="16">
        <v>40702.237326388888</v>
      </c>
      <c r="J980" s="1" t="s">
        <v>40</v>
      </c>
      <c r="K980" s="1" t="s">
        <v>18</v>
      </c>
      <c r="L980" s="1" t="s">
        <v>19</v>
      </c>
      <c r="M980" s="1">
        <v>85272</v>
      </c>
      <c r="N980" s="1" t="s">
        <v>2376</v>
      </c>
      <c r="O980" s="16">
        <v>40702.02684027778</v>
      </c>
      <c r="P980" s="1" t="s">
        <v>238</v>
      </c>
    </row>
    <row r="981" spans="1:16" ht="13" x14ac:dyDescent="0.15">
      <c r="A981" s="1">
        <v>484998</v>
      </c>
      <c r="B981" s="1">
        <v>0</v>
      </c>
      <c r="C981" s="1" t="s">
        <v>65</v>
      </c>
      <c r="D981" s="1" t="s">
        <v>27</v>
      </c>
      <c r="E981" s="1" t="s">
        <v>2377</v>
      </c>
      <c r="F981" s="1" t="s">
        <v>2378</v>
      </c>
      <c r="G981" s="1" t="s">
        <v>353</v>
      </c>
      <c r="I981" s="16">
        <v>42130.388969907406</v>
      </c>
      <c r="J981" s="1" t="s">
        <v>886</v>
      </c>
      <c r="K981" s="1" t="s">
        <v>18</v>
      </c>
      <c r="L981" s="1" t="s">
        <v>19</v>
      </c>
    </row>
    <row r="982" spans="1:16" ht="13" x14ac:dyDescent="0.15">
      <c r="A982" s="1">
        <v>663476</v>
      </c>
      <c r="B982" s="1">
        <v>0</v>
      </c>
      <c r="C982" s="1" t="s">
        <v>522</v>
      </c>
      <c r="D982" s="1" t="s">
        <v>27</v>
      </c>
      <c r="E982" s="1" t="s">
        <v>2379</v>
      </c>
      <c r="F982" s="1" t="s">
        <v>2380</v>
      </c>
      <c r="G982" s="1" t="s">
        <v>23</v>
      </c>
      <c r="I982" s="16">
        <v>42682.843506944446</v>
      </c>
      <c r="J982" s="1" t="s">
        <v>247</v>
      </c>
      <c r="K982" s="1" t="s">
        <v>18</v>
      </c>
      <c r="L982" s="1" t="s">
        <v>19</v>
      </c>
    </row>
    <row r="983" spans="1:16" ht="13" x14ac:dyDescent="0.15">
      <c r="A983" s="1">
        <v>172814</v>
      </c>
      <c r="B983" s="1">
        <v>0</v>
      </c>
      <c r="C983" s="1" t="s">
        <v>26</v>
      </c>
      <c r="D983" s="1" t="s">
        <v>27</v>
      </c>
      <c r="E983" s="1" t="s">
        <v>2381</v>
      </c>
      <c r="F983" s="1" t="s">
        <v>395</v>
      </c>
      <c r="G983" s="1" t="s">
        <v>23</v>
      </c>
      <c r="I983" s="16">
        <v>41303.249884259261</v>
      </c>
      <c r="J983" s="1" t="s">
        <v>40</v>
      </c>
      <c r="K983" s="1" t="s">
        <v>18</v>
      </c>
      <c r="L983" s="1" t="s">
        <v>19</v>
      </c>
    </row>
    <row r="984" spans="1:16" ht="13" x14ac:dyDescent="0.15">
      <c r="A984" s="1">
        <v>122573</v>
      </c>
      <c r="B984" s="1">
        <v>0</v>
      </c>
      <c r="C984" s="1" t="s">
        <v>26</v>
      </c>
      <c r="D984" s="1" t="s">
        <v>27</v>
      </c>
      <c r="E984" s="1" t="s">
        <v>2382</v>
      </c>
      <c r="F984" s="1" t="s">
        <v>2383</v>
      </c>
      <c r="G984" s="1" t="s">
        <v>23</v>
      </c>
      <c r="I984" s="16">
        <v>41007.641377314816</v>
      </c>
      <c r="J984" s="1" t="s">
        <v>40</v>
      </c>
      <c r="K984" s="1" t="s">
        <v>18</v>
      </c>
      <c r="L984" s="1" t="s">
        <v>19</v>
      </c>
    </row>
    <row r="985" spans="1:16" ht="13" x14ac:dyDescent="0.15">
      <c r="A985" s="1">
        <v>630870</v>
      </c>
      <c r="B985" s="1">
        <v>0</v>
      </c>
      <c r="C985" s="1" t="s">
        <v>2384</v>
      </c>
      <c r="D985" s="1" t="s">
        <v>27</v>
      </c>
      <c r="E985" s="1" t="s">
        <v>2385</v>
      </c>
      <c r="F985" s="1" t="s">
        <v>2386</v>
      </c>
      <c r="G985" s="1" t="s">
        <v>23</v>
      </c>
      <c r="I985" s="16">
        <v>42575.27553240741</v>
      </c>
      <c r="J985" s="1" t="s">
        <v>247</v>
      </c>
      <c r="K985" s="1" t="s">
        <v>18</v>
      </c>
      <c r="L985" s="1" t="s">
        <v>19</v>
      </c>
    </row>
    <row r="986" spans="1:16" ht="13" x14ac:dyDescent="0.15">
      <c r="A986" s="1">
        <v>63444</v>
      </c>
      <c r="B986" s="1">
        <v>0</v>
      </c>
      <c r="D986" s="1" t="s">
        <v>27</v>
      </c>
      <c r="E986" s="1" t="s">
        <v>2387</v>
      </c>
      <c r="F986" s="1" t="s">
        <v>2388</v>
      </c>
      <c r="I986" s="16">
        <v>40499.25949074074</v>
      </c>
      <c r="J986" s="1" t="s">
        <v>836</v>
      </c>
      <c r="K986" s="1" t="s">
        <v>18</v>
      </c>
      <c r="L986" s="1" t="s">
        <v>19</v>
      </c>
    </row>
    <row r="987" spans="1:16" ht="13" x14ac:dyDescent="0.15">
      <c r="A987" s="1">
        <v>100177</v>
      </c>
      <c r="B987" s="1">
        <v>0</v>
      </c>
      <c r="C987" s="1" t="s">
        <v>26</v>
      </c>
      <c r="D987" s="1" t="s">
        <v>27</v>
      </c>
      <c r="E987" s="1" t="s">
        <v>2389</v>
      </c>
      <c r="F987" s="1" t="s">
        <v>2390</v>
      </c>
      <c r="I987" s="16">
        <v>40829.674386574072</v>
      </c>
      <c r="J987" s="1" t="s">
        <v>2235</v>
      </c>
      <c r="K987" s="1" t="s">
        <v>18</v>
      </c>
      <c r="L987" s="1" t="s">
        <v>19</v>
      </c>
    </row>
    <row r="988" spans="1:16" ht="13" x14ac:dyDescent="0.15">
      <c r="A988" s="1">
        <v>454231</v>
      </c>
      <c r="B988" s="1">
        <v>0</v>
      </c>
      <c r="C988" s="1" t="s">
        <v>369</v>
      </c>
      <c r="D988" s="1" t="s">
        <v>27</v>
      </c>
      <c r="E988" s="1" t="s">
        <v>2391</v>
      </c>
      <c r="F988" s="1" t="s">
        <v>2392</v>
      </c>
      <c r="G988" s="1" t="s">
        <v>23</v>
      </c>
      <c r="I988" s="16">
        <v>42036.855787037035</v>
      </c>
      <c r="J988" s="1" t="s">
        <v>2393</v>
      </c>
      <c r="K988" s="1" t="s">
        <v>18</v>
      </c>
      <c r="L988" s="1" t="s">
        <v>19</v>
      </c>
    </row>
    <row r="989" spans="1:16" ht="13" x14ac:dyDescent="0.15">
      <c r="A989" s="1">
        <v>524074</v>
      </c>
      <c r="B989" s="1">
        <v>0</v>
      </c>
      <c r="C989" s="1" t="s">
        <v>522</v>
      </c>
      <c r="D989" s="1" t="s">
        <v>27</v>
      </c>
      <c r="E989" s="1" t="s">
        <v>2394</v>
      </c>
      <c r="F989" s="1" t="s">
        <v>2395</v>
      </c>
      <c r="I989" s="16">
        <v>42240.697523148148</v>
      </c>
      <c r="J989" s="1" t="s">
        <v>247</v>
      </c>
      <c r="K989" s="1" t="s">
        <v>18</v>
      </c>
      <c r="L989" s="1" t="s">
        <v>19</v>
      </c>
    </row>
    <row r="990" spans="1:16" ht="13" x14ac:dyDescent="0.15">
      <c r="A990" s="1">
        <v>486004</v>
      </c>
      <c r="B990" s="1">
        <v>0</v>
      </c>
      <c r="D990" s="1" t="s">
        <v>27</v>
      </c>
      <c r="E990" s="1" t="s">
        <v>2396</v>
      </c>
      <c r="F990" s="1" t="s">
        <v>2397</v>
      </c>
      <c r="G990" s="1" t="s">
        <v>23</v>
      </c>
      <c r="I990" s="16">
        <v>42132.584305555552</v>
      </c>
      <c r="J990" s="1" t="s">
        <v>17</v>
      </c>
      <c r="K990" s="1" t="s">
        <v>18</v>
      </c>
      <c r="L990" s="1" t="s">
        <v>19</v>
      </c>
    </row>
    <row r="991" spans="1:16" ht="13" x14ac:dyDescent="0.15">
      <c r="A991" s="1">
        <v>154055</v>
      </c>
      <c r="B991" s="1">
        <v>1</v>
      </c>
      <c r="C991" s="1" t="s">
        <v>2398</v>
      </c>
      <c r="D991" s="1" t="s">
        <v>27</v>
      </c>
      <c r="E991" s="1" t="s">
        <v>2399</v>
      </c>
      <c r="F991" s="1" t="s">
        <v>2400</v>
      </c>
      <c r="G991" s="1" t="s">
        <v>23</v>
      </c>
      <c r="I991" s="16">
        <v>41186.705520833333</v>
      </c>
      <c r="J991" s="1" t="s">
        <v>408</v>
      </c>
      <c r="K991" s="1" t="s">
        <v>18</v>
      </c>
      <c r="L991" s="1" t="s">
        <v>19</v>
      </c>
      <c r="M991" s="1">
        <v>154348</v>
      </c>
      <c r="N991" s="1" t="s">
        <v>2401</v>
      </c>
      <c r="O991" s="16">
        <v>41187.802743055552</v>
      </c>
      <c r="P991" s="1" t="s">
        <v>2402</v>
      </c>
    </row>
    <row r="992" spans="1:16" ht="13" x14ac:dyDescent="0.15">
      <c r="A992" s="1">
        <v>99229</v>
      </c>
      <c r="B992" s="1">
        <v>0</v>
      </c>
      <c r="C992" s="1" t="s">
        <v>26</v>
      </c>
      <c r="D992" s="1" t="s">
        <v>27</v>
      </c>
      <c r="E992" s="1" t="s">
        <v>2403</v>
      </c>
      <c r="F992" s="1" t="s">
        <v>2404</v>
      </c>
      <c r="G992" s="1" t="s">
        <v>23</v>
      </c>
      <c r="I992" s="16">
        <v>40821.846319444441</v>
      </c>
      <c r="J992" s="1" t="s">
        <v>40</v>
      </c>
      <c r="K992" s="1" t="s">
        <v>18</v>
      </c>
      <c r="L992" s="1" t="s">
        <v>19</v>
      </c>
    </row>
    <row r="993" spans="1:16" ht="13" x14ac:dyDescent="0.15">
      <c r="A993" s="1">
        <v>112847</v>
      </c>
      <c r="B993" s="1">
        <v>0</v>
      </c>
      <c r="C993" s="1" t="s">
        <v>26</v>
      </c>
      <c r="D993" s="1" t="s">
        <v>27</v>
      </c>
      <c r="E993" s="1" t="s">
        <v>2405</v>
      </c>
      <c r="F993" s="1" t="s">
        <v>2406</v>
      </c>
      <c r="G993" s="1" t="s">
        <v>23</v>
      </c>
      <c r="I993" s="16">
        <v>40945.801840277774</v>
      </c>
      <c r="J993" s="1" t="s">
        <v>44</v>
      </c>
      <c r="K993" s="1" t="s">
        <v>18</v>
      </c>
      <c r="L993" s="1" t="s">
        <v>19</v>
      </c>
    </row>
    <row r="994" spans="1:16" ht="13" x14ac:dyDescent="0.15">
      <c r="A994" s="1">
        <v>31568</v>
      </c>
      <c r="B994" s="1">
        <v>0</v>
      </c>
      <c r="C994" s="1" t="s">
        <v>26</v>
      </c>
      <c r="D994" s="1" t="s">
        <v>27</v>
      </c>
      <c r="E994" s="1" t="s">
        <v>2407</v>
      </c>
      <c r="F994" s="1" t="s">
        <v>355</v>
      </c>
      <c r="I994" s="16">
        <v>40183.080706018518</v>
      </c>
      <c r="J994" s="1" t="s">
        <v>151</v>
      </c>
      <c r="K994" s="1" t="s">
        <v>18</v>
      </c>
      <c r="L994" s="1" t="s">
        <v>19</v>
      </c>
    </row>
    <row r="995" spans="1:16" ht="13" x14ac:dyDescent="0.15">
      <c r="A995" s="1">
        <v>78031</v>
      </c>
      <c r="B995" s="1">
        <v>0</v>
      </c>
      <c r="D995" s="1" t="s">
        <v>27</v>
      </c>
      <c r="E995" s="1" t="s">
        <v>2408</v>
      </c>
      <c r="F995" s="1" t="s">
        <v>1831</v>
      </c>
      <c r="G995" s="1" t="s">
        <v>23</v>
      </c>
      <c r="I995" s="16">
        <v>40633.502245370371</v>
      </c>
      <c r="J995" s="1" t="s">
        <v>263</v>
      </c>
      <c r="K995" s="1" t="s">
        <v>18</v>
      </c>
      <c r="L995" s="1" t="s">
        <v>19</v>
      </c>
    </row>
    <row r="996" spans="1:16" ht="13" x14ac:dyDescent="0.15">
      <c r="A996" s="1">
        <v>492263</v>
      </c>
      <c r="B996" s="1">
        <v>0</v>
      </c>
      <c r="C996" s="1" t="s">
        <v>65</v>
      </c>
      <c r="D996" s="1" t="s">
        <v>27</v>
      </c>
      <c r="E996" s="1" t="s">
        <v>2409</v>
      </c>
      <c r="F996" s="1" t="s">
        <v>2410</v>
      </c>
      <c r="I996" s="16">
        <v>42150.74927083333</v>
      </c>
      <c r="J996" s="1" t="s">
        <v>68</v>
      </c>
      <c r="K996" s="1" t="s">
        <v>18</v>
      </c>
      <c r="L996" s="1" t="s">
        <v>19</v>
      </c>
    </row>
    <row r="997" spans="1:16" ht="13" x14ac:dyDescent="0.15">
      <c r="A997" s="1">
        <v>456516</v>
      </c>
      <c r="B997" s="1">
        <v>0</v>
      </c>
      <c r="D997" s="1" t="s">
        <v>27</v>
      </c>
      <c r="E997" s="1" t="s">
        <v>2411</v>
      </c>
      <c r="F997" s="1" t="s">
        <v>2412</v>
      </c>
      <c r="G997" s="1" t="s">
        <v>353</v>
      </c>
      <c r="I997" s="16">
        <v>42042.927395833336</v>
      </c>
      <c r="J997" s="1" t="s">
        <v>469</v>
      </c>
      <c r="K997" s="1" t="s">
        <v>18</v>
      </c>
      <c r="L997" s="1" t="s">
        <v>19</v>
      </c>
    </row>
    <row r="998" spans="1:16" ht="13" x14ac:dyDescent="0.15">
      <c r="A998" s="1">
        <v>451059</v>
      </c>
      <c r="B998" s="1">
        <v>1</v>
      </c>
      <c r="D998" s="1" t="s">
        <v>27</v>
      </c>
      <c r="E998" s="1" t="s">
        <v>2413</v>
      </c>
      <c r="F998" s="1" t="s">
        <v>2414</v>
      </c>
      <c r="G998" s="1" t="s">
        <v>23</v>
      </c>
      <c r="I998" s="16">
        <v>42026.681157407409</v>
      </c>
      <c r="J998" s="1" t="s">
        <v>17</v>
      </c>
      <c r="K998" s="1" t="s">
        <v>18</v>
      </c>
      <c r="L998" s="1" t="s">
        <v>19</v>
      </c>
      <c r="M998" s="1">
        <v>454045</v>
      </c>
      <c r="N998" s="1" t="s">
        <v>2415</v>
      </c>
      <c r="O998" s="16">
        <v>42035.118784722225</v>
      </c>
      <c r="P998" s="1" t="s">
        <v>98</v>
      </c>
    </row>
    <row r="999" spans="1:16" ht="13" x14ac:dyDescent="0.15">
      <c r="A999" s="1">
        <v>88670</v>
      </c>
      <c r="B999" s="1">
        <v>1</v>
      </c>
      <c r="C999" s="1" t="s">
        <v>26</v>
      </c>
      <c r="D999" s="1" t="s">
        <v>27</v>
      </c>
      <c r="E999" s="1" t="s">
        <v>2416</v>
      </c>
      <c r="F999" s="1" t="s">
        <v>2417</v>
      </c>
      <c r="G999" s="1" t="s">
        <v>23</v>
      </c>
      <c r="I999" s="16">
        <v>40731.684548611112</v>
      </c>
      <c r="J999" s="1" t="s">
        <v>40</v>
      </c>
      <c r="K999" s="1" t="s">
        <v>18</v>
      </c>
      <c r="L999" s="1" t="s">
        <v>19</v>
      </c>
      <c r="M999" s="1">
        <v>88683</v>
      </c>
      <c r="N999" s="1" t="s">
        <v>2418</v>
      </c>
      <c r="O999" s="16">
        <v>40731.765185185184</v>
      </c>
      <c r="P999" s="1" t="s">
        <v>44</v>
      </c>
    </row>
    <row r="1000" spans="1:16" ht="13" x14ac:dyDescent="0.15">
      <c r="A1000" s="1">
        <v>62925</v>
      </c>
      <c r="B1000" s="1">
        <v>0</v>
      </c>
      <c r="C1000" s="1" t="s">
        <v>170</v>
      </c>
      <c r="D1000" s="1" t="s">
        <v>27</v>
      </c>
      <c r="E1000" s="1" t="s">
        <v>2419</v>
      </c>
      <c r="F1000" s="1" t="s">
        <v>2420</v>
      </c>
      <c r="G1000" s="1" t="s">
        <v>23</v>
      </c>
      <c r="I1000" s="16">
        <v>40494.303611111114</v>
      </c>
      <c r="J1000" s="1" t="s">
        <v>263</v>
      </c>
      <c r="K1000" s="1" t="s">
        <v>18</v>
      </c>
      <c r="L1000" s="1" t="s">
        <v>19</v>
      </c>
    </row>
    <row r="1001" spans="1:16" ht="13" x14ac:dyDescent="0.15">
      <c r="A1001" s="1">
        <v>66334</v>
      </c>
      <c r="B1001" s="1">
        <v>0</v>
      </c>
      <c r="C1001" s="1" t="s">
        <v>194</v>
      </c>
      <c r="D1001" s="1" t="s">
        <v>27</v>
      </c>
      <c r="E1001" s="1" t="s">
        <v>2421</v>
      </c>
      <c r="F1001" s="1" t="s">
        <v>1173</v>
      </c>
      <c r="G1001" s="1" t="s">
        <v>23</v>
      </c>
      <c r="I1001" s="16">
        <v>40522.635717592595</v>
      </c>
      <c r="J1001" s="1" t="s">
        <v>151</v>
      </c>
      <c r="K1001" s="1" t="s">
        <v>18</v>
      </c>
      <c r="L1001" s="1" t="s">
        <v>19</v>
      </c>
    </row>
    <row r="1002" spans="1:16" ht="13" x14ac:dyDescent="0.15">
      <c r="A1002" s="1">
        <v>164643</v>
      </c>
      <c r="B1002" s="1">
        <v>0</v>
      </c>
      <c r="C1002" s="1" t="s">
        <v>1804</v>
      </c>
      <c r="D1002" s="1" t="s">
        <v>27</v>
      </c>
      <c r="E1002" s="1" t="s">
        <v>2422</v>
      </c>
      <c r="F1002" s="1" t="s">
        <v>2423</v>
      </c>
      <c r="G1002" s="1" t="s">
        <v>23</v>
      </c>
      <c r="I1002" s="16">
        <v>41249.81454861111</v>
      </c>
      <c r="J1002" s="1" t="s">
        <v>2424</v>
      </c>
      <c r="K1002" s="1" t="s">
        <v>18</v>
      </c>
      <c r="L1002" s="1" t="s">
        <v>19</v>
      </c>
    </row>
    <row r="1003" spans="1:16" ht="13" x14ac:dyDescent="0.15">
      <c r="A1003" s="1">
        <v>446459</v>
      </c>
      <c r="B1003" s="1">
        <v>0</v>
      </c>
      <c r="C1003" s="1" t="s">
        <v>1596</v>
      </c>
      <c r="D1003" s="1" t="s">
        <v>27</v>
      </c>
      <c r="E1003" s="1" t="s">
        <v>2425</v>
      </c>
      <c r="F1003" s="1" t="s">
        <v>2426</v>
      </c>
      <c r="G1003" s="1" t="s">
        <v>23</v>
      </c>
      <c r="I1003" s="16">
        <v>42010.453865740739</v>
      </c>
      <c r="J1003" s="1" t="s">
        <v>2427</v>
      </c>
      <c r="K1003" s="1" t="s">
        <v>18</v>
      </c>
      <c r="L1003" s="1" t="s">
        <v>19</v>
      </c>
    </row>
    <row r="1004" spans="1:16" ht="13" x14ac:dyDescent="0.15">
      <c r="A1004" s="1">
        <v>389570</v>
      </c>
      <c r="B1004" s="1">
        <v>0</v>
      </c>
      <c r="C1004" s="1" t="s">
        <v>65</v>
      </c>
      <c r="D1004" s="1" t="s">
        <v>27</v>
      </c>
      <c r="E1004" s="1" t="s">
        <v>2428</v>
      </c>
      <c r="F1004" s="1" t="s">
        <v>2429</v>
      </c>
      <c r="G1004" s="1" t="s">
        <v>23</v>
      </c>
      <c r="I1004" s="16">
        <v>41817.659143518518</v>
      </c>
      <c r="J1004" s="1" t="s">
        <v>17</v>
      </c>
      <c r="K1004" s="1" t="s">
        <v>18</v>
      </c>
      <c r="L1004" s="1" t="s">
        <v>19</v>
      </c>
    </row>
    <row r="1005" spans="1:16" ht="13" x14ac:dyDescent="0.15">
      <c r="A1005" s="1">
        <v>112735</v>
      </c>
      <c r="B1005" s="1">
        <v>0</v>
      </c>
      <c r="C1005" s="1" t="s">
        <v>26</v>
      </c>
      <c r="D1005" s="1" t="s">
        <v>27</v>
      </c>
      <c r="E1005" s="1" t="s">
        <v>2430</v>
      </c>
      <c r="F1005" s="1" t="s">
        <v>2431</v>
      </c>
      <c r="G1005" s="1" t="s">
        <v>23</v>
      </c>
      <c r="I1005" s="16">
        <v>40944.137291666666</v>
      </c>
      <c r="J1005" s="1" t="s">
        <v>40</v>
      </c>
      <c r="K1005" s="1" t="s">
        <v>18</v>
      </c>
      <c r="L1005" s="1" t="s">
        <v>19</v>
      </c>
    </row>
    <row r="1006" spans="1:16" ht="13" x14ac:dyDescent="0.15">
      <c r="A1006" s="1">
        <v>605910</v>
      </c>
      <c r="B1006" s="1">
        <v>0</v>
      </c>
      <c r="C1006" s="1" t="s">
        <v>77</v>
      </c>
      <c r="D1006" s="1" t="s">
        <v>27</v>
      </c>
      <c r="E1006" s="1" t="s">
        <v>2432</v>
      </c>
      <c r="F1006" s="1" t="s">
        <v>2433</v>
      </c>
      <c r="I1006" s="16">
        <v>42482.503206018519</v>
      </c>
      <c r="J1006" s="1" t="s">
        <v>247</v>
      </c>
      <c r="K1006" s="1" t="s">
        <v>18</v>
      </c>
      <c r="L1006" s="1" t="s">
        <v>19</v>
      </c>
    </row>
    <row r="1007" spans="1:16" ht="13" x14ac:dyDescent="0.15">
      <c r="A1007" s="1">
        <v>53747</v>
      </c>
      <c r="B1007" s="1">
        <v>0</v>
      </c>
      <c r="C1007" s="1" t="s">
        <v>26</v>
      </c>
      <c r="D1007" s="1" t="s">
        <v>27</v>
      </c>
      <c r="E1007" s="1" t="s">
        <v>2434</v>
      </c>
      <c r="F1007" s="1" t="s">
        <v>2435</v>
      </c>
      <c r="G1007" s="1" t="s">
        <v>23</v>
      </c>
      <c r="I1007" s="16">
        <v>40419.222557870373</v>
      </c>
      <c r="J1007" s="1" t="s">
        <v>151</v>
      </c>
      <c r="K1007" s="1" t="s">
        <v>18</v>
      </c>
      <c r="L1007" s="1" t="s">
        <v>19</v>
      </c>
    </row>
    <row r="1008" spans="1:16" ht="13" x14ac:dyDescent="0.15">
      <c r="A1008" s="1">
        <v>153793</v>
      </c>
      <c r="B1008" s="1">
        <v>0</v>
      </c>
      <c r="C1008" s="1" t="s">
        <v>26</v>
      </c>
      <c r="D1008" s="1" t="s">
        <v>27</v>
      </c>
      <c r="E1008" s="1" t="s">
        <v>1098</v>
      </c>
      <c r="F1008" s="1" t="s">
        <v>2436</v>
      </c>
      <c r="G1008" s="1" t="s">
        <v>23</v>
      </c>
      <c r="I1008" s="16">
        <v>41185.666006944448</v>
      </c>
      <c r="J1008" s="1" t="s">
        <v>40</v>
      </c>
      <c r="K1008" s="1" t="s">
        <v>18</v>
      </c>
      <c r="L1008" s="1" t="s">
        <v>19</v>
      </c>
    </row>
    <row r="1009" spans="1:16" ht="13" x14ac:dyDescent="0.15">
      <c r="A1009" s="1">
        <v>127367</v>
      </c>
      <c r="B1009" s="1">
        <v>0</v>
      </c>
      <c r="C1009" s="1" t="s">
        <v>26</v>
      </c>
      <c r="D1009" s="1" t="s">
        <v>27</v>
      </c>
      <c r="E1009" s="1" t="s">
        <v>2437</v>
      </c>
      <c r="F1009" s="1" t="s">
        <v>2438</v>
      </c>
      <c r="G1009" s="1" t="s">
        <v>23</v>
      </c>
      <c r="I1009" s="16">
        <v>41038.232488425929</v>
      </c>
      <c r="J1009" s="1" t="s">
        <v>40</v>
      </c>
      <c r="K1009" s="1" t="s">
        <v>18</v>
      </c>
      <c r="L1009" s="1" t="s">
        <v>19</v>
      </c>
    </row>
    <row r="1010" spans="1:16" ht="13" x14ac:dyDescent="0.15">
      <c r="A1010" s="1">
        <v>127366</v>
      </c>
      <c r="B1010" s="1">
        <v>0</v>
      </c>
      <c r="C1010" s="1" t="s">
        <v>26</v>
      </c>
      <c r="D1010" s="1" t="s">
        <v>27</v>
      </c>
      <c r="E1010" s="1" t="s">
        <v>2439</v>
      </c>
      <c r="F1010" s="1" t="s">
        <v>2440</v>
      </c>
      <c r="G1010" s="1" t="s">
        <v>23</v>
      </c>
      <c r="I1010" s="16">
        <v>41038.231493055559</v>
      </c>
      <c r="J1010" s="1" t="s">
        <v>40</v>
      </c>
      <c r="K1010" s="1" t="s">
        <v>18</v>
      </c>
      <c r="L1010" s="1" t="s">
        <v>19</v>
      </c>
    </row>
    <row r="1011" spans="1:16" ht="13" x14ac:dyDescent="0.15">
      <c r="A1011" s="1">
        <v>129936</v>
      </c>
      <c r="B1011" s="1">
        <v>1</v>
      </c>
      <c r="C1011" s="1" t="s">
        <v>26</v>
      </c>
      <c r="D1011" s="1" t="s">
        <v>27</v>
      </c>
      <c r="E1011" s="1" t="s">
        <v>2441</v>
      </c>
      <c r="F1011" s="1" t="s">
        <v>2442</v>
      </c>
      <c r="G1011" s="1" t="s">
        <v>23</v>
      </c>
      <c r="I1011" s="16">
        <v>41056.55605324074</v>
      </c>
      <c r="J1011" s="1" t="s">
        <v>40</v>
      </c>
      <c r="K1011" s="1" t="s">
        <v>18</v>
      </c>
      <c r="L1011" s="1" t="s">
        <v>19</v>
      </c>
      <c r="M1011" s="1">
        <v>124520</v>
      </c>
      <c r="N1011" s="1" t="s">
        <v>2443</v>
      </c>
      <c r="O1011" s="16">
        <v>41020.117534722223</v>
      </c>
      <c r="P1011" s="1" t="s">
        <v>155</v>
      </c>
    </row>
    <row r="1012" spans="1:16" ht="13" x14ac:dyDescent="0.15">
      <c r="A1012" s="1">
        <v>129930</v>
      </c>
      <c r="B1012" s="1">
        <v>0</v>
      </c>
      <c r="C1012" s="1" t="s">
        <v>170</v>
      </c>
      <c r="D1012" s="1" t="s">
        <v>27</v>
      </c>
      <c r="E1012" s="1" t="s">
        <v>2444</v>
      </c>
      <c r="F1012" s="1" t="s">
        <v>2445</v>
      </c>
      <c r="G1012" s="1" t="s">
        <v>16</v>
      </c>
      <c r="I1012" s="16">
        <v>41056.427152777775</v>
      </c>
      <c r="J1012" s="1" t="s">
        <v>376</v>
      </c>
      <c r="K1012" s="1" t="s">
        <v>18</v>
      </c>
      <c r="L1012" s="1" t="s">
        <v>19</v>
      </c>
    </row>
    <row r="1013" spans="1:16" ht="13" x14ac:dyDescent="0.15">
      <c r="A1013" s="1">
        <v>478549</v>
      </c>
      <c r="B1013" s="1">
        <v>0</v>
      </c>
      <c r="C1013" s="1" t="s">
        <v>280</v>
      </c>
      <c r="D1013" s="1" t="s">
        <v>27</v>
      </c>
      <c r="E1013" s="1" t="s">
        <v>2446</v>
      </c>
      <c r="F1013" s="1" t="s">
        <v>2447</v>
      </c>
      <c r="G1013" s="1" t="s">
        <v>23</v>
      </c>
      <c r="I1013" s="16">
        <v>42113.809560185182</v>
      </c>
      <c r="J1013" s="1" t="s">
        <v>408</v>
      </c>
      <c r="K1013" s="1" t="s">
        <v>18</v>
      </c>
      <c r="L1013" s="1" t="s">
        <v>19</v>
      </c>
    </row>
    <row r="1014" spans="1:16" ht="13" x14ac:dyDescent="0.15">
      <c r="A1014" s="1">
        <v>413447</v>
      </c>
      <c r="B1014" s="1">
        <v>0</v>
      </c>
      <c r="C1014" s="1" t="s">
        <v>12</v>
      </c>
      <c r="D1014" s="1" t="s">
        <v>27</v>
      </c>
      <c r="E1014" s="1" t="s">
        <v>2448</v>
      </c>
      <c r="F1014" s="1" t="s">
        <v>2449</v>
      </c>
      <c r="I1014" s="16">
        <v>41893.952175925922</v>
      </c>
      <c r="J1014" s="1" t="s">
        <v>68</v>
      </c>
      <c r="K1014" s="1" t="s">
        <v>18</v>
      </c>
      <c r="L1014" s="1" t="s">
        <v>19</v>
      </c>
    </row>
    <row r="1015" spans="1:16" ht="13" x14ac:dyDescent="0.15">
      <c r="A1015" s="1">
        <v>456101</v>
      </c>
      <c r="B1015" s="1">
        <v>0</v>
      </c>
      <c r="C1015" s="1" t="s">
        <v>137</v>
      </c>
      <c r="D1015" s="1" t="s">
        <v>27</v>
      </c>
      <c r="E1015" s="1" t="s">
        <v>2450</v>
      </c>
      <c r="F1015" s="1" t="s">
        <v>2451</v>
      </c>
      <c r="I1015" s="16">
        <v>42041.580347222225</v>
      </c>
      <c r="J1015" s="1" t="s">
        <v>656</v>
      </c>
      <c r="K1015" s="1" t="s">
        <v>18</v>
      </c>
      <c r="L1015" s="1" t="s">
        <v>19</v>
      </c>
    </row>
    <row r="1016" spans="1:16" ht="13" x14ac:dyDescent="0.15">
      <c r="A1016" s="1">
        <v>152354</v>
      </c>
      <c r="B1016" s="1">
        <v>0</v>
      </c>
      <c r="C1016" s="1" t="s">
        <v>26</v>
      </c>
      <c r="D1016" s="1" t="s">
        <v>27</v>
      </c>
      <c r="E1016" s="1" t="s">
        <v>2452</v>
      </c>
      <c r="F1016" s="1" t="s">
        <v>2453</v>
      </c>
      <c r="I1016" s="16">
        <v>41178.094618055555</v>
      </c>
      <c r="J1016" s="1" t="s">
        <v>40</v>
      </c>
      <c r="K1016" s="1" t="s">
        <v>18</v>
      </c>
      <c r="L1016" s="1" t="s">
        <v>19</v>
      </c>
    </row>
    <row r="1017" spans="1:16" ht="13" x14ac:dyDescent="0.15">
      <c r="A1017" s="1">
        <v>93106</v>
      </c>
      <c r="B1017" s="1">
        <v>1</v>
      </c>
      <c r="C1017" s="1" t="s">
        <v>2454</v>
      </c>
      <c r="D1017" s="1" t="s">
        <v>27</v>
      </c>
      <c r="E1017" s="1" t="s">
        <v>2455</v>
      </c>
      <c r="F1017" s="1" t="s">
        <v>2456</v>
      </c>
      <c r="G1017" s="1" t="s">
        <v>23</v>
      </c>
      <c r="I1017" s="16">
        <v>40771.775462962964</v>
      </c>
      <c r="J1017" s="1" t="s">
        <v>2457</v>
      </c>
      <c r="K1017" s="1" t="s">
        <v>18</v>
      </c>
      <c r="L1017" s="1" t="s">
        <v>19</v>
      </c>
      <c r="M1017" s="1">
        <v>97050</v>
      </c>
      <c r="N1017" s="1" t="s">
        <v>2458</v>
      </c>
      <c r="O1017" s="16">
        <v>40804.933217592596</v>
      </c>
      <c r="P1017" s="1" t="s">
        <v>860</v>
      </c>
    </row>
    <row r="1018" spans="1:16" ht="13" x14ac:dyDescent="0.15">
      <c r="A1018" s="1">
        <v>169398</v>
      </c>
      <c r="B1018" s="1">
        <v>0</v>
      </c>
      <c r="C1018" s="1" t="s">
        <v>26</v>
      </c>
      <c r="D1018" s="1" t="s">
        <v>27</v>
      </c>
      <c r="E1018" s="1" t="s">
        <v>1138</v>
      </c>
      <c r="F1018" s="1" t="s">
        <v>1129</v>
      </c>
      <c r="G1018" s="1" t="s">
        <v>23</v>
      </c>
      <c r="I1018" s="16">
        <v>41285.12841435185</v>
      </c>
      <c r="J1018" s="1" t="s">
        <v>155</v>
      </c>
      <c r="K1018" s="1" t="s">
        <v>18</v>
      </c>
      <c r="L1018" s="1" t="s">
        <v>19</v>
      </c>
    </row>
    <row r="1019" spans="1:16" ht="13" x14ac:dyDescent="0.15">
      <c r="A1019" s="1">
        <v>62987</v>
      </c>
      <c r="B1019" s="1">
        <v>0</v>
      </c>
      <c r="C1019" s="1" t="s">
        <v>26</v>
      </c>
      <c r="D1019" s="1" t="s">
        <v>27</v>
      </c>
      <c r="E1019" s="1" t="s">
        <v>2459</v>
      </c>
      <c r="F1019" s="1" t="s">
        <v>2460</v>
      </c>
      <c r="I1019" s="16">
        <v>40494.728541666664</v>
      </c>
      <c r="J1019" s="1" t="s">
        <v>40</v>
      </c>
      <c r="K1019" s="1" t="s">
        <v>18</v>
      </c>
      <c r="L1019" s="1" t="s">
        <v>19</v>
      </c>
    </row>
    <row r="1020" spans="1:16" ht="13" x14ac:dyDescent="0.15">
      <c r="A1020" s="1">
        <v>42755</v>
      </c>
      <c r="B1020" s="1">
        <v>0</v>
      </c>
      <c r="D1020" s="1" t="s">
        <v>27</v>
      </c>
      <c r="E1020" s="1" t="s">
        <v>2461</v>
      </c>
      <c r="F1020" s="1" t="s">
        <v>198</v>
      </c>
      <c r="I1020" s="16">
        <v>40296.762488425928</v>
      </c>
      <c r="J1020" s="1" t="s">
        <v>151</v>
      </c>
      <c r="K1020" s="1" t="s">
        <v>18</v>
      </c>
      <c r="L1020" s="1" t="s">
        <v>19</v>
      </c>
    </row>
    <row r="1021" spans="1:16" ht="13" x14ac:dyDescent="0.15">
      <c r="A1021" s="1">
        <v>104325</v>
      </c>
      <c r="B1021" s="1">
        <v>0</v>
      </c>
      <c r="C1021" s="1" t="s">
        <v>26</v>
      </c>
      <c r="D1021" s="1" t="s">
        <v>27</v>
      </c>
      <c r="E1021" s="1" t="s">
        <v>58</v>
      </c>
      <c r="F1021" s="1" t="s">
        <v>2462</v>
      </c>
      <c r="G1021" s="1" t="s">
        <v>23</v>
      </c>
      <c r="I1021" s="16">
        <v>40862.716886574075</v>
      </c>
      <c r="J1021" s="1" t="s">
        <v>40</v>
      </c>
      <c r="K1021" s="1" t="s">
        <v>18</v>
      </c>
      <c r="L1021" s="1" t="s">
        <v>19</v>
      </c>
    </row>
    <row r="1022" spans="1:16" ht="13" x14ac:dyDescent="0.15">
      <c r="A1022" s="1">
        <v>387315</v>
      </c>
      <c r="B1022" s="1">
        <v>0</v>
      </c>
      <c r="C1022" s="1" t="s">
        <v>369</v>
      </c>
      <c r="D1022" s="1" t="s">
        <v>27</v>
      </c>
      <c r="E1022" s="1" t="s">
        <v>2463</v>
      </c>
      <c r="F1022" s="1" t="s">
        <v>2464</v>
      </c>
      <c r="G1022" s="1" t="s">
        <v>23</v>
      </c>
      <c r="I1022" s="16">
        <v>41811.134247685186</v>
      </c>
      <c r="J1022" s="1" t="s">
        <v>17</v>
      </c>
      <c r="K1022" s="1" t="s">
        <v>18</v>
      </c>
      <c r="L1022" s="1" t="s">
        <v>19</v>
      </c>
    </row>
    <row r="1023" spans="1:16" ht="13" x14ac:dyDescent="0.15">
      <c r="A1023" s="1">
        <v>614405</v>
      </c>
      <c r="B1023" s="1">
        <v>1</v>
      </c>
      <c r="C1023" s="1" t="s">
        <v>1824</v>
      </c>
      <c r="D1023" s="1" t="s">
        <v>27</v>
      </c>
      <c r="E1023" s="1" t="s">
        <v>2465</v>
      </c>
      <c r="F1023" s="1" t="s">
        <v>850</v>
      </c>
      <c r="I1023" s="16">
        <v>42514.694039351853</v>
      </c>
      <c r="J1023" s="1" t="s">
        <v>1827</v>
      </c>
      <c r="K1023" s="1" t="s">
        <v>18</v>
      </c>
      <c r="L1023" s="1" t="s">
        <v>19</v>
      </c>
      <c r="M1023" s="1">
        <v>593691</v>
      </c>
      <c r="N1023" s="1" t="s">
        <v>2466</v>
      </c>
      <c r="O1023" s="16">
        <v>42439.501736111109</v>
      </c>
      <c r="P1023" s="1" t="s">
        <v>17</v>
      </c>
    </row>
    <row r="1024" spans="1:16" ht="13" x14ac:dyDescent="0.15">
      <c r="A1024" s="1">
        <v>128497</v>
      </c>
      <c r="B1024" s="1">
        <v>0</v>
      </c>
      <c r="C1024" s="1" t="s">
        <v>26</v>
      </c>
      <c r="D1024" s="1" t="s">
        <v>27</v>
      </c>
      <c r="E1024" s="1" t="s">
        <v>2467</v>
      </c>
      <c r="F1024" s="1" t="s">
        <v>2468</v>
      </c>
      <c r="G1024" s="1" t="s">
        <v>23</v>
      </c>
      <c r="I1024" s="16">
        <v>41046.226354166669</v>
      </c>
      <c r="J1024" s="1" t="s">
        <v>40</v>
      </c>
      <c r="K1024" s="1" t="s">
        <v>18</v>
      </c>
      <c r="L1024" s="1" t="s">
        <v>19</v>
      </c>
    </row>
    <row r="1025" spans="1:16" ht="13" x14ac:dyDescent="0.15">
      <c r="A1025" s="1">
        <v>620961</v>
      </c>
      <c r="B1025" s="1">
        <v>0</v>
      </c>
      <c r="C1025" s="1" t="s">
        <v>137</v>
      </c>
      <c r="D1025" s="1" t="s">
        <v>27</v>
      </c>
      <c r="E1025" s="1" t="s">
        <v>2469</v>
      </c>
      <c r="F1025" s="1" t="s">
        <v>2470</v>
      </c>
      <c r="G1025" s="1" t="s">
        <v>23</v>
      </c>
      <c r="I1025" s="16">
        <v>42538.150092592594</v>
      </c>
      <c r="J1025" s="1" t="s">
        <v>1365</v>
      </c>
      <c r="K1025" s="1" t="s">
        <v>18</v>
      </c>
      <c r="L1025" s="1" t="s">
        <v>19</v>
      </c>
    </row>
    <row r="1026" spans="1:16" ht="13" x14ac:dyDescent="0.15">
      <c r="A1026" s="1">
        <v>620966</v>
      </c>
      <c r="B1026" s="1">
        <v>0</v>
      </c>
      <c r="C1026" s="1" t="s">
        <v>137</v>
      </c>
      <c r="D1026" s="1" t="s">
        <v>27</v>
      </c>
      <c r="E1026" s="1" t="s">
        <v>2471</v>
      </c>
      <c r="F1026" s="1" t="s">
        <v>2472</v>
      </c>
      <c r="G1026" s="1" t="s">
        <v>23</v>
      </c>
      <c r="I1026" s="16">
        <v>42538.191608796296</v>
      </c>
      <c r="J1026" s="1" t="s">
        <v>1365</v>
      </c>
      <c r="K1026" s="1" t="s">
        <v>18</v>
      </c>
      <c r="L1026" s="1" t="s">
        <v>19</v>
      </c>
    </row>
    <row r="1027" spans="1:16" ht="13" x14ac:dyDescent="0.15">
      <c r="A1027" s="1">
        <v>435815</v>
      </c>
      <c r="B1027" s="1">
        <v>0</v>
      </c>
      <c r="D1027" s="1" t="s">
        <v>27</v>
      </c>
      <c r="E1027" s="1" t="s">
        <v>2473</v>
      </c>
      <c r="F1027" s="1" t="s">
        <v>2474</v>
      </c>
      <c r="G1027" s="1" t="s">
        <v>23</v>
      </c>
      <c r="I1027" s="16">
        <v>41965.395752314813</v>
      </c>
      <c r="J1027" s="1" t="s">
        <v>17</v>
      </c>
      <c r="K1027" s="1" t="s">
        <v>18</v>
      </c>
      <c r="L1027" s="1" t="s">
        <v>19</v>
      </c>
    </row>
    <row r="1028" spans="1:16" ht="13" x14ac:dyDescent="0.15">
      <c r="A1028" s="1">
        <v>239897</v>
      </c>
      <c r="B1028" s="1">
        <v>0</v>
      </c>
      <c r="C1028" s="1" t="s">
        <v>50</v>
      </c>
      <c r="D1028" s="1" t="s">
        <v>27</v>
      </c>
      <c r="E1028" s="1" t="s">
        <v>2475</v>
      </c>
      <c r="F1028" s="1" t="s">
        <v>2476</v>
      </c>
      <c r="G1028" s="1" t="s">
        <v>23</v>
      </c>
      <c r="I1028" s="16">
        <v>41404.825798611113</v>
      </c>
      <c r="J1028" s="1" t="s">
        <v>2477</v>
      </c>
      <c r="K1028" s="1" t="s">
        <v>18</v>
      </c>
      <c r="L1028" s="1" t="s">
        <v>19</v>
      </c>
    </row>
    <row r="1029" spans="1:16" ht="13" x14ac:dyDescent="0.15">
      <c r="A1029" s="1">
        <v>359130</v>
      </c>
      <c r="B1029" s="1">
        <v>1</v>
      </c>
      <c r="C1029" s="1" t="s">
        <v>73</v>
      </c>
      <c r="D1029" s="1" t="s">
        <v>27</v>
      </c>
      <c r="E1029" s="1" t="s">
        <v>2478</v>
      </c>
      <c r="F1029" s="1" t="s">
        <v>2479</v>
      </c>
      <c r="G1029" s="1" t="s">
        <v>23</v>
      </c>
      <c r="I1029" s="16">
        <v>41731.679872685185</v>
      </c>
      <c r="J1029" s="1" t="s">
        <v>17</v>
      </c>
      <c r="K1029" s="1" t="s">
        <v>18</v>
      </c>
      <c r="L1029" s="1" t="s">
        <v>19</v>
      </c>
      <c r="M1029" s="1">
        <v>363469</v>
      </c>
      <c r="N1029" s="1" t="s">
        <v>2480</v>
      </c>
      <c r="O1029" s="16">
        <v>41744.058958333335</v>
      </c>
      <c r="P1029" s="1" t="s">
        <v>330</v>
      </c>
    </row>
    <row r="1030" spans="1:16" ht="13" x14ac:dyDescent="0.15">
      <c r="A1030" s="1">
        <v>158897</v>
      </c>
      <c r="B1030" s="1">
        <v>1</v>
      </c>
      <c r="C1030" s="1" t="s">
        <v>527</v>
      </c>
      <c r="D1030" s="1" t="s">
        <v>27</v>
      </c>
      <c r="E1030" s="1" t="s">
        <v>1776</v>
      </c>
      <c r="F1030" s="1" t="s">
        <v>395</v>
      </c>
      <c r="G1030" s="1" t="s">
        <v>23</v>
      </c>
      <c r="I1030" s="16">
        <v>41214.239247685182</v>
      </c>
      <c r="J1030" s="1" t="s">
        <v>40</v>
      </c>
      <c r="K1030" s="1" t="s">
        <v>18</v>
      </c>
      <c r="L1030" s="1" t="s">
        <v>19</v>
      </c>
      <c r="M1030" s="1">
        <v>164285</v>
      </c>
      <c r="N1030" s="1" t="s">
        <v>2481</v>
      </c>
      <c r="O1030" s="16">
        <v>41247.997164351851</v>
      </c>
      <c r="P1030" s="1" t="s">
        <v>408</v>
      </c>
    </row>
    <row r="1031" spans="1:16" ht="13" x14ac:dyDescent="0.15">
      <c r="A1031" s="1">
        <v>355586</v>
      </c>
      <c r="B1031" s="1">
        <v>0</v>
      </c>
      <c r="C1031" s="1" t="s">
        <v>101</v>
      </c>
      <c r="D1031" s="1" t="s">
        <v>27</v>
      </c>
      <c r="E1031" s="1" t="s">
        <v>2482</v>
      </c>
      <c r="F1031" s="1" t="s">
        <v>2483</v>
      </c>
      <c r="G1031" s="1" t="s">
        <v>23</v>
      </c>
      <c r="I1031" s="16">
        <v>41722.649733796294</v>
      </c>
      <c r="J1031" s="1" t="s">
        <v>17</v>
      </c>
      <c r="K1031" s="1" t="s">
        <v>18</v>
      </c>
      <c r="L1031" s="1" t="s">
        <v>19</v>
      </c>
    </row>
    <row r="1032" spans="1:16" ht="13" x14ac:dyDescent="0.15">
      <c r="A1032" s="1">
        <v>423703</v>
      </c>
      <c r="B1032" s="1">
        <v>0</v>
      </c>
      <c r="C1032" s="1" t="s">
        <v>137</v>
      </c>
      <c r="D1032" s="1" t="s">
        <v>27</v>
      </c>
      <c r="E1032" s="1" t="s">
        <v>2484</v>
      </c>
      <c r="F1032" s="1" t="s">
        <v>2485</v>
      </c>
      <c r="I1032" s="16">
        <v>41927.443726851852</v>
      </c>
      <c r="J1032" s="1" t="s">
        <v>656</v>
      </c>
      <c r="K1032" s="1" t="s">
        <v>18</v>
      </c>
      <c r="L1032" s="1" t="s">
        <v>19</v>
      </c>
    </row>
    <row r="1033" spans="1:16" ht="13" x14ac:dyDescent="0.15">
      <c r="A1033" s="1">
        <v>126475</v>
      </c>
      <c r="B1033" s="1">
        <v>0</v>
      </c>
      <c r="C1033" s="1" t="s">
        <v>26</v>
      </c>
      <c r="D1033" s="1" t="s">
        <v>27</v>
      </c>
      <c r="E1033" s="1" t="s">
        <v>1105</v>
      </c>
      <c r="F1033" s="1" t="s">
        <v>2486</v>
      </c>
      <c r="G1033" s="1" t="s">
        <v>23</v>
      </c>
      <c r="I1033" s="16">
        <v>41036.660138888888</v>
      </c>
      <c r="J1033" s="1" t="s">
        <v>40</v>
      </c>
      <c r="K1033" s="1" t="s">
        <v>18</v>
      </c>
      <c r="L1033" s="1" t="s">
        <v>19</v>
      </c>
    </row>
    <row r="1034" spans="1:16" ht="13" x14ac:dyDescent="0.15">
      <c r="A1034" s="1">
        <v>165601</v>
      </c>
      <c r="B1034" s="1">
        <v>0</v>
      </c>
      <c r="C1034" s="1" t="s">
        <v>170</v>
      </c>
      <c r="D1034" s="1" t="s">
        <v>27</v>
      </c>
      <c r="E1034" s="1" t="s">
        <v>2487</v>
      </c>
      <c r="F1034" s="1" t="s">
        <v>2488</v>
      </c>
      <c r="G1034" s="1" t="s">
        <v>23</v>
      </c>
      <c r="I1034" s="16">
        <v>41255.091678240744</v>
      </c>
      <c r="J1034" s="1" t="s">
        <v>40</v>
      </c>
      <c r="K1034" s="1" t="s">
        <v>18</v>
      </c>
      <c r="L1034" s="1" t="s">
        <v>19</v>
      </c>
    </row>
    <row r="1035" spans="1:16" ht="13" x14ac:dyDescent="0.15">
      <c r="A1035" s="1">
        <v>616907</v>
      </c>
      <c r="B1035" s="1">
        <v>0</v>
      </c>
      <c r="C1035" s="1" t="s">
        <v>26</v>
      </c>
      <c r="D1035" s="1" t="s">
        <v>27</v>
      </c>
      <c r="E1035" s="1" t="s">
        <v>2489</v>
      </c>
      <c r="F1035" s="1" t="s">
        <v>2490</v>
      </c>
      <c r="G1035" s="1" t="s">
        <v>56</v>
      </c>
      <c r="I1035" s="16">
        <v>42523.901145833333</v>
      </c>
      <c r="J1035" s="1" t="s">
        <v>247</v>
      </c>
      <c r="K1035" s="1" t="s">
        <v>18</v>
      </c>
      <c r="L1035" s="1" t="s">
        <v>19</v>
      </c>
    </row>
    <row r="1036" spans="1:16" ht="13" x14ac:dyDescent="0.15">
      <c r="A1036" s="1">
        <v>113799</v>
      </c>
      <c r="B1036" s="1">
        <v>0</v>
      </c>
      <c r="C1036" s="1" t="s">
        <v>26</v>
      </c>
      <c r="D1036" s="1" t="s">
        <v>27</v>
      </c>
      <c r="E1036" s="1" t="s">
        <v>2491</v>
      </c>
      <c r="F1036" s="1" t="s">
        <v>915</v>
      </c>
      <c r="G1036" s="1" t="s">
        <v>23</v>
      </c>
      <c r="I1036" s="16">
        <v>40950.36146990741</v>
      </c>
      <c r="J1036" s="1" t="s">
        <v>40</v>
      </c>
      <c r="K1036" s="1" t="s">
        <v>18</v>
      </c>
      <c r="L1036" s="1" t="s">
        <v>19</v>
      </c>
    </row>
    <row r="1037" spans="1:16" ht="13" x14ac:dyDescent="0.15">
      <c r="A1037" s="1">
        <v>473688</v>
      </c>
      <c r="B1037" s="1">
        <v>0</v>
      </c>
      <c r="C1037" s="1" t="s">
        <v>967</v>
      </c>
      <c r="D1037" s="1" t="s">
        <v>27</v>
      </c>
      <c r="E1037" s="1" t="s">
        <v>2492</v>
      </c>
      <c r="F1037" s="1" t="s">
        <v>2493</v>
      </c>
      <c r="G1037" s="1" t="s">
        <v>23</v>
      </c>
      <c r="I1037" s="16">
        <v>42097.634872685187</v>
      </c>
      <c r="J1037" s="1" t="s">
        <v>17</v>
      </c>
      <c r="K1037" s="1" t="s">
        <v>18</v>
      </c>
      <c r="L1037" s="1" t="s">
        <v>19</v>
      </c>
    </row>
    <row r="1038" spans="1:16" ht="13" x14ac:dyDescent="0.15">
      <c r="A1038" s="1">
        <v>342618</v>
      </c>
      <c r="B1038" s="1">
        <v>0</v>
      </c>
      <c r="C1038" s="1" t="s">
        <v>26</v>
      </c>
      <c r="D1038" s="1" t="s">
        <v>27</v>
      </c>
      <c r="E1038" s="1" t="s">
        <v>2494</v>
      </c>
      <c r="F1038" s="1" t="s">
        <v>2495</v>
      </c>
      <c r="I1038" s="16">
        <v>41681.07885416667</v>
      </c>
      <c r="J1038" s="1" t="s">
        <v>2496</v>
      </c>
      <c r="K1038" s="1" t="s">
        <v>18</v>
      </c>
      <c r="L1038" s="1" t="s">
        <v>19</v>
      </c>
    </row>
    <row r="1039" spans="1:16" ht="13" x14ac:dyDescent="0.15">
      <c r="A1039" s="1">
        <v>232865</v>
      </c>
      <c r="B1039" s="1">
        <v>0</v>
      </c>
      <c r="D1039" s="1" t="s">
        <v>27</v>
      </c>
      <c r="E1039" s="1" t="s">
        <v>2497</v>
      </c>
      <c r="F1039" s="1" t="s">
        <v>2498</v>
      </c>
      <c r="G1039" s="1" t="s">
        <v>23</v>
      </c>
      <c r="I1039" s="16">
        <v>41381.844386574077</v>
      </c>
      <c r="J1039" s="1" t="s">
        <v>40</v>
      </c>
      <c r="K1039" s="1" t="s">
        <v>18</v>
      </c>
      <c r="L1039" s="1" t="s">
        <v>19</v>
      </c>
    </row>
    <row r="1040" spans="1:16" ht="13" x14ac:dyDescent="0.15">
      <c r="A1040" s="1">
        <v>452793</v>
      </c>
      <c r="B1040" s="1">
        <v>0</v>
      </c>
      <c r="D1040" s="1" t="s">
        <v>27</v>
      </c>
      <c r="E1040" s="1" t="s">
        <v>2499</v>
      </c>
      <c r="F1040" s="1" t="s">
        <v>2500</v>
      </c>
      <c r="G1040" s="1" t="s">
        <v>23</v>
      </c>
      <c r="I1040" s="16">
        <v>42032.281655092593</v>
      </c>
      <c r="J1040" s="1" t="s">
        <v>17</v>
      </c>
      <c r="K1040" s="1" t="s">
        <v>18</v>
      </c>
      <c r="L1040" s="1" t="s">
        <v>19</v>
      </c>
    </row>
    <row r="1041" spans="1:16" ht="13" x14ac:dyDescent="0.15">
      <c r="A1041" s="1">
        <v>452794</v>
      </c>
      <c r="B1041" s="1">
        <v>0</v>
      </c>
      <c r="D1041" s="1" t="s">
        <v>27</v>
      </c>
      <c r="E1041" s="1" t="s">
        <v>2501</v>
      </c>
      <c r="F1041" s="1" t="s">
        <v>2414</v>
      </c>
      <c r="G1041" s="1" t="s">
        <v>23</v>
      </c>
      <c r="I1041" s="16">
        <v>42032.282152777778</v>
      </c>
      <c r="J1041" s="1" t="s">
        <v>17</v>
      </c>
      <c r="K1041" s="1" t="s">
        <v>18</v>
      </c>
      <c r="L1041" s="1" t="s">
        <v>19</v>
      </c>
    </row>
    <row r="1042" spans="1:16" ht="13" x14ac:dyDescent="0.15">
      <c r="A1042" s="1">
        <v>83672</v>
      </c>
      <c r="B1042" s="1">
        <v>1</v>
      </c>
      <c r="C1042" s="1" t="s">
        <v>26</v>
      </c>
      <c r="D1042" s="1" t="s">
        <v>27</v>
      </c>
      <c r="E1042" s="1" t="s">
        <v>2502</v>
      </c>
      <c r="F1042" s="1" t="s">
        <v>2503</v>
      </c>
      <c r="G1042" s="1" t="s">
        <v>23</v>
      </c>
      <c r="I1042" s="16">
        <v>40686.979201388887</v>
      </c>
      <c r="J1042" s="1" t="s">
        <v>40</v>
      </c>
      <c r="K1042" s="1" t="s">
        <v>18</v>
      </c>
      <c r="L1042" s="1" t="s">
        <v>19</v>
      </c>
      <c r="M1042" s="1">
        <v>82063</v>
      </c>
      <c r="N1042" s="1" t="s">
        <v>2504</v>
      </c>
      <c r="O1042" s="16">
        <v>40672.948159722226</v>
      </c>
      <c r="P1042" s="1" t="s">
        <v>2505</v>
      </c>
    </row>
    <row r="1043" spans="1:16" ht="13" x14ac:dyDescent="0.15">
      <c r="A1043" s="1">
        <v>137852</v>
      </c>
      <c r="B1043" s="1">
        <v>0</v>
      </c>
      <c r="C1043" s="1" t="s">
        <v>2506</v>
      </c>
      <c r="D1043" s="1" t="s">
        <v>27</v>
      </c>
      <c r="E1043" s="1" t="s">
        <v>2507</v>
      </c>
      <c r="F1043" s="1" t="s">
        <v>162</v>
      </c>
      <c r="G1043" s="1" t="s">
        <v>23</v>
      </c>
      <c r="I1043" s="16">
        <v>41108.618692129632</v>
      </c>
      <c r="J1043" s="1" t="s">
        <v>40</v>
      </c>
      <c r="K1043" s="1" t="s">
        <v>18</v>
      </c>
      <c r="L1043" s="1" t="s">
        <v>19</v>
      </c>
    </row>
    <row r="1044" spans="1:16" ht="13" x14ac:dyDescent="0.15">
      <c r="A1044" s="1">
        <v>75835</v>
      </c>
      <c r="B1044" s="1">
        <v>0</v>
      </c>
      <c r="C1044" s="1" t="s">
        <v>26</v>
      </c>
      <c r="D1044" s="1" t="s">
        <v>27</v>
      </c>
      <c r="E1044" s="1" t="s">
        <v>2508</v>
      </c>
      <c r="F1044" s="1" t="s">
        <v>2509</v>
      </c>
      <c r="G1044" s="1" t="s">
        <v>23</v>
      </c>
      <c r="I1044" s="16">
        <v>40613.988599537035</v>
      </c>
      <c r="J1044" s="1" t="s">
        <v>40</v>
      </c>
      <c r="K1044" s="1" t="s">
        <v>18</v>
      </c>
      <c r="L1044" s="1" t="s">
        <v>19</v>
      </c>
    </row>
    <row r="1045" spans="1:16" ht="13" x14ac:dyDescent="0.15">
      <c r="A1045" s="1">
        <v>163994</v>
      </c>
      <c r="B1045" s="1">
        <v>0</v>
      </c>
      <c r="C1045" s="1" t="s">
        <v>26</v>
      </c>
      <c r="D1045" s="1" t="s">
        <v>27</v>
      </c>
      <c r="E1045" s="1" t="s">
        <v>1599</v>
      </c>
      <c r="F1045" s="1" t="s">
        <v>707</v>
      </c>
      <c r="G1045" s="1" t="s">
        <v>23</v>
      </c>
      <c r="I1045" s="16">
        <v>41246.866319444445</v>
      </c>
      <c r="J1045" s="1" t="s">
        <v>40</v>
      </c>
      <c r="K1045" s="1" t="s">
        <v>18</v>
      </c>
      <c r="L1045" s="1" t="s">
        <v>19</v>
      </c>
    </row>
    <row r="1046" spans="1:16" ht="13" x14ac:dyDescent="0.15">
      <c r="A1046" s="1">
        <v>79075</v>
      </c>
      <c r="B1046" s="1">
        <v>0</v>
      </c>
      <c r="C1046" s="1" t="s">
        <v>26</v>
      </c>
      <c r="D1046" s="1" t="s">
        <v>27</v>
      </c>
      <c r="E1046" s="1" t="s">
        <v>2510</v>
      </c>
      <c r="F1046" s="1" t="s">
        <v>2511</v>
      </c>
      <c r="G1046" s="1" t="s">
        <v>23</v>
      </c>
      <c r="I1046" s="16">
        <v>40644.792685185188</v>
      </c>
      <c r="J1046" s="1" t="s">
        <v>40</v>
      </c>
      <c r="K1046" s="1" t="s">
        <v>18</v>
      </c>
      <c r="L1046" s="1" t="s">
        <v>19</v>
      </c>
    </row>
    <row r="1047" spans="1:16" ht="13" x14ac:dyDescent="0.15">
      <c r="A1047" s="1">
        <v>86648</v>
      </c>
      <c r="B1047" s="1">
        <v>0</v>
      </c>
      <c r="C1047" s="1" t="s">
        <v>26</v>
      </c>
      <c r="D1047" s="1" t="s">
        <v>27</v>
      </c>
      <c r="E1047" s="1" t="s">
        <v>2512</v>
      </c>
      <c r="F1047" s="1" t="s">
        <v>2513</v>
      </c>
      <c r="G1047" s="1" t="s">
        <v>23</v>
      </c>
      <c r="I1047" s="16">
        <v>40712.674143518518</v>
      </c>
      <c r="J1047" s="1" t="s">
        <v>40</v>
      </c>
      <c r="K1047" s="1" t="s">
        <v>18</v>
      </c>
      <c r="L1047" s="1" t="s">
        <v>19</v>
      </c>
    </row>
    <row r="1048" spans="1:16" ht="13" x14ac:dyDescent="0.15">
      <c r="A1048" s="1">
        <v>43322</v>
      </c>
      <c r="B1048" s="1">
        <v>0</v>
      </c>
      <c r="D1048" s="1" t="s">
        <v>27</v>
      </c>
      <c r="E1048" s="1" t="s">
        <v>2514</v>
      </c>
      <c r="F1048" s="1" t="s">
        <v>2515</v>
      </c>
      <c r="I1048" s="16">
        <v>40303.620312500003</v>
      </c>
      <c r="J1048" s="1" t="s">
        <v>151</v>
      </c>
      <c r="K1048" s="1" t="s">
        <v>18</v>
      </c>
      <c r="L1048" s="1" t="s">
        <v>19</v>
      </c>
    </row>
    <row r="1049" spans="1:16" ht="13" x14ac:dyDescent="0.15">
      <c r="A1049" s="1">
        <v>63268</v>
      </c>
      <c r="B1049" s="1">
        <v>0</v>
      </c>
      <c r="C1049" s="1" t="s">
        <v>26</v>
      </c>
      <c r="D1049" s="1" t="s">
        <v>27</v>
      </c>
      <c r="E1049" s="1" t="s">
        <v>2516</v>
      </c>
      <c r="F1049" s="1" t="s">
        <v>720</v>
      </c>
      <c r="G1049" s="1" t="s">
        <v>23</v>
      </c>
      <c r="I1049" s="16">
        <v>40497.978541666664</v>
      </c>
      <c r="J1049" s="1" t="s">
        <v>40</v>
      </c>
      <c r="K1049" s="1" t="s">
        <v>18</v>
      </c>
      <c r="L1049" s="1" t="s">
        <v>19</v>
      </c>
    </row>
    <row r="1050" spans="1:16" ht="13" x14ac:dyDescent="0.15">
      <c r="A1050" s="1">
        <v>475749</v>
      </c>
      <c r="B1050" s="1">
        <v>0</v>
      </c>
      <c r="C1050" s="1" t="s">
        <v>967</v>
      </c>
      <c r="D1050" s="1" t="s">
        <v>27</v>
      </c>
      <c r="E1050" s="1" t="s">
        <v>2517</v>
      </c>
      <c r="F1050" s="1" t="s">
        <v>2518</v>
      </c>
      <c r="G1050" s="1" t="s">
        <v>23</v>
      </c>
      <c r="I1050" s="16">
        <v>42104.00445601852</v>
      </c>
      <c r="J1050" s="1" t="s">
        <v>17</v>
      </c>
      <c r="K1050" s="1" t="s">
        <v>18</v>
      </c>
      <c r="L1050" s="1" t="s">
        <v>19</v>
      </c>
    </row>
    <row r="1051" spans="1:16" ht="13" x14ac:dyDescent="0.15">
      <c r="A1051" s="1">
        <v>39698</v>
      </c>
      <c r="B1051" s="1">
        <v>0</v>
      </c>
      <c r="C1051" s="1" t="s">
        <v>26</v>
      </c>
      <c r="D1051" s="1" t="s">
        <v>27</v>
      </c>
      <c r="E1051" s="1" t="s">
        <v>2519</v>
      </c>
      <c r="F1051" s="1" t="s">
        <v>2520</v>
      </c>
      <c r="I1051" s="16">
        <v>40266.682650462964</v>
      </c>
      <c r="J1051" s="1" t="s">
        <v>2521</v>
      </c>
      <c r="K1051" s="1" t="s">
        <v>18</v>
      </c>
      <c r="L1051" s="1" t="s">
        <v>19</v>
      </c>
    </row>
    <row r="1052" spans="1:16" ht="13" x14ac:dyDescent="0.15">
      <c r="A1052" s="1">
        <v>455368</v>
      </c>
      <c r="B1052" s="1">
        <v>0</v>
      </c>
      <c r="C1052" s="1" t="s">
        <v>1391</v>
      </c>
      <c r="D1052" s="1" t="s">
        <v>27</v>
      </c>
      <c r="E1052" s="1" t="s">
        <v>2522</v>
      </c>
      <c r="F1052" s="1" t="s">
        <v>2523</v>
      </c>
      <c r="G1052" s="1" t="s">
        <v>23</v>
      </c>
      <c r="I1052" s="16">
        <v>42039.867708333331</v>
      </c>
      <c r="J1052" s="1" t="s">
        <v>17</v>
      </c>
      <c r="K1052" s="1" t="s">
        <v>18</v>
      </c>
      <c r="L1052" s="1" t="s">
        <v>19</v>
      </c>
    </row>
    <row r="1053" spans="1:16" ht="13" x14ac:dyDescent="0.15">
      <c r="A1053" s="1">
        <v>225403</v>
      </c>
      <c r="B1053" s="1">
        <v>0</v>
      </c>
      <c r="C1053" s="1" t="s">
        <v>2524</v>
      </c>
      <c r="D1053" s="1" t="s">
        <v>27</v>
      </c>
      <c r="E1053" s="1" t="s">
        <v>2525</v>
      </c>
      <c r="F1053" s="1" t="s">
        <v>529</v>
      </c>
      <c r="G1053" s="1" t="s">
        <v>23</v>
      </c>
      <c r="I1053" s="16">
        <v>41365.614259259259</v>
      </c>
      <c r="J1053" s="1" t="s">
        <v>40</v>
      </c>
      <c r="K1053" s="1" t="s">
        <v>18</v>
      </c>
      <c r="L1053" s="1" t="s">
        <v>19</v>
      </c>
    </row>
    <row r="1054" spans="1:16" ht="13" x14ac:dyDescent="0.15">
      <c r="A1054" s="1">
        <v>78106</v>
      </c>
      <c r="B1054" s="1">
        <v>0</v>
      </c>
      <c r="C1054" s="1" t="s">
        <v>26</v>
      </c>
      <c r="D1054" s="1" t="s">
        <v>27</v>
      </c>
      <c r="E1054" s="1" t="s">
        <v>2526</v>
      </c>
      <c r="F1054" s="1" t="s">
        <v>2527</v>
      </c>
      <c r="G1054" s="1" t="s">
        <v>23</v>
      </c>
      <c r="I1054" s="16">
        <v>40633.994050925925</v>
      </c>
      <c r="J1054" s="1" t="s">
        <v>1925</v>
      </c>
      <c r="K1054" s="1" t="s">
        <v>18</v>
      </c>
      <c r="L1054" s="1" t="s">
        <v>19</v>
      </c>
    </row>
    <row r="1055" spans="1:16" ht="13" x14ac:dyDescent="0.15">
      <c r="A1055" s="1">
        <v>14719</v>
      </c>
      <c r="B1055" s="1">
        <v>0</v>
      </c>
      <c r="C1055" s="1" t="s">
        <v>26</v>
      </c>
      <c r="D1055" s="1" t="s">
        <v>27</v>
      </c>
      <c r="E1055" s="1" t="s">
        <v>2528</v>
      </c>
      <c r="F1055" s="1" t="s">
        <v>2529</v>
      </c>
      <c r="G1055" s="1" t="s">
        <v>23</v>
      </c>
      <c r="I1055" s="16">
        <v>39983.697777777779</v>
      </c>
      <c r="J1055" s="1" t="s">
        <v>151</v>
      </c>
      <c r="K1055" s="1" t="s">
        <v>18</v>
      </c>
      <c r="L1055" s="1" t="s">
        <v>19</v>
      </c>
    </row>
    <row r="1056" spans="1:16" ht="13" x14ac:dyDescent="0.15">
      <c r="A1056" s="1">
        <v>181617</v>
      </c>
      <c r="B1056" s="1">
        <v>0</v>
      </c>
      <c r="C1056" s="1" t="s">
        <v>727</v>
      </c>
      <c r="D1056" s="1" t="s">
        <v>27</v>
      </c>
      <c r="E1056" s="1" t="s">
        <v>2530</v>
      </c>
      <c r="F1056" s="1" t="s">
        <v>2531</v>
      </c>
      <c r="G1056" s="1" t="s">
        <v>159</v>
      </c>
      <c r="I1056" s="16">
        <v>41344.775706018518</v>
      </c>
      <c r="J1056" s="1" t="s">
        <v>2532</v>
      </c>
      <c r="K1056" s="1" t="s">
        <v>18</v>
      </c>
      <c r="L1056" s="1" t="s">
        <v>19</v>
      </c>
    </row>
    <row r="1057" spans="1:20" ht="13" x14ac:dyDescent="0.15">
      <c r="A1057" s="1">
        <v>427303</v>
      </c>
      <c r="B1057" s="1">
        <v>0</v>
      </c>
      <c r="D1057" s="1" t="s">
        <v>27</v>
      </c>
      <c r="E1057" s="1" t="s">
        <v>1047</v>
      </c>
      <c r="F1057" s="1" t="s">
        <v>2533</v>
      </c>
      <c r="G1057" s="1" t="s">
        <v>23</v>
      </c>
      <c r="I1057" s="16">
        <v>41938.846168981479</v>
      </c>
      <c r="J1057" s="1" t="s">
        <v>17</v>
      </c>
      <c r="K1057" s="1" t="s">
        <v>18</v>
      </c>
      <c r="L1057" s="1" t="s">
        <v>19</v>
      </c>
    </row>
    <row r="1058" spans="1:20" ht="13" x14ac:dyDescent="0.15">
      <c r="A1058" s="1">
        <v>42306</v>
      </c>
      <c r="B1058" s="1">
        <v>0</v>
      </c>
      <c r="C1058" s="1" t="s">
        <v>549</v>
      </c>
      <c r="D1058" s="1" t="s">
        <v>27</v>
      </c>
      <c r="E1058" s="1" t="s">
        <v>2534</v>
      </c>
      <c r="F1058" s="1" t="s">
        <v>1346</v>
      </c>
      <c r="I1058" s="16">
        <v>40290.556435185186</v>
      </c>
      <c r="J1058" s="1" t="s">
        <v>151</v>
      </c>
      <c r="K1058" s="1" t="s">
        <v>18</v>
      </c>
      <c r="L1058" s="1" t="s">
        <v>19</v>
      </c>
    </row>
    <row r="1059" spans="1:20" ht="13" x14ac:dyDescent="0.15">
      <c r="A1059" s="1">
        <v>459533</v>
      </c>
      <c r="B1059" s="1">
        <v>0</v>
      </c>
      <c r="D1059" s="1" t="s">
        <v>27</v>
      </c>
      <c r="E1059" s="1" t="s">
        <v>2535</v>
      </c>
      <c r="F1059" s="1" t="s">
        <v>2536</v>
      </c>
      <c r="I1059" s="16">
        <v>42053.410451388889</v>
      </c>
      <c r="J1059" s="1" t="s">
        <v>68</v>
      </c>
      <c r="K1059" s="1" t="s">
        <v>18</v>
      </c>
      <c r="L1059" s="1" t="s">
        <v>19</v>
      </c>
    </row>
    <row r="1060" spans="1:20" ht="13" x14ac:dyDescent="0.15">
      <c r="A1060" s="1">
        <v>62127</v>
      </c>
      <c r="B1060" s="1">
        <v>0</v>
      </c>
      <c r="D1060" s="1" t="s">
        <v>27</v>
      </c>
      <c r="E1060" s="1" t="s">
        <v>2537</v>
      </c>
      <c r="F1060" s="1" t="s">
        <v>2538</v>
      </c>
      <c r="I1060" s="16">
        <v>40487.874791666669</v>
      </c>
      <c r="J1060" s="1" t="s">
        <v>44</v>
      </c>
      <c r="K1060" s="1" t="s">
        <v>18</v>
      </c>
      <c r="L1060" s="1" t="s">
        <v>19</v>
      </c>
    </row>
    <row r="1061" spans="1:20" ht="13" x14ac:dyDescent="0.15">
      <c r="A1061" s="1">
        <v>673170</v>
      </c>
      <c r="B1061" s="1">
        <v>0</v>
      </c>
      <c r="C1061" s="1" t="s">
        <v>647</v>
      </c>
      <c r="D1061" s="1" t="s">
        <v>27</v>
      </c>
      <c r="E1061" s="1" t="s">
        <v>2539</v>
      </c>
      <c r="F1061" s="1" t="s">
        <v>2540</v>
      </c>
      <c r="G1061" s="1" t="s">
        <v>23</v>
      </c>
      <c r="I1061" s="16">
        <v>42715.780474537038</v>
      </c>
      <c r="J1061" s="1" t="s">
        <v>247</v>
      </c>
      <c r="K1061" s="1" t="s">
        <v>18</v>
      </c>
      <c r="L1061" s="1" t="s">
        <v>19</v>
      </c>
    </row>
    <row r="1062" spans="1:20" ht="13" x14ac:dyDescent="0.15">
      <c r="A1062" s="1">
        <v>350434</v>
      </c>
      <c r="B1062" s="1">
        <v>1</v>
      </c>
      <c r="C1062" s="1" t="s">
        <v>101</v>
      </c>
      <c r="D1062" s="1" t="s">
        <v>27</v>
      </c>
      <c r="E1062" s="1" t="s">
        <v>2541</v>
      </c>
      <c r="F1062" s="1" t="s">
        <v>2542</v>
      </c>
      <c r="G1062" s="1" t="s">
        <v>16</v>
      </c>
      <c r="I1062" s="16">
        <v>41705.71402777778</v>
      </c>
      <c r="J1062" s="1" t="s">
        <v>958</v>
      </c>
      <c r="K1062" s="1" t="s">
        <v>18</v>
      </c>
      <c r="L1062" s="1" t="s">
        <v>19</v>
      </c>
      <c r="M1062" s="1">
        <v>350886</v>
      </c>
      <c r="N1062" s="1" t="s">
        <v>2543</v>
      </c>
      <c r="O1062" s="16">
        <v>41708.497673611113</v>
      </c>
      <c r="P1062" s="1" t="s">
        <v>17</v>
      </c>
    </row>
    <row r="1063" spans="1:20" ht="13" x14ac:dyDescent="0.15">
      <c r="A1063" s="1">
        <v>162153</v>
      </c>
      <c r="B1063" s="1">
        <v>0</v>
      </c>
      <c r="C1063" s="1" t="s">
        <v>477</v>
      </c>
      <c r="D1063" s="1" t="s">
        <v>27</v>
      </c>
      <c r="E1063" s="1" t="s">
        <v>2544</v>
      </c>
      <c r="F1063" s="1" t="s">
        <v>2545</v>
      </c>
      <c r="G1063" s="1" t="s">
        <v>23</v>
      </c>
      <c r="I1063" s="16">
        <v>41234.050370370373</v>
      </c>
      <c r="J1063" s="1" t="s">
        <v>151</v>
      </c>
      <c r="K1063" s="1" t="s">
        <v>18</v>
      </c>
      <c r="L1063" s="1" t="s">
        <v>19</v>
      </c>
    </row>
    <row r="1064" spans="1:20" ht="13" x14ac:dyDescent="0.15">
      <c r="A1064" s="1">
        <v>135071</v>
      </c>
      <c r="B1064" s="1">
        <v>2</v>
      </c>
      <c r="C1064" s="1" t="s">
        <v>26</v>
      </c>
      <c r="D1064" s="1" t="s">
        <v>27</v>
      </c>
      <c r="E1064" s="1" t="s">
        <v>2546</v>
      </c>
      <c r="F1064" s="1" t="s">
        <v>2547</v>
      </c>
      <c r="G1064" s="1" t="s">
        <v>23</v>
      </c>
      <c r="I1064" s="16">
        <v>41088.900358796294</v>
      </c>
      <c r="J1064" s="1" t="s">
        <v>40</v>
      </c>
      <c r="K1064" s="1" t="s">
        <v>18</v>
      </c>
      <c r="L1064" s="1" t="s">
        <v>19</v>
      </c>
      <c r="M1064" s="1">
        <v>135209</v>
      </c>
      <c r="N1064" s="1" t="s">
        <v>2548</v>
      </c>
      <c r="O1064" s="16">
        <v>41089.734652777777</v>
      </c>
      <c r="P1064" s="1" t="s">
        <v>155</v>
      </c>
      <c r="Q1064" s="1">
        <v>134874</v>
      </c>
      <c r="R1064" s="1" t="s">
        <v>2548</v>
      </c>
      <c r="S1064" s="2">
        <v>41087.773564814815</v>
      </c>
      <c r="T1064" s="1" t="s">
        <v>44</v>
      </c>
    </row>
    <row r="1065" spans="1:20" ht="13" x14ac:dyDescent="0.15">
      <c r="A1065" s="1">
        <v>130595</v>
      </c>
      <c r="B1065" s="1">
        <v>0</v>
      </c>
      <c r="C1065" s="1" t="s">
        <v>26</v>
      </c>
      <c r="D1065" s="1" t="s">
        <v>27</v>
      </c>
      <c r="E1065" s="1" t="s">
        <v>2549</v>
      </c>
      <c r="F1065" s="1" t="s">
        <v>2550</v>
      </c>
      <c r="G1065" s="1" t="s">
        <v>23</v>
      </c>
      <c r="I1065" s="16">
        <v>41060.770254629628</v>
      </c>
      <c r="J1065" s="1" t="s">
        <v>44</v>
      </c>
      <c r="K1065" s="1" t="s">
        <v>18</v>
      </c>
      <c r="L1065" s="1" t="s">
        <v>19</v>
      </c>
    </row>
    <row r="1066" spans="1:20" ht="13" x14ac:dyDescent="0.15">
      <c r="A1066" s="1">
        <v>614934</v>
      </c>
      <c r="B1066" s="1">
        <v>0</v>
      </c>
      <c r="C1066" s="1" t="s">
        <v>1313</v>
      </c>
      <c r="D1066" s="1" t="s">
        <v>27</v>
      </c>
      <c r="E1066" s="1" t="s">
        <v>2551</v>
      </c>
      <c r="F1066" s="1" t="s">
        <v>2552</v>
      </c>
      <c r="G1066" s="1" t="s">
        <v>23</v>
      </c>
      <c r="I1066" s="16">
        <v>42516.272094907406</v>
      </c>
      <c r="J1066" s="1" t="s">
        <v>2553</v>
      </c>
      <c r="K1066" s="1" t="s">
        <v>18</v>
      </c>
      <c r="L1066" s="1" t="s">
        <v>19</v>
      </c>
    </row>
    <row r="1067" spans="1:20" ht="13" x14ac:dyDescent="0.15">
      <c r="A1067" s="1">
        <v>56449</v>
      </c>
      <c r="B1067" s="1">
        <v>0</v>
      </c>
      <c r="C1067" s="1" t="s">
        <v>1188</v>
      </c>
      <c r="D1067" s="1" t="s">
        <v>27</v>
      </c>
      <c r="E1067" s="1" t="s">
        <v>2554</v>
      </c>
      <c r="F1067" s="1" t="s">
        <v>2555</v>
      </c>
      <c r="G1067" s="1" t="s">
        <v>16</v>
      </c>
      <c r="I1067" s="16">
        <v>40442.927870370368</v>
      </c>
      <c r="J1067" s="1" t="s">
        <v>552</v>
      </c>
      <c r="K1067" s="1" t="s">
        <v>18</v>
      </c>
      <c r="L1067" s="1" t="s">
        <v>19</v>
      </c>
    </row>
    <row r="1068" spans="1:20" ht="13" x14ac:dyDescent="0.15">
      <c r="A1068" s="1">
        <v>664411</v>
      </c>
      <c r="B1068" s="1">
        <v>0</v>
      </c>
      <c r="C1068" s="1" t="s">
        <v>107</v>
      </c>
      <c r="D1068" s="1" t="s">
        <v>27</v>
      </c>
      <c r="E1068" s="1" t="s">
        <v>2556</v>
      </c>
      <c r="F1068" s="1" t="s">
        <v>2557</v>
      </c>
      <c r="G1068" s="1" t="s">
        <v>23</v>
      </c>
      <c r="I1068" s="16">
        <v>42685.283391203702</v>
      </c>
      <c r="J1068" s="1" t="s">
        <v>2558</v>
      </c>
      <c r="K1068" s="1" t="s">
        <v>18</v>
      </c>
      <c r="L1068" s="1" t="s">
        <v>19</v>
      </c>
    </row>
    <row r="1069" spans="1:20" ht="13" x14ac:dyDescent="0.15">
      <c r="A1069" s="1">
        <v>71788</v>
      </c>
      <c r="B1069" s="1">
        <v>0</v>
      </c>
      <c r="C1069" s="1" t="s">
        <v>2559</v>
      </c>
      <c r="D1069" s="1" t="s">
        <v>27</v>
      </c>
      <c r="E1069" s="1" t="s">
        <v>2560</v>
      </c>
      <c r="F1069" s="1" t="s">
        <v>2561</v>
      </c>
      <c r="G1069" s="1" t="s">
        <v>23</v>
      </c>
      <c r="I1069" s="16">
        <v>40577.622662037036</v>
      </c>
      <c r="J1069" s="1" t="s">
        <v>148</v>
      </c>
      <c r="K1069" s="1" t="s">
        <v>18</v>
      </c>
      <c r="L1069" s="1" t="s">
        <v>19</v>
      </c>
    </row>
    <row r="1070" spans="1:20" ht="13" x14ac:dyDescent="0.15">
      <c r="A1070" s="1">
        <v>86609</v>
      </c>
      <c r="B1070" s="1">
        <v>0</v>
      </c>
      <c r="C1070" s="1" t="s">
        <v>26</v>
      </c>
      <c r="D1070" s="1" t="s">
        <v>27</v>
      </c>
      <c r="E1070" s="1" t="s">
        <v>2562</v>
      </c>
      <c r="F1070" s="1" t="s">
        <v>2563</v>
      </c>
      <c r="G1070" s="1" t="s">
        <v>23</v>
      </c>
      <c r="I1070" s="16">
        <v>40712.11146990741</v>
      </c>
      <c r="J1070" s="1" t="s">
        <v>40</v>
      </c>
      <c r="K1070" s="1" t="s">
        <v>18</v>
      </c>
      <c r="L1070" s="1" t="s">
        <v>19</v>
      </c>
    </row>
    <row r="1071" spans="1:20" ht="13" x14ac:dyDescent="0.15">
      <c r="A1071" s="1">
        <v>58008</v>
      </c>
      <c r="B1071" s="1">
        <v>0</v>
      </c>
      <c r="C1071" s="1" t="s">
        <v>26</v>
      </c>
      <c r="D1071" s="1" t="s">
        <v>27</v>
      </c>
      <c r="E1071" s="1" t="s">
        <v>2564</v>
      </c>
      <c r="F1071" s="1" t="s">
        <v>651</v>
      </c>
      <c r="G1071" s="1" t="s">
        <v>23</v>
      </c>
      <c r="I1071" s="16">
        <v>40456.785949074074</v>
      </c>
      <c r="J1071" s="1" t="s">
        <v>40</v>
      </c>
      <c r="K1071" s="1" t="s">
        <v>18</v>
      </c>
      <c r="L1071" s="1" t="s">
        <v>19</v>
      </c>
    </row>
    <row r="1072" spans="1:20" ht="13" x14ac:dyDescent="0.15">
      <c r="A1072" s="1">
        <v>407477</v>
      </c>
      <c r="B1072" s="1">
        <v>0</v>
      </c>
      <c r="D1072" s="1" t="s">
        <v>27</v>
      </c>
      <c r="E1072" s="1" t="s">
        <v>2565</v>
      </c>
      <c r="F1072" s="1" t="s">
        <v>122</v>
      </c>
      <c r="G1072" s="1" t="s">
        <v>23</v>
      </c>
      <c r="I1072" s="16">
        <v>41877.177754629629</v>
      </c>
      <c r="J1072" s="1" t="s">
        <v>17</v>
      </c>
      <c r="K1072" s="1" t="s">
        <v>18</v>
      </c>
      <c r="L1072" s="1" t="s">
        <v>19</v>
      </c>
    </row>
    <row r="1073" spans="1:16" ht="13" x14ac:dyDescent="0.15">
      <c r="A1073" s="1">
        <v>81348</v>
      </c>
      <c r="B1073" s="1">
        <v>0</v>
      </c>
      <c r="C1073" s="1" t="s">
        <v>26</v>
      </c>
      <c r="D1073" s="1" t="s">
        <v>27</v>
      </c>
      <c r="E1073" s="1" t="s">
        <v>2566</v>
      </c>
      <c r="F1073" s="1" t="s">
        <v>2567</v>
      </c>
      <c r="G1073" s="1" t="s">
        <v>23</v>
      </c>
      <c r="I1073" s="16">
        <v>40666.26699074074</v>
      </c>
      <c r="J1073" s="1" t="s">
        <v>40</v>
      </c>
      <c r="K1073" s="1" t="s">
        <v>18</v>
      </c>
      <c r="L1073" s="1" t="s">
        <v>19</v>
      </c>
    </row>
    <row r="1074" spans="1:16" ht="13" x14ac:dyDescent="0.15">
      <c r="A1074" s="1">
        <v>163593</v>
      </c>
      <c r="B1074" s="1">
        <v>0</v>
      </c>
      <c r="C1074" s="1" t="s">
        <v>26</v>
      </c>
      <c r="D1074" s="1" t="s">
        <v>27</v>
      </c>
      <c r="E1074" s="1" t="s">
        <v>2568</v>
      </c>
      <c r="F1074" s="1" t="s">
        <v>2569</v>
      </c>
      <c r="G1074" s="1" t="s">
        <v>23</v>
      </c>
      <c r="I1074" s="16">
        <v>41243.631296296298</v>
      </c>
      <c r="J1074" s="1" t="s">
        <v>155</v>
      </c>
      <c r="K1074" s="1" t="s">
        <v>18</v>
      </c>
      <c r="L1074" s="1" t="s">
        <v>19</v>
      </c>
    </row>
    <row r="1075" spans="1:16" ht="13" x14ac:dyDescent="0.15">
      <c r="A1075" s="1">
        <v>460752</v>
      </c>
      <c r="B1075" s="1">
        <v>0</v>
      </c>
      <c r="D1075" s="1" t="s">
        <v>27</v>
      </c>
      <c r="E1075" s="1" t="s">
        <v>2570</v>
      </c>
      <c r="F1075" s="1" t="s">
        <v>2571</v>
      </c>
      <c r="G1075" s="1" t="s">
        <v>23</v>
      </c>
      <c r="I1075" s="16">
        <v>42057.205254629633</v>
      </c>
      <c r="J1075" s="1" t="s">
        <v>17</v>
      </c>
      <c r="K1075" s="1" t="s">
        <v>18</v>
      </c>
      <c r="L1075" s="1" t="s">
        <v>19</v>
      </c>
    </row>
    <row r="1076" spans="1:16" ht="13" x14ac:dyDescent="0.15">
      <c r="A1076" s="1">
        <v>598165</v>
      </c>
      <c r="B1076" s="1">
        <v>0</v>
      </c>
      <c r="C1076" s="1" t="s">
        <v>305</v>
      </c>
      <c r="D1076" s="1" t="s">
        <v>27</v>
      </c>
      <c r="E1076" s="1" t="s">
        <v>2572</v>
      </c>
      <c r="F1076" s="1" t="s">
        <v>2573</v>
      </c>
      <c r="I1076" s="16">
        <v>42455.698819444442</v>
      </c>
      <c r="J1076" s="1" t="s">
        <v>247</v>
      </c>
      <c r="K1076" s="1" t="s">
        <v>18</v>
      </c>
      <c r="L1076" s="1" t="s">
        <v>19</v>
      </c>
    </row>
    <row r="1077" spans="1:16" ht="13" x14ac:dyDescent="0.15">
      <c r="A1077" s="1">
        <v>87148</v>
      </c>
      <c r="B1077" s="1">
        <v>0</v>
      </c>
      <c r="D1077" s="1" t="s">
        <v>27</v>
      </c>
      <c r="E1077" s="1" t="s">
        <v>2574</v>
      </c>
      <c r="F1077" s="1" t="s">
        <v>2575</v>
      </c>
      <c r="G1077" s="1" t="s">
        <v>23</v>
      </c>
      <c r="I1077" s="16">
        <v>40716.875347222223</v>
      </c>
      <c r="J1077" s="1" t="s">
        <v>44</v>
      </c>
      <c r="K1077" s="1" t="s">
        <v>18</v>
      </c>
      <c r="L1077" s="1" t="s">
        <v>19</v>
      </c>
    </row>
    <row r="1078" spans="1:16" ht="13" x14ac:dyDescent="0.15">
      <c r="A1078" s="1">
        <v>120912</v>
      </c>
      <c r="B1078" s="1">
        <v>0</v>
      </c>
      <c r="C1078" s="1" t="s">
        <v>26</v>
      </c>
      <c r="D1078" s="1" t="s">
        <v>27</v>
      </c>
      <c r="E1078" s="1" t="s">
        <v>2576</v>
      </c>
      <c r="F1078" s="1" t="s">
        <v>2577</v>
      </c>
      <c r="G1078" s="1" t="s">
        <v>23</v>
      </c>
      <c r="I1078" s="16">
        <v>40997.753645833334</v>
      </c>
      <c r="J1078" s="1" t="s">
        <v>44</v>
      </c>
      <c r="K1078" s="1" t="s">
        <v>18</v>
      </c>
      <c r="L1078" s="1" t="s">
        <v>19</v>
      </c>
    </row>
    <row r="1079" spans="1:16" ht="13" x14ac:dyDescent="0.15">
      <c r="A1079" s="1">
        <v>227350</v>
      </c>
      <c r="B1079" s="1">
        <v>0</v>
      </c>
      <c r="C1079" s="1" t="s">
        <v>619</v>
      </c>
      <c r="D1079" s="1" t="s">
        <v>27</v>
      </c>
      <c r="E1079" s="1" t="s">
        <v>2578</v>
      </c>
      <c r="F1079" s="1" t="s">
        <v>2579</v>
      </c>
      <c r="G1079" s="1" t="s">
        <v>23</v>
      </c>
      <c r="I1079" s="16">
        <v>41370.497129629628</v>
      </c>
      <c r="J1079" s="1" t="s">
        <v>76</v>
      </c>
      <c r="K1079" s="1" t="s">
        <v>18</v>
      </c>
      <c r="L1079" s="1" t="s">
        <v>19</v>
      </c>
    </row>
    <row r="1080" spans="1:16" ht="13" x14ac:dyDescent="0.15">
      <c r="A1080" s="1">
        <v>91517</v>
      </c>
      <c r="B1080" s="1">
        <v>1</v>
      </c>
      <c r="C1080" s="1" t="s">
        <v>170</v>
      </c>
      <c r="D1080" s="1" t="s">
        <v>27</v>
      </c>
      <c r="E1080" s="1" t="s">
        <v>2580</v>
      </c>
      <c r="F1080" s="1" t="s">
        <v>2581</v>
      </c>
      <c r="I1080" s="16">
        <v>40758.634467592594</v>
      </c>
      <c r="J1080" s="1" t="s">
        <v>2582</v>
      </c>
      <c r="K1080" s="1" t="s">
        <v>18</v>
      </c>
      <c r="L1080" s="1" t="s">
        <v>19</v>
      </c>
      <c r="M1080" s="1">
        <v>91572</v>
      </c>
      <c r="N1080" s="1" t="s">
        <v>2583</v>
      </c>
      <c r="O1080" s="16">
        <v>40758.818692129629</v>
      </c>
      <c r="P1080" s="1" t="s">
        <v>148</v>
      </c>
    </row>
    <row r="1081" spans="1:16" ht="13" x14ac:dyDescent="0.15">
      <c r="A1081" s="1">
        <v>101580</v>
      </c>
      <c r="B1081" s="1">
        <v>0</v>
      </c>
      <c r="C1081" s="1" t="s">
        <v>26</v>
      </c>
      <c r="D1081" s="1" t="s">
        <v>27</v>
      </c>
      <c r="E1081" s="1" t="s">
        <v>2584</v>
      </c>
      <c r="F1081" s="1" t="s">
        <v>2585</v>
      </c>
      <c r="G1081" s="1" t="s">
        <v>23</v>
      </c>
      <c r="I1081" s="16">
        <v>40841.868437500001</v>
      </c>
      <c r="J1081" s="1" t="s">
        <v>2235</v>
      </c>
      <c r="K1081" s="1" t="s">
        <v>18</v>
      </c>
      <c r="L1081" s="1" t="s">
        <v>19</v>
      </c>
    </row>
    <row r="1082" spans="1:16" ht="13" x14ac:dyDescent="0.15">
      <c r="A1082" s="1">
        <v>60769</v>
      </c>
      <c r="B1082" s="1">
        <v>0</v>
      </c>
      <c r="C1082" s="1" t="s">
        <v>26</v>
      </c>
      <c r="D1082" s="1" t="s">
        <v>27</v>
      </c>
      <c r="E1082" s="1" t="s">
        <v>2586</v>
      </c>
      <c r="F1082" s="1" t="s">
        <v>2587</v>
      </c>
      <c r="I1082" s="16">
        <v>40477.742349537039</v>
      </c>
      <c r="J1082" s="1" t="s">
        <v>40</v>
      </c>
      <c r="K1082" s="1" t="s">
        <v>18</v>
      </c>
      <c r="L1082" s="1" t="s">
        <v>19</v>
      </c>
    </row>
    <row r="1083" spans="1:16" ht="13" x14ac:dyDescent="0.15">
      <c r="A1083" s="1">
        <v>97546</v>
      </c>
      <c r="B1083" s="1">
        <v>0</v>
      </c>
      <c r="C1083" s="1" t="s">
        <v>26</v>
      </c>
      <c r="D1083" s="1" t="s">
        <v>27</v>
      </c>
      <c r="E1083" s="1" t="s">
        <v>2588</v>
      </c>
      <c r="F1083" s="1" t="s">
        <v>2589</v>
      </c>
      <c r="G1083" s="1" t="s">
        <v>23</v>
      </c>
      <c r="I1083" s="16">
        <v>40808.112800925926</v>
      </c>
      <c r="J1083" s="1" t="s">
        <v>40</v>
      </c>
      <c r="K1083" s="1" t="s">
        <v>18</v>
      </c>
      <c r="L1083" s="1" t="s">
        <v>19</v>
      </c>
    </row>
    <row r="1084" spans="1:16" ht="13" x14ac:dyDescent="0.15">
      <c r="A1084" s="1">
        <v>367544</v>
      </c>
      <c r="B1084" s="1">
        <v>0</v>
      </c>
      <c r="C1084" s="1" t="s">
        <v>12</v>
      </c>
      <c r="D1084" s="1" t="s">
        <v>27</v>
      </c>
      <c r="E1084" s="1" t="s">
        <v>2590</v>
      </c>
      <c r="F1084" s="1" t="s">
        <v>89</v>
      </c>
      <c r="G1084" s="1" t="s">
        <v>23</v>
      </c>
      <c r="I1084" s="16">
        <v>41756.726087962961</v>
      </c>
      <c r="J1084" s="1" t="s">
        <v>17</v>
      </c>
      <c r="K1084" s="1" t="s">
        <v>18</v>
      </c>
      <c r="L1084" s="1" t="s">
        <v>19</v>
      </c>
    </row>
    <row r="1085" spans="1:16" ht="13" x14ac:dyDescent="0.15">
      <c r="A1085" s="1">
        <v>98064</v>
      </c>
      <c r="B1085" s="1">
        <v>0</v>
      </c>
      <c r="C1085" s="1" t="s">
        <v>26</v>
      </c>
      <c r="D1085" s="1" t="s">
        <v>27</v>
      </c>
      <c r="E1085" s="1" t="s">
        <v>2591</v>
      </c>
      <c r="F1085" s="1" t="s">
        <v>628</v>
      </c>
      <c r="G1085" s="1" t="s">
        <v>23</v>
      </c>
      <c r="I1085" s="16">
        <v>40812.775358796294</v>
      </c>
      <c r="J1085" s="1" t="s">
        <v>44</v>
      </c>
      <c r="K1085" s="1" t="s">
        <v>18</v>
      </c>
      <c r="L1085" s="1" t="s">
        <v>19</v>
      </c>
    </row>
    <row r="1086" spans="1:16" ht="13" x14ac:dyDescent="0.15">
      <c r="A1086" s="1">
        <v>117413</v>
      </c>
      <c r="B1086" s="1">
        <v>0</v>
      </c>
      <c r="C1086" s="1" t="s">
        <v>26</v>
      </c>
      <c r="D1086" s="1" t="s">
        <v>27</v>
      </c>
      <c r="E1086" s="1" t="s">
        <v>2592</v>
      </c>
      <c r="F1086" s="1" t="s">
        <v>2593</v>
      </c>
      <c r="G1086" s="1" t="s">
        <v>23</v>
      </c>
      <c r="I1086" s="16">
        <v>40976.768437500003</v>
      </c>
      <c r="J1086" s="1" t="s">
        <v>155</v>
      </c>
      <c r="K1086" s="1" t="s">
        <v>18</v>
      </c>
      <c r="L1086" s="1" t="s">
        <v>19</v>
      </c>
    </row>
    <row r="1087" spans="1:16" ht="13" x14ac:dyDescent="0.15">
      <c r="A1087" s="1">
        <v>55901</v>
      </c>
      <c r="B1087" s="1">
        <v>0</v>
      </c>
      <c r="C1087" s="1" t="s">
        <v>26</v>
      </c>
      <c r="D1087" s="1" t="s">
        <v>27</v>
      </c>
      <c r="E1087" s="1" t="s">
        <v>2594</v>
      </c>
      <c r="F1087" s="1" t="s">
        <v>2435</v>
      </c>
      <c r="G1087" s="1" t="s">
        <v>23</v>
      </c>
      <c r="I1087" s="16">
        <v>40437.815370370372</v>
      </c>
      <c r="J1087" s="1" t="s">
        <v>40</v>
      </c>
      <c r="K1087" s="1" t="s">
        <v>18</v>
      </c>
      <c r="L1087" s="1" t="s">
        <v>19</v>
      </c>
    </row>
    <row r="1088" spans="1:16" ht="13" x14ac:dyDescent="0.15">
      <c r="A1088" s="1">
        <v>333038</v>
      </c>
      <c r="B1088" s="1">
        <v>0</v>
      </c>
      <c r="D1088" s="1" t="s">
        <v>27</v>
      </c>
      <c r="E1088" s="1" t="s">
        <v>2595</v>
      </c>
      <c r="F1088" s="1" t="s">
        <v>2596</v>
      </c>
      <c r="G1088" s="1" t="s">
        <v>23</v>
      </c>
      <c r="I1088" s="16">
        <v>41648.91920138889</v>
      </c>
      <c r="J1088" s="1" t="s">
        <v>228</v>
      </c>
      <c r="K1088" s="1" t="s">
        <v>18</v>
      </c>
      <c r="L1088" s="1" t="s">
        <v>19</v>
      </c>
    </row>
    <row r="1089" spans="1:40" ht="13" x14ac:dyDescent="0.15">
      <c r="A1089" s="1">
        <v>34978</v>
      </c>
      <c r="B1089" s="1">
        <v>0</v>
      </c>
      <c r="C1089" s="1" t="s">
        <v>26</v>
      </c>
      <c r="D1089" s="1" t="s">
        <v>27</v>
      </c>
      <c r="E1089" s="1" t="s">
        <v>2597</v>
      </c>
      <c r="F1089" s="1" t="s">
        <v>2598</v>
      </c>
      <c r="I1089" s="16">
        <v>40217.352210648147</v>
      </c>
      <c r="J1089" s="1" t="s">
        <v>30</v>
      </c>
      <c r="K1089" s="1" t="s">
        <v>18</v>
      </c>
      <c r="L1089" s="1" t="s">
        <v>19</v>
      </c>
    </row>
    <row r="1090" spans="1:40" ht="13" x14ac:dyDescent="0.15">
      <c r="A1090" s="1">
        <v>83275</v>
      </c>
      <c r="B1090" s="1">
        <v>0</v>
      </c>
      <c r="C1090" s="1" t="s">
        <v>170</v>
      </c>
      <c r="D1090" s="1" t="s">
        <v>27</v>
      </c>
      <c r="E1090" s="1" t="s">
        <v>2599</v>
      </c>
      <c r="F1090" s="1" t="s">
        <v>2600</v>
      </c>
      <c r="G1090" s="1" t="s">
        <v>23</v>
      </c>
      <c r="I1090" s="16">
        <v>40682.841226851851</v>
      </c>
      <c r="J1090" s="1" t="s">
        <v>1171</v>
      </c>
      <c r="K1090" s="1" t="s">
        <v>18</v>
      </c>
      <c r="L1090" s="1" t="s">
        <v>19</v>
      </c>
    </row>
    <row r="1091" spans="1:40" ht="13" x14ac:dyDescent="0.15">
      <c r="A1091" s="1">
        <v>83270</v>
      </c>
      <c r="B1091" s="1">
        <v>0</v>
      </c>
      <c r="C1091" s="1" t="s">
        <v>26</v>
      </c>
      <c r="D1091" s="1" t="s">
        <v>27</v>
      </c>
      <c r="E1091" s="1" t="s">
        <v>2601</v>
      </c>
      <c r="F1091" s="1" t="s">
        <v>2602</v>
      </c>
      <c r="G1091" s="1" t="s">
        <v>23</v>
      </c>
      <c r="I1091" s="16">
        <v>40682.803576388891</v>
      </c>
      <c r="J1091" s="1" t="s">
        <v>40</v>
      </c>
      <c r="K1091" s="1" t="s">
        <v>18</v>
      </c>
      <c r="L1091" s="1" t="s">
        <v>19</v>
      </c>
    </row>
    <row r="1092" spans="1:40" ht="13" x14ac:dyDescent="0.15">
      <c r="A1092" s="1">
        <v>108958</v>
      </c>
      <c r="B1092" s="1">
        <v>2</v>
      </c>
      <c r="C1092" s="1" t="s">
        <v>26</v>
      </c>
      <c r="D1092" s="1" t="s">
        <v>27</v>
      </c>
      <c r="E1092" s="1" t="s">
        <v>58</v>
      </c>
      <c r="F1092" s="1" t="s">
        <v>2603</v>
      </c>
      <c r="G1092" s="1" t="s">
        <v>23</v>
      </c>
      <c r="I1092" s="16">
        <v>40911.253009259257</v>
      </c>
      <c r="J1092" s="1" t="s">
        <v>40</v>
      </c>
      <c r="K1092" s="1" t="s">
        <v>18</v>
      </c>
      <c r="L1092" s="1" t="s">
        <v>19</v>
      </c>
      <c r="M1092" s="1">
        <v>118897</v>
      </c>
      <c r="N1092" s="1" t="s">
        <v>2604</v>
      </c>
      <c r="O1092" s="16">
        <v>40987.551678240743</v>
      </c>
      <c r="P1092" s="1" t="s">
        <v>148</v>
      </c>
      <c r="Q1092" s="1">
        <v>118680</v>
      </c>
      <c r="R1092" s="1" t="s">
        <v>2604</v>
      </c>
      <c r="S1092" s="2">
        <v>40984.90215277778</v>
      </c>
      <c r="T1092" s="1" t="s">
        <v>44</v>
      </c>
    </row>
    <row r="1093" spans="1:40" ht="13" x14ac:dyDescent="0.15">
      <c r="A1093" s="1">
        <v>366947</v>
      </c>
      <c r="B1093" s="1">
        <v>7</v>
      </c>
      <c r="C1093" s="1" t="s">
        <v>2605</v>
      </c>
      <c r="D1093" s="1" t="s">
        <v>27</v>
      </c>
      <c r="E1093" s="1" t="s">
        <v>2606</v>
      </c>
      <c r="F1093" s="1" t="s">
        <v>2607</v>
      </c>
      <c r="G1093" s="1" t="s">
        <v>23</v>
      </c>
      <c r="I1093" s="16">
        <v>41754.020462962966</v>
      </c>
      <c r="J1093" s="1" t="s">
        <v>2608</v>
      </c>
      <c r="K1093" s="1" t="s">
        <v>18</v>
      </c>
      <c r="L1093" s="1" t="s">
        <v>19</v>
      </c>
      <c r="M1093" s="1">
        <v>388770</v>
      </c>
      <c r="N1093" s="1" t="s">
        <v>2609</v>
      </c>
      <c r="O1093" s="16">
        <v>41815.656238425923</v>
      </c>
      <c r="P1093" s="1" t="s">
        <v>2610</v>
      </c>
      <c r="Q1093" s="1">
        <v>385533</v>
      </c>
      <c r="R1093" s="1" t="s">
        <v>2609</v>
      </c>
      <c r="S1093" s="2">
        <v>41807.359039351853</v>
      </c>
      <c r="T1093" s="1" t="s">
        <v>2611</v>
      </c>
      <c r="U1093" s="1">
        <v>377187</v>
      </c>
      <c r="V1093" s="1" t="s">
        <v>2609</v>
      </c>
      <c r="W1093" s="3">
        <v>41783.658634259256</v>
      </c>
      <c r="X1093" s="1" t="s">
        <v>2612</v>
      </c>
      <c r="Y1093" s="1">
        <v>376689</v>
      </c>
      <c r="Z1093" s="1" t="s">
        <v>2609</v>
      </c>
      <c r="AA1093" s="3">
        <v>41782.353206018517</v>
      </c>
      <c r="AB1093" s="1" t="s">
        <v>2613</v>
      </c>
      <c r="AC1093" s="1">
        <v>374334</v>
      </c>
      <c r="AD1093" s="1" t="s">
        <v>2609</v>
      </c>
      <c r="AE1093" s="3">
        <v>41775.790752314817</v>
      </c>
      <c r="AF1093" s="1" t="s">
        <v>2614</v>
      </c>
      <c r="AG1093" s="1">
        <v>371752</v>
      </c>
      <c r="AH1093" s="1" t="s">
        <v>2609</v>
      </c>
      <c r="AI1093" s="5">
        <v>41768.443356481483</v>
      </c>
      <c r="AJ1093" s="1" t="s">
        <v>2615</v>
      </c>
      <c r="AK1093" s="1">
        <v>368427</v>
      </c>
      <c r="AL1093" s="1" t="s">
        <v>2609</v>
      </c>
      <c r="AM1093" s="2">
        <v>41758.890370370369</v>
      </c>
      <c r="AN1093" s="1" t="s">
        <v>2616</v>
      </c>
    </row>
    <row r="1094" spans="1:40" ht="13" x14ac:dyDescent="0.15">
      <c r="A1094" s="1">
        <v>611955</v>
      </c>
      <c r="B1094" s="1">
        <v>0</v>
      </c>
      <c r="C1094" s="1" t="s">
        <v>2173</v>
      </c>
      <c r="D1094" s="1" t="s">
        <v>27</v>
      </c>
      <c r="E1094" s="1" t="s">
        <v>2617</v>
      </c>
      <c r="F1094" s="1" t="s">
        <v>2618</v>
      </c>
      <c r="G1094" s="1" t="s">
        <v>23</v>
      </c>
      <c r="I1094" s="16">
        <v>42504.294733796298</v>
      </c>
      <c r="J1094" s="1" t="s">
        <v>24</v>
      </c>
      <c r="K1094" s="1" t="s">
        <v>18</v>
      </c>
      <c r="L1094" s="1" t="s">
        <v>19</v>
      </c>
    </row>
    <row r="1095" spans="1:40" ht="13" x14ac:dyDescent="0.15">
      <c r="A1095" s="1">
        <v>124617</v>
      </c>
      <c r="B1095" s="1">
        <v>2</v>
      </c>
      <c r="C1095" s="1" t="s">
        <v>26</v>
      </c>
      <c r="D1095" s="1" t="s">
        <v>27</v>
      </c>
      <c r="E1095" s="1" t="s">
        <v>2619</v>
      </c>
      <c r="F1095" s="1" t="s">
        <v>1959</v>
      </c>
      <c r="G1095" s="1" t="s">
        <v>23</v>
      </c>
      <c r="I1095" s="16">
        <v>41022.489074074074</v>
      </c>
      <c r="J1095" s="1" t="s">
        <v>148</v>
      </c>
      <c r="K1095" s="1" t="s">
        <v>18</v>
      </c>
      <c r="L1095" s="1" t="s">
        <v>19</v>
      </c>
      <c r="M1095" s="1">
        <v>125732</v>
      </c>
      <c r="N1095" s="1" t="s">
        <v>2620</v>
      </c>
      <c r="O1095" s="16">
        <v>41030.614224537036</v>
      </c>
      <c r="P1095" s="1" t="s">
        <v>44</v>
      </c>
      <c r="Q1095" s="1">
        <v>125556</v>
      </c>
      <c r="R1095" s="1" t="s">
        <v>2620</v>
      </c>
      <c r="S1095" s="2">
        <v>41029.628564814811</v>
      </c>
      <c r="T1095" s="1" t="s">
        <v>40</v>
      </c>
    </row>
    <row r="1096" spans="1:40" ht="13" x14ac:dyDescent="0.15">
      <c r="A1096" s="1">
        <v>421332</v>
      </c>
      <c r="B1096" s="1">
        <v>0</v>
      </c>
      <c r="C1096" s="1" t="s">
        <v>2621</v>
      </c>
      <c r="D1096" s="1" t="s">
        <v>27</v>
      </c>
      <c r="E1096" s="1" t="s">
        <v>2622</v>
      </c>
      <c r="F1096" s="1" t="s">
        <v>2623</v>
      </c>
      <c r="G1096" s="1" t="s">
        <v>2624</v>
      </c>
      <c r="I1096" s="16">
        <v>41920.287418981483</v>
      </c>
      <c r="J1096" s="1" t="s">
        <v>2625</v>
      </c>
      <c r="K1096" s="1" t="s">
        <v>18</v>
      </c>
      <c r="L1096" s="1" t="s">
        <v>19</v>
      </c>
    </row>
    <row r="1097" spans="1:40" ht="13" x14ac:dyDescent="0.15">
      <c r="A1097" s="1">
        <v>613949</v>
      </c>
      <c r="B1097" s="1">
        <v>0</v>
      </c>
      <c r="C1097" s="1" t="s">
        <v>305</v>
      </c>
      <c r="D1097" s="1" t="s">
        <v>27</v>
      </c>
      <c r="E1097" s="1" t="s">
        <v>2626</v>
      </c>
      <c r="F1097" s="1" t="s">
        <v>2627</v>
      </c>
      <c r="G1097" s="1" t="s">
        <v>23</v>
      </c>
      <c r="I1097" s="16">
        <v>42513.335868055554</v>
      </c>
      <c r="J1097" s="1" t="s">
        <v>2628</v>
      </c>
      <c r="K1097" s="1" t="s">
        <v>18</v>
      </c>
      <c r="L1097" s="1" t="s">
        <v>19</v>
      </c>
    </row>
    <row r="1098" spans="1:40" ht="13" x14ac:dyDescent="0.15">
      <c r="A1098" s="1">
        <v>91921</v>
      </c>
      <c r="B1098" s="1">
        <v>0</v>
      </c>
      <c r="C1098" s="1" t="s">
        <v>26</v>
      </c>
      <c r="D1098" s="1" t="s">
        <v>27</v>
      </c>
      <c r="E1098" s="1" t="s">
        <v>2629</v>
      </c>
      <c r="F1098" s="1" t="s">
        <v>359</v>
      </c>
      <c r="G1098" s="1" t="s">
        <v>23</v>
      </c>
      <c r="I1098" s="16">
        <v>40761.602418981478</v>
      </c>
      <c r="J1098" s="1" t="s">
        <v>40</v>
      </c>
      <c r="K1098" s="1" t="s">
        <v>18</v>
      </c>
      <c r="L1098" s="1" t="s">
        <v>19</v>
      </c>
    </row>
    <row r="1099" spans="1:40" ht="13" x14ac:dyDescent="0.15">
      <c r="A1099" s="1">
        <v>677738</v>
      </c>
      <c r="B1099" s="1">
        <v>0</v>
      </c>
      <c r="C1099" s="1" t="s">
        <v>1815</v>
      </c>
      <c r="D1099" s="1" t="s">
        <v>27</v>
      </c>
      <c r="E1099" s="1" t="s">
        <v>2630</v>
      </c>
      <c r="F1099" s="1" t="s">
        <v>2631</v>
      </c>
      <c r="G1099" s="1" t="s">
        <v>16</v>
      </c>
      <c r="I1099" s="16">
        <v>42736.650706018518</v>
      </c>
      <c r="J1099" s="1" t="s">
        <v>17</v>
      </c>
      <c r="K1099" s="1" t="s">
        <v>18</v>
      </c>
      <c r="L1099" s="1" t="s">
        <v>19</v>
      </c>
    </row>
    <row r="1100" spans="1:40" ht="13" x14ac:dyDescent="0.15">
      <c r="A1100" s="1">
        <v>508072</v>
      </c>
      <c r="B1100" s="1">
        <v>0</v>
      </c>
      <c r="C1100" s="1" t="s">
        <v>137</v>
      </c>
      <c r="D1100" s="1" t="s">
        <v>27</v>
      </c>
      <c r="E1100" s="1" t="s">
        <v>2632</v>
      </c>
      <c r="F1100" s="1" t="s">
        <v>2633</v>
      </c>
      <c r="G1100" s="1" t="s">
        <v>23</v>
      </c>
      <c r="I1100" s="16">
        <v>42193.527962962966</v>
      </c>
      <c r="J1100" s="1" t="s">
        <v>656</v>
      </c>
      <c r="K1100" s="1" t="s">
        <v>18</v>
      </c>
      <c r="L1100" s="1" t="s">
        <v>19</v>
      </c>
    </row>
    <row r="1101" spans="1:40" ht="13" x14ac:dyDescent="0.15">
      <c r="A1101" s="1">
        <v>51630</v>
      </c>
      <c r="B1101" s="1">
        <v>0</v>
      </c>
      <c r="C1101" s="1" t="s">
        <v>26</v>
      </c>
      <c r="D1101" s="1" t="s">
        <v>27</v>
      </c>
      <c r="E1101" s="1" t="s">
        <v>2634</v>
      </c>
      <c r="F1101" s="1" t="s">
        <v>2635</v>
      </c>
      <c r="G1101" s="1" t="s">
        <v>23</v>
      </c>
      <c r="I1101" s="16">
        <v>40399.919502314813</v>
      </c>
      <c r="J1101" s="1" t="s">
        <v>2636</v>
      </c>
      <c r="K1101" s="1" t="s">
        <v>18</v>
      </c>
      <c r="L1101" s="1" t="s">
        <v>19</v>
      </c>
    </row>
    <row r="1102" spans="1:40" ht="13" x14ac:dyDescent="0.15">
      <c r="A1102" s="1">
        <v>614989</v>
      </c>
      <c r="B1102" s="1">
        <v>0</v>
      </c>
      <c r="C1102" s="1" t="s">
        <v>848</v>
      </c>
      <c r="D1102" s="1" t="s">
        <v>27</v>
      </c>
      <c r="E1102" s="1" t="s">
        <v>2637</v>
      </c>
      <c r="F1102" s="1" t="s">
        <v>2638</v>
      </c>
      <c r="G1102" s="1" t="s">
        <v>23</v>
      </c>
      <c r="I1102" s="16">
        <v>42516.476319444446</v>
      </c>
      <c r="J1102" s="1" t="s">
        <v>851</v>
      </c>
      <c r="K1102" s="1" t="s">
        <v>18</v>
      </c>
      <c r="L1102" s="1" t="s">
        <v>19</v>
      </c>
    </row>
    <row r="1103" spans="1:40" ht="13" x14ac:dyDescent="0.15">
      <c r="A1103" s="1">
        <v>640191</v>
      </c>
      <c r="B1103" s="1">
        <v>0</v>
      </c>
      <c r="C1103" s="1" t="s">
        <v>137</v>
      </c>
      <c r="D1103" s="1" t="s">
        <v>27</v>
      </c>
      <c r="E1103" s="1" t="s">
        <v>2639</v>
      </c>
      <c r="F1103" s="1" t="s">
        <v>2640</v>
      </c>
      <c r="G1103" s="1" t="s">
        <v>23</v>
      </c>
      <c r="I1103" s="16">
        <v>42605.520578703705</v>
      </c>
      <c r="J1103" s="1" t="s">
        <v>205</v>
      </c>
      <c r="K1103" s="1" t="s">
        <v>18</v>
      </c>
      <c r="L1103" s="1" t="s">
        <v>19</v>
      </c>
    </row>
    <row r="1104" spans="1:40" ht="13" x14ac:dyDescent="0.15">
      <c r="A1104" s="1">
        <v>242931</v>
      </c>
      <c r="B1104" s="1">
        <v>0</v>
      </c>
      <c r="C1104" s="1" t="s">
        <v>31</v>
      </c>
      <c r="D1104" s="1" t="s">
        <v>27</v>
      </c>
      <c r="E1104" s="1" t="s">
        <v>1046</v>
      </c>
      <c r="F1104" s="1" t="s">
        <v>2641</v>
      </c>
      <c r="G1104" s="1" t="s">
        <v>23</v>
      </c>
      <c r="I1104" s="16">
        <v>41416.629861111112</v>
      </c>
      <c r="J1104" s="1" t="s">
        <v>40</v>
      </c>
      <c r="K1104" s="1" t="s">
        <v>18</v>
      </c>
      <c r="L1104" s="1" t="s">
        <v>19</v>
      </c>
    </row>
    <row r="1105" spans="1:20" ht="13" x14ac:dyDescent="0.15">
      <c r="A1105" s="1">
        <v>87729</v>
      </c>
      <c r="B1105" s="1">
        <v>2</v>
      </c>
      <c r="C1105" s="1" t="s">
        <v>26</v>
      </c>
      <c r="D1105" s="1" t="s">
        <v>27</v>
      </c>
      <c r="E1105" s="1" t="s">
        <v>2642</v>
      </c>
      <c r="F1105" s="1" t="s">
        <v>2643</v>
      </c>
      <c r="G1105" s="1" t="s">
        <v>23</v>
      </c>
      <c r="I1105" s="16">
        <v>40722.372569444444</v>
      </c>
      <c r="J1105" s="1" t="s">
        <v>44</v>
      </c>
      <c r="K1105" s="1" t="s">
        <v>18</v>
      </c>
      <c r="L1105" s="1" t="s">
        <v>19</v>
      </c>
      <c r="M1105" s="1">
        <v>89061</v>
      </c>
      <c r="N1105" s="1" t="s">
        <v>2644</v>
      </c>
      <c r="O1105" s="16">
        <v>40736.723622685182</v>
      </c>
      <c r="P1105" s="1" t="s">
        <v>2645</v>
      </c>
      <c r="Q1105" s="1">
        <v>87593</v>
      </c>
      <c r="R1105" s="1" t="s">
        <v>2644</v>
      </c>
      <c r="S1105" s="2">
        <v>40721.408020833333</v>
      </c>
      <c r="T1105" s="1" t="s">
        <v>2646</v>
      </c>
    </row>
    <row r="1106" spans="1:20" ht="13" x14ac:dyDescent="0.15">
      <c r="A1106" s="1">
        <v>421817</v>
      </c>
      <c r="B1106" s="1">
        <v>0</v>
      </c>
      <c r="C1106" s="1" t="s">
        <v>2647</v>
      </c>
      <c r="D1106" s="1" t="s">
        <v>27</v>
      </c>
      <c r="E1106" s="1" t="s">
        <v>2648</v>
      </c>
      <c r="F1106" s="1" t="s">
        <v>2649</v>
      </c>
      <c r="G1106" s="1" t="s">
        <v>353</v>
      </c>
      <c r="I1106" s="16">
        <v>41921.458599537036</v>
      </c>
      <c r="J1106" s="1" t="s">
        <v>1928</v>
      </c>
      <c r="K1106" s="1" t="s">
        <v>18</v>
      </c>
      <c r="L1106" s="1" t="s">
        <v>19</v>
      </c>
    </row>
    <row r="1107" spans="1:20" ht="13" x14ac:dyDescent="0.15">
      <c r="A1107" s="1">
        <v>176882</v>
      </c>
      <c r="B1107" s="1">
        <v>0</v>
      </c>
      <c r="C1107" s="1" t="s">
        <v>170</v>
      </c>
      <c r="D1107" s="1" t="s">
        <v>27</v>
      </c>
      <c r="E1107" s="1" t="s">
        <v>2650</v>
      </c>
      <c r="F1107" s="1" t="s">
        <v>2651</v>
      </c>
      <c r="G1107" s="1" t="s">
        <v>23</v>
      </c>
      <c r="I1107" s="16">
        <v>41324.128460648149</v>
      </c>
      <c r="J1107" s="1" t="s">
        <v>76</v>
      </c>
      <c r="K1107" s="1" t="s">
        <v>18</v>
      </c>
      <c r="L1107" s="1" t="s">
        <v>19</v>
      </c>
    </row>
    <row r="1108" spans="1:20" ht="13" x14ac:dyDescent="0.15">
      <c r="A1108" s="1">
        <v>116398</v>
      </c>
      <c r="B1108" s="1">
        <v>0</v>
      </c>
      <c r="C1108" s="1" t="s">
        <v>2652</v>
      </c>
      <c r="D1108" s="1" t="s">
        <v>27</v>
      </c>
      <c r="E1108" s="1" t="s">
        <v>2653</v>
      </c>
      <c r="F1108" s="1" t="s">
        <v>2654</v>
      </c>
      <c r="G1108" s="1" t="s">
        <v>23</v>
      </c>
      <c r="I1108" s="16">
        <v>40969.695983796293</v>
      </c>
      <c r="J1108" s="1" t="s">
        <v>2655</v>
      </c>
      <c r="K1108" s="1" t="s">
        <v>18</v>
      </c>
      <c r="L1108" s="1" t="s">
        <v>19</v>
      </c>
    </row>
    <row r="1109" spans="1:20" ht="13" x14ac:dyDescent="0.15">
      <c r="A1109" s="1">
        <v>459898</v>
      </c>
      <c r="B1109" s="1">
        <v>0</v>
      </c>
      <c r="D1109" s="1" t="s">
        <v>27</v>
      </c>
      <c r="E1109" s="1" t="s">
        <v>2012</v>
      </c>
      <c r="F1109" s="1" t="s">
        <v>2656</v>
      </c>
      <c r="G1109" s="1" t="s">
        <v>23</v>
      </c>
      <c r="I1109" s="16">
        <v>42054.322638888887</v>
      </c>
      <c r="J1109" s="1" t="s">
        <v>17</v>
      </c>
      <c r="K1109" s="1" t="s">
        <v>18</v>
      </c>
      <c r="L1109" s="1" t="s">
        <v>19</v>
      </c>
    </row>
    <row r="1110" spans="1:20" ht="13" x14ac:dyDescent="0.15">
      <c r="A1110" s="1">
        <v>472617</v>
      </c>
      <c r="B1110" s="1">
        <v>0</v>
      </c>
      <c r="C1110" s="1" t="s">
        <v>829</v>
      </c>
      <c r="D1110" s="1" t="s">
        <v>27</v>
      </c>
      <c r="E1110" s="1" t="s">
        <v>2657</v>
      </c>
      <c r="F1110" s="1" t="s">
        <v>2658</v>
      </c>
      <c r="G1110" s="1" t="s">
        <v>23</v>
      </c>
      <c r="I1110" s="16">
        <v>42095.612083333333</v>
      </c>
      <c r="J1110" s="1" t="s">
        <v>17</v>
      </c>
      <c r="K1110" s="1" t="s">
        <v>18</v>
      </c>
      <c r="L1110" s="1" t="s">
        <v>19</v>
      </c>
    </row>
    <row r="1111" spans="1:20" ht="13" x14ac:dyDescent="0.15">
      <c r="A1111" s="1">
        <v>472614</v>
      </c>
      <c r="B1111" s="1">
        <v>0</v>
      </c>
      <c r="C1111" s="1" t="s">
        <v>689</v>
      </c>
      <c r="D1111" s="1" t="s">
        <v>27</v>
      </c>
      <c r="E1111" s="1" t="s">
        <v>2659</v>
      </c>
      <c r="F1111" s="1" t="s">
        <v>2660</v>
      </c>
      <c r="G1111" s="1" t="s">
        <v>23</v>
      </c>
      <c r="I1111" s="16">
        <v>42095.610983796294</v>
      </c>
      <c r="J1111" s="1" t="s">
        <v>17</v>
      </c>
      <c r="K1111" s="1" t="s">
        <v>18</v>
      </c>
      <c r="L1111" s="1" t="s">
        <v>19</v>
      </c>
    </row>
    <row r="1112" spans="1:20" ht="13" x14ac:dyDescent="0.15">
      <c r="A1112" s="1">
        <v>529520</v>
      </c>
      <c r="B1112" s="1">
        <v>0</v>
      </c>
      <c r="C1112" s="1" t="s">
        <v>490</v>
      </c>
      <c r="D1112" s="1" t="s">
        <v>27</v>
      </c>
      <c r="E1112" s="1" t="s">
        <v>2661</v>
      </c>
      <c r="F1112" s="1" t="s">
        <v>2662</v>
      </c>
      <c r="G1112" s="1" t="s">
        <v>159</v>
      </c>
      <c r="I1112" s="16">
        <v>42256.031631944446</v>
      </c>
      <c r="J1112" s="1" t="s">
        <v>17</v>
      </c>
      <c r="K1112" s="1" t="s">
        <v>18</v>
      </c>
      <c r="L1112" s="1" t="s">
        <v>19</v>
      </c>
    </row>
    <row r="1113" spans="1:20" ht="13" x14ac:dyDescent="0.15">
      <c r="A1113" s="1">
        <v>434136</v>
      </c>
      <c r="B1113" s="1">
        <v>1</v>
      </c>
      <c r="C1113" s="1" t="s">
        <v>759</v>
      </c>
      <c r="D1113" s="1" t="s">
        <v>27</v>
      </c>
      <c r="E1113" s="1" t="s">
        <v>2663</v>
      </c>
      <c r="F1113" s="1" t="s">
        <v>2664</v>
      </c>
      <c r="G1113" s="1" t="s">
        <v>23</v>
      </c>
      <c r="I1113" s="16">
        <v>41961.029351851852</v>
      </c>
      <c r="J1113" s="1" t="s">
        <v>2665</v>
      </c>
      <c r="K1113" s="1" t="s">
        <v>18</v>
      </c>
      <c r="L1113" s="1" t="s">
        <v>19</v>
      </c>
      <c r="M1113" s="1">
        <v>431546</v>
      </c>
      <c r="N1113" s="1" t="s">
        <v>2666</v>
      </c>
      <c r="O1113" s="16">
        <v>41951.874259259261</v>
      </c>
      <c r="P1113" s="1" t="s">
        <v>2667</v>
      </c>
    </row>
    <row r="1114" spans="1:20" ht="13" x14ac:dyDescent="0.15">
      <c r="A1114" s="1">
        <v>366510</v>
      </c>
      <c r="B1114" s="1">
        <v>0</v>
      </c>
      <c r="D1114" s="1" t="s">
        <v>27</v>
      </c>
      <c r="E1114" s="1" t="s">
        <v>2668</v>
      </c>
      <c r="F1114" s="1" t="s">
        <v>2669</v>
      </c>
      <c r="G1114" s="1" t="s">
        <v>23</v>
      </c>
      <c r="I1114" s="16">
        <v>41753.248437499999</v>
      </c>
      <c r="J1114" s="1" t="s">
        <v>17</v>
      </c>
      <c r="K1114" s="1" t="s">
        <v>18</v>
      </c>
      <c r="L1114" s="1" t="s">
        <v>19</v>
      </c>
    </row>
    <row r="1115" spans="1:20" ht="13" x14ac:dyDescent="0.15">
      <c r="A1115" s="1">
        <v>62354</v>
      </c>
      <c r="B1115" s="1">
        <v>0</v>
      </c>
      <c r="C1115" s="1" t="s">
        <v>26</v>
      </c>
      <c r="D1115" s="1" t="s">
        <v>27</v>
      </c>
      <c r="E1115" s="1" t="s">
        <v>2670</v>
      </c>
      <c r="F1115" s="1" t="s">
        <v>720</v>
      </c>
      <c r="G1115" s="1" t="s">
        <v>23</v>
      </c>
      <c r="I1115" s="16">
        <v>40490.738657407404</v>
      </c>
      <c r="J1115" s="1" t="s">
        <v>40</v>
      </c>
      <c r="K1115" s="1" t="s">
        <v>18</v>
      </c>
      <c r="L1115" s="1" t="s">
        <v>19</v>
      </c>
    </row>
    <row r="1116" spans="1:20" ht="13" x14ac:dyDescent="0.15">
      <c r="A1116" s="1">
        <v>173654</v>
      </c>
      <c r="B1116" s="1">
        <v>0</v>
      </c>
      <c r="C1116" s="1" t="s">
        <v>26</v>
      </c>
      <c r="D1116" s="1" t="s">
        <v>27</v>
      </c>
      <c r="E1116" s="1" t="s">
        <v>2671</v>
      </c>
      <c r="F1116" s="1" t="s">
        <v>1043</v>
      </c>
      <c r="G1116" s="1" t="s">
        <v>23</v>
      </c>
      <c r="I1116" s="16">
        <v>41306.682314814818</v>
      </c>
      <c r="J1116" s="1" t="s">
        <v>40</v>
      </c>
      <c r="K1116" s="1" t="s">
        <v>18</v>
      </c>
      <c r="L1116" s="1" t="s">
        <v>19</v>
      </c>
    </row>
    <row r="1117" spans="1:20" ht="13" x14ac:dyDescent="0.15">
      <c r="A1117" s="1">
        <v>242023</v>
      </c>
      <c r="B1117" s="1">
        <v>0</v>
      </c>
      <c r="C1117" s="1" t="s">
        <v>31</v>
      </c>
      <c r="D1117" s="1" t="s">
        <v>27</v>
      </c>
      <c r="E1117" s="1" t="s">
        <v>1046</v>
      </c>
      <c r="F1117" s="1" t="s">
        <v>2641</v>
      </c>
      <c r="G1117" s="1" t="s">
        <v>23</v>
      </c>
      <c r="I1117" s="16">
        <v>41412.573287037034</v>
      </c>
      <c r="J1117" s="1" t="s">
        <v>40</v>
      </c>
      <c r="K1117" s="1" t="s">
        <v>18</v>
      </c>
      <c r="L1117" s="1" t="s">
        <v>19</v>
      </c>
    </row>
    <row r="1118" spans="1:20" ht="13" x14ac:dyDescent="0.15">
      <c r="A1118" s="1">
        <v>469743</v>
      </c>
      <c r="B1118" s="1">
        <v>0</v>
      </c>
      <c r="D1118" s="1" t="s">
        <v>27</v>
      </c>
      <c r="E1118" s="1" t="s">
        <v>2672</v>
      </c>
      <c r="F1118" s="1" t="s">
        <v>2673</v>
      </c>
      <c r="G1118" s="1" t="s">
        <v>23</v>
      </c>
      <c r="I1118" s="16">
        <v>42086.630972222221</v>
      </c>
      <c r="J1118" s="1" t="s">
        <v>17</v>
      </c>
      <c r="K1118" s="1" t="s">
        <v>18</v>
      </c>
      <c r="L1118" s="1" t="s">
        <v>19</v>
      </c>
    </row>
    <row r="1119" spans="1:20" ht="13" x14ac:dyDescent="0.15">
      <c r="A1119" s="1">
        <v>537656</v>
      </c>
      <c r="B1119" s="1">
        <v>0</v>
      </c>
      <c r="C1119" s="1" t="s">
        <v>527</v>
      </c>
      <c r="D1119" s="1" t="s">
        <v>27</v>
      </c>
      <c r="E1119" s="1" t="s">
        <v>2674</v>
      </c>
      <c r="F1119" s="1" t="s">
        <v>2675</v>
      </c>
      <c r="G1119" s="1" t="s">
        <v>16</v>
      </c>
      <c r="I1119" s="16">
        <v>42277.70821759259</v>
      </c>
      <c r="J1119" s="1" t="s">
        <v>17</v>
      </c>
      <c r="K1119" s="1" t="s">
        <v>18</v>
      </c>
      <c r="L1119" s="1" t="s">
        <v>19</v>
      </c>
    </row>
    <row r="1120" spans="1:20" ht="13" x14ac:dyDescent="0.15">
      <c r="A1120" s="1">
        <v>617495</v>
      </c>
      <c r="B1120" s="1">
        <v>0</v>
      </c>
      <c r="C1120" s="1" t="s">
        <v>2304</v>
      </c>
      <c r="D1120" s="1" t="s">
        <v>27</v>
      </c>
      <c r="E1120" s="1" t="s">
        <v>2676</v>
      </c>
      <c r="F1120" s="1" t="s">
        <v>2677</v>
      </c>
      <c r="G1120" s="1" t="s">
        <v>23</v>
      </c>
      <c r="I1120" s="16">
        <v>42527.179872685185</v>
      </c>
      <c r="J1120" s="1" t="s">
        <v>247</v>
      </c>
      <c r="K1120" s="1" t="s">
        <v>18</v>
      </c>
      <c r="L1120" s="1" t="s">
        <v>19</v>
      </c>
    </row>
    <row r="1121" spans="1:16" ht="13" x14ac:dyDescent="0.15">
      <c r="A1121" s="1">
        <v>128336</v>
      </c>
      <c r="B1121" s="1">
        <v>0</v>
      </c>
      <c r="C1121" s="1" t="s">
        <v>26</v>
      </c>
      <c r="D1121" s="1" t="s">
        <v>27</v>
      </c>
      <c r="E1121" s="1" t="s">
        <v>2678</v>
      </c>
      <c r="F1121" s="1" t="s">
        <v>2679</v>
      </c>
      <c r="G1121" s="1" t="s">
        <v>23</v>
      </c>
      <c r="I1121" s="16">
        <v>41045.523101851853</v>
      </c>
      <c r="J1121" s="1" t="s">
        <v>40</v>
      </c>
      <c r="K1121" s="1" t="s">
        <v>18</v>
      </c>
      <c r="L1121" s="1" t="s">
        <v>19</v>
      </c>
    </row>
    <row r="1122" spans="1:16" ht="13" x14ac:dyDescent="0.15">
      <c r="A1122" s="1">
        <v>296276</v>
      </c>
      <c r="B1122" s="1">
        <v>1</v>
      </c>
      <c r="C1122" s="1" t="s">
        <v>31</v>
      </c>
      <c r="D1122" s="1" t="s">
        <v>27</v>
      </c>
      <c r="E1122" s="1" t="s">
        <v>2680</v>
      </c>
      <c r="F1122" s="1" t="s">
        <v>2681</v>
      </c>
      <c r="G1122" s="1" t="s">
        <v>23</v>
      </c>
      <c r="I1122" s="16">
        <v>41538.970486111109</v>
      </c>
      <c r="J1122" s="1" t="s">
        <v>17</v>
      </c>
      <c r="K1122" s="1" t="s">
        <v>18</v>
      </c>
      <c r="L1122" s="1" t="s">
        <v>19</v>
      </c>
      <c r="M1122" s="1">
        <v>302877</v>
      </c>
      <c r="N1122" s="1" t="s">
        <v>2682</v>
      </c>
      <c r="O1122" s="16">
        <v>41549.087083333332</v>
      </c>
      <c r="P1122" s="1" t="s">
        <v>261</v>
      </c>
    </row>
    <row r="1123" spans="1:16" ht="13" x14ac:dyDescent="0.15">
      <c r="A1123" s="1">
        <v>88684</v>
      </c>
      <c r="B1123" s="1">
        <v>0</v>
      </c>
      <c r="C1123" s="1" t="s">
        <v>26</v>
      </c>
      <c r="D1123" s="1" t="s">
        <v>27</v>
      </c>
      <c r="E1123" s="1" t="s">
        <v>2683</v>
      </c>
      <c r="F1123" s="1" t="s">
        <v>2684</v>
      </c>
      <c r="G1123" s="1" t="s">
        <v>23</v>
      </c>
      <c r="I1123" s="16">
        <v>40731.769456018519</v>
      </c>
      <c r="J1123" s="1" t="s">
        <v>40</v>
      </c>
      <c r="K1123" s="1" t="s">
        <v>18</v>
      </c>
      <c r="L1123" s="1" t="s">
        <v>19</v>
      </c>
    </row>
    <row r="1124" spans="1:16" ht="13" x14ac:dyDescent="0.15">
      <c r="A1124" s="1">
        <v>75347</v>
      </c>
      <c r="B1124" s="1">
        <v>0</v>
      </c>
      <c r="C1124" s="1" t="s">
        <v>133</v>
      </c>
      <c r="D1124" s="1" t="s">
        <v>27</v>
      </c>
      <c r="E1124" s="1" t="s">
        <v>2685</v>
      </c>
      <c r="F1124" s="1" t="s">
        <v>2686</v>
      </c>
      <c r="G1124" s="1" t="s">
        <v>23</v>
      </c>
      <c r="I1124" s="16">
        <v>40610.95890046296</v>
      </c>
      <c r="J1124" s="1" t="s">
        <v>2687</v>
      </c>
      <c r="K1124" s="1" t="s">
        <v>18</v>
      </c>
      <c r="L1124" s="1" t="s">
        <v>19</v>
      </c>
    </row>
    <row r="1125" spans="1:16" ht="13" x14ac:dyDescent="0.15">
      <c r="A1125" s="1">
        <v>116524</v>
      </c>
      <c r="B1125" s="1">
        <v>0</v>
      </c>
      <c r="C1125" s="1" t="s">
        <v>170</v>
      </c>
      <c r="D1125" s="1" t="s">
        <v>27</v>
      </c>
      <c r="E1125" s="1" t="s">
        <v>2688</v>
      </c>
      <c r="F1125" s="1" t="s">
        <v>2689</v>
      </c>
      <c r="G1125" s="1" t="s">
        <v>23</v>
      </c>
      <c r="I1125" s="16">
        <v>40970.501562500001</v>
      </c>
      <c r="J1125" s="1" t="s">
        <v>1320</v>
      </c>
      <c r="K1125" s="1" t="s">
        <v>18</v>
      </c>
      <c r="L1125" s="1" t="s">
        <v>19</v>
      </c>
    </row>
    <row r="1126" spans="1:16" ht="13" x14ac:dyDescent="0.15">
      <c r="A1126" s="1">
        <v>89330</v>
      </c>
      <c r="B1126" s="1">
        <v>0</v>
      </c>
      <c r="C1126" s="1" t="s">
        <v>26</v>
      </c>
      <c r="D1126" s="1" t="s">
        <v>27</v>
      </c>
      <c r="E1126" s="1" t="s">
        <v>2690</v>
      </c>
      <c r="F1126" s="1" t="s">
        <v>2691</v>
      </c>
      <c r="G1126" s="1" t="s">
        <v>23</v>
      </c>
      <c r="I1126" s="16">
        <v>40738.740034722221</v>
      </c>
      <c r="J1126" s="1" t="s">
        <v>44</v>
      </c>
      <c r="K1126" s="1" t="s">
        <v>18</v>
      </c>
      <c r="L1126" s="1" t="s">
        <v>19</v>
      </c>
    </row>
    <row r="1127" spans="1:16" ht="13" x14ac:dyDescent="0.15">
      <c r="A1127" s="1">
        <v>99338</v>
      </c>
      <c r="B1127" s="1">
        <v>0</v>
      </c>
      <c r="C1127" s="1" t="s">
        <v>26</v>
      </c>
      <c r="D1127" s="1" t="s">
        <v>27</v>
      </c>
      <c r="E1127" s="1" t="s">
        <v>2692</v>
      </c>
      <c r="F1127" s="1" t="s">
        <v>586</v>
      </c>
      <c r="G1127" s="1" t="s">
        <v>23</v>
      </c>
      <c r="I1127" s="16">
        <v>40822.689791666664</v>
      </c>
      <c r="J1127" s="1" t="s">
        <v>2235</v>
      </c>
      <c r="K1127" s="1" t="s">
        <v>18</v>
      </c>
      <c r="L1127" s="1" t="s">
        <v>19</v>
      </c>
    </row>
    <row r="1128" spans="1:16" ht="13" x14ac:dyDescent="0.15">
      <c r="A1128" s="1">
        <v>62296</v>
      </c>
      <c r="B1128" s="1">
        <v>0</v>
      </c>
      <c r="C1128" s="1" t="s">
        <v>26</v>
      </c>
      <c r="D1128" s="1" t="s">
        <v>27</v>
      </c>
      <c r="E1128" s="1" t="s">
        <v>2693</v>
      </c>
      <c r="F1128" s="1" t="s">
        <v>720</v>
      </c>
      <c r="G1128" s="1" t="s">
        <v>23</v>
      </c>
      <c r="I1128" s="16">
        <v>40490.175057870372</v>
      </c>
      <c r="J1128" s="1" t="s">
        <v>40</v>
      </c>
      <c r="K1128" s="1" t="s">
        <v>18</v>
      </c>
      <c r="L1128" s="1" t="s">
        <v>19</v>
      </c>
    </row>
    <row r="1129" spans="1:16" ht="13" x14ac:dyDescent="0.15">
      <c r="A1129" s="1">
        <v>92226</v>
      </c>
      <c r="B1129" s="1">
        <v>1</v>
      </c>
      <c r="C1129" s="1" t="s">
        <v>26</v>
      </c>
      <c r="D1129" s="1" t="s">
        <v>27</v>
      </c>
      <c r="E1129" s="1" t="s">
        <v>2694</v>
      </c>
      <c r="F1129" s="1" t="s">
        <v>359</v>
      </c>
      <c r="G1129" s="1" t="s">
        <v>23</v>
      </c>
      <c r="I1129" s="16">
        <v>40764.892743055556</v>
      </c>
      <c r="J1129" s="1" t="s">
        <v>40</v>
      </c>
      <c r="K1129" s="1" t="s">
        <v>18</v>
      </c>
      <c r="L1129" s="1" t="s">
        <v>19</v>
      </c>
      <c r="M1129" s="1">
        <v>93134</v>
      </c>
      <c r="N1129" s="1" t="s">
        <v>2695</v>
      </c>
      <c r="O1129" s="16">
        <v>40771.869270833333</v>
      </c>
      <c r="P1129" s="1" t="s">
        <v>44</v>
      </c>
    </row>
    <row r="1130" spans="1:16" ht="13" x14ac:dyDescent="0.15">
      <c r="A1130" s="1">
        <v>322554</v>
      </c>
      <c r="B1130" s="1">
        <v>0</v>
      </c>
      <c r="C1130" s="1" t="s">
        <v>2093</v>
      </c>
      <c r="D1130" s="1" t="s">
        <v>27</v>
      </c>
      <c r="E1130" s="1" t="s">
        <v>2696</v>
      </c>
      <c r="F1130" s="1" t="s">
        <v>2697</v>
      </c>
      <c r="G1130" s="1" t="s">
        <v>23</v>
      </c>
      <c r="I1130" s="16">
        <v>41600.686192129629</v>
      </c>
      <c r="J1130" s="1" t="s">
        <v>193</v>
      </c>
      <c r="K1130" s="1" t="s">
        <v>18</v>
      </c>
      <c r="L1130" s="1" t="s">
        <v>19</v>
      </c>
    </row>
    <row r="1131" spans="1:16" ht="13" x14ac:dyDescent="0.15">
      <c r="A1131" s="1">
        <v>594574</v>
      </c>
      <c r="B1131" s="1">
        <v>1</v>
      </c>
      <c r="C1131" s="1" t="s">
        <v>101</v>
      </c>
      <c r="D1131" s="1" t="s">
        <v>27</v>
      </c>
      <c r="E1131" s="1" t="s">
        <v>2698</v>
      </c>
      <c r="F1131" s="1" t="s">
        <v>2699</v>
      </c>
      <c r="I1131" s="16">
        <v>42443.668749999997</v>
      </c>
      <c r="J1131" s="1" t="s">
        <v>2700</v>
      </c>
      <c r="K1131" s="1" t="s">
        <v>18</v>
      </c>
      <c r="L1131" s="1" t="s">
        <v>19</v>
      </c>
      <c r="M1131" s="1">
        <v>595485</v>
      </c>
      <c r="N1131" s="1" t="s">
        <v>2701</v>
      </c>
      <c r="O1131" s="16">
        <v>42445.958912037036</v>
      </c>
      <c r="P1131" s="1" t="s">
        <v>758</v>
      </c>
    </row>
    <row r="1132" spans="1:16" ht="13" x14ac:dyDescent="0.15">
      <c r="A1132" s="1">
        <v>452455</v>
      </c>
      <c r="B1132" s="1">
        <v>1</v>
      </c>
      <c r="C1132" s="1" t="s">
        <v>12</v>
      </c>
      <c r="D1132" s="1" t="s">
        <v>27</v>
      </c>
      <c r="E1132" s="1" t="s">
        <v>2702</v>
      </c>
      <c r="F1132" s="1" t="s">
        <v>250</v>
      </c>
      <c r="G1132" s="1" t="s">
        <v>23</v>
      </c>
      <c r="I1132" s="16">
        <v>42031.442627314813</v>
      </c>
      <c r="J1132" s="1" t="s">
        <v>17</v>
      </c>
      <c r="K1132" s="1" t="s">
        <v>18</v>
      </c>
      <c r="L1132" s="1" t="s">
        <v>19</v>
      </c>
      <c r="M1132" s="1">
        <v>455637</v>
      </c>
      <c r="N1132" s="1" t="s">
        <v>2703</v>
      </c>
      <c r="O1132" s="16">
        <v>42040.460532407407</v>
      </c>
      <c r="P1132" s="1" t="s">
        <v>190</v>
      </c>
    </row>
    <row r="1133" spans="1:16" ht="13" x14ac:dyDescent="0.15">
      <c r="A1133" s="1">
        <v>246240</v>
      </c>
      <c r="B1133" s="1">
        <v>0</v>
      </c>
      <c r="C1133" s="1" t="s">
        <v>1810</v>
      </c>
      <c r="D1133" s="1" t="s">
        <v>27</v>
      </c>
      <c r="E1133" s="1" t="s">
        <v>2704</v>
      </c>
      <c r="F1133" s="1" t="s">
        <v>2705</v>
      </c>
      <c r="G1133" s="1" t="s">
        <v>23</v>
      </c>
      <c r="I1133" s="16">
        <v>41428.711944444447</v>
      </c>
      <c r="J1133" s="1" t="s">
        <v>193</v>
      </c>
      <c r="K1133" s="1" t="s">
        <v>18</v>
      </c>
      <c r="L1133" s="1" t="s">
        <v>19</v>
      </c>
    </row>
    <row r="1134" spans="1:16" ht="13" x14ac:dyDescent="0.15">
      <c r="A1134" s="1">
        <v>585268</v>
      </c>
      <c r="B1134" s="1">
        <v>0</v>
      </c>
      <c r="C1134" s="1" t="s">
        <v>2706</v>
      </c>
      <c r="D1134" s="1" t="s">
        <v>27</v>
      </c>
      <c r="E1134" s="1" t="s">
        <v>2707</v>
      </c>
      <c r="F1134" s="1" t="s">
        <v>2708</v>
      </c>
      <c r="G1134" s="1" t="s">
        <v>23</v>
      </c>
      <c r="I1134" s="16">
        <v>42408.987164351849</v>
      </c>
      <c r="J1134" s="1" t="s">
        <v>311</v>
      </c>
      <c r="K1134" s="1" t="s">
        <v>18</v>
      </c>
      <c r="L1134" s="1" t="s">
        <v>19</v>
      </c>
    </row>
    <row r="1135" spans="1:16" ht="13" x14ac:dyDescent="0.15">
      <c r="A1135" s="1">
        <v>126296</v>
      </c>
      <c r="B1135" s="1">
        <v>0</v>
      </c>
      <c r="C1135" s="1" t="s">
        <v>2709</v>
      </c>
      <c r="D1135" s="1" t="s">
        <v>27</v>
      </c>
      <c r="E1135" s="1" t="s">
        <v>2710</v>
      </c>
      <c r="F1135" s="1" t="s">
        <v>2711</v>
      </c>
      <c r="G1135" s="1" t="s">
        <v>16</v>
      </c>
      <c r="I1135" s="16">
        <v>41033.867372685185</v>
      </c>
      <c r="J1135" s="1" t="s">
        <v>2712</v>
      </c>
      <c r="K1135" s="1" t="s">
        <v>18</v>
      </c>
      <c r="L1135" s="1" t="s">
        <v>19</v>
      </c>
    </row>
    <row r="1136" spans="1:16" ht="13" x14ac:dyDescent="0.15">
      <c r="A1136" s="1">
        <v>55831</v>
      </c>
      <c r="B1136" s="1">
        <v>0</v>
      </c>
      <c r="C1136" s="1" t="s">
        <v>26</v>
      </c>
      <c r="D1136" s="1" t="s">
        <v>27</v>
      </c>
      <c r="E1136" s="1" t="s">
        <v>2713</v>
      </c>
      <c r="F1136" s="1" t="s">
        <v>430</v>
      </c>
      <c r="G1136" s="1" t="s">
        <v>23</v>
      </c>
      <c r="I1136" s="16">
        <v>40437.371342592596</v>
      </c>
      <c r="J1136" s="1" t="s">
        <v>190</v>
      </c>
      <c r="K1136" s="1" t="s">
        <v>18</v>
      </c>
      <c r="L1136" s="1" t="s">
        <v>19</v>
      </c>
    </row>
    <row r="1137" spans="1:16" ht="13" x14ac:dyDescent="0.15">
      <c r="A1137" s="1">
        <v>345715</v>
      </c>
      <c r="B1137" s="1">
        <v>0</v>
      </c>
      <c r="C1137" s="1" t="s">
        <v>101</v>
      </c>
      <c r="D1137" s="1" t="s">
        <v>27</v>
      </c>
      <c r="E1137" s="1" t="s">
        <v>349</v>
      </c>
      <c r="F1137" s="1" t="s">
        <v>2714</v>
      </c>
      <c r="G1137" s="1" t="s">
        <v>23</v>
      </c>
      <c r="I1137" s="16">
        <v>41691.692604166667</v>
      </c>
      <c r="J1137" s="1" t="s">
        <v>17</v>
      </c>
      <c r="K1137" s="1" t="s">
        <v>18</v>
      </c>
      <c r="L1137" s="1" t="s">
        <v>19</v>
      </c>
    </row>
    <row r="1138" spans="1:16" ht="13" x14ac:dyDescent="0.15">
      <c r="A1138" s="1">
        <v>313435</v>
      </c>
      <c r="B1138" s="1">
        <v>0</v>
      </c>
      <c r="C1138" s="1" t="s">
        <v>2715</v>
      </c>
      <c r="D1138" s="1" t="s">
        <v>27</v>
      </c>
      <c r="E1138" s="1" t="s">
        <v>2716</v>
      </c>
      <c r="F1138" s="1" t="s">
        <v>2717</v>
      </c>
      <c r="G1138" s="1" t="s">
        <v>23</v>
      </c>
      <c r="I1138" s="16">
        <v>41577.915509259263</v>
      </c>
      <c r="J1138" s="1" t="s">
        <v>2718</v>
      </c>
      <c r="K1138" s="1" t="s">
        <v>18</v>
      </c>
      <c r="L1138" s="1" t="s">
        <v>19</v>
      </c>
    </row>
    <row r="1139" spans="1:16" ht="13" x14ac:dyDescent="0.15">
      <c r="A1139" s="1">
        <v>159098</v>
      </c>
      <c r="B1139" s="1">
        <v>0</v>
      </c>
      <c r="C1139" s="1" t="s">
        <v>26</v>
      </c>
      <c r="D1139" s="1" t="s">
        <v>27</v>
      </c>
      <c r="E1139" s="1" t="s">
        <v>1262</v>
      </c>
      <c r="F1139" s="1" t="s">
        <v>120</v>
      </c>
      <c r="G1139" s="1" t="s">
        <v>23</v>
      </c>
      <c r="I1139" s="16">
        <v>41215.254305555558</v>
      </c>
      <c r="J1139" s="1" t="s">
        <v>40</v>
      </c>
      <c r="K1139" s="1" t="s">
        <v>18</v>
      </c>
      <c r="L1139" s="1" t="s">
        <v>19</v>
      </c>
    </row>
    <row r="1140" spans="1:16" ht="13" x14ac:dyDescent="0.15">
      <c r="A1140" s="1">
        <v>44658</v>
      </c>
      <c r="B1140" s="1">
        <v>0</v>
      </c>
      <c r="C1140" s="1" t="s">
        <v>170</v>
      </c>
      <c r="D1140" s="1" t="s">
        <v>27</v>
      </c>
      <c r="E1140" s="1" t="s">
        <v>2719</v>
      </c>
      <c r="F1140" s="1" t="s">
        <v>2720</v>
      </c>
      <c r="I1140" s="16">
        <v>40318.692719907405</v>
      </c>
      <c r="J1140" s="1" t="s">
        <v>2721</v>
      </c>
      <c r="K1140" s="1" t="s">
        <v>18</v>
      </c>
      <c r="L1140" s="1" t="s">
        <v>19</v>
      </c>
    </row>
    <row r="1141" spans="1:16" ht="13" x14ac:dyDescent="0.15">
      <c r="A1141" s="1">
        <v>68115</v>
      </c>
      <c r="B1141" s="1">
        <v>0</v>
      </c>
      <c r="D1141" s="1" t="s">
        <v>27</v>
      </c>
      <c r="E1141" s="1" t="s">
        <v>2722</v>
      </c>
      <c r="F1141" s="1" t="s">
        <v>2723</v>
      </c>
      <c r="I1141" s="16">
        <v>40539.852800925924</v>
      </c>
      <c r="J1141" s="1" t="s">
        <v>151</v>
      </c>
      <c r="K1141" s="1" t="s">
        <v>18</v>
      </c>
      <c r="L1141" s="1" t="s">
        <v>19</v>
      </c>
    </row>
    <row r="1142" spans="1:16" ht="13" x14ac:dyDescent="0.15">
      <c r="A1142" s="1">
        <v>423891</v>
      </c>
      <c r="B1142" s="1">
        <v>0</v>
      </c>
      <c r="D1142" s="1" t="s">
        <v>27</v>
      </c>
      <c r="E1142" s="1" t="s">
        <v>2724</v>
      </c>
      <c r="F1142" s="1" t="s">
        <v>2725</v>
      </c>
      <c r="G1142" s="1" t="s">
        <v>23</v>
      </c>
      <c r="I1142" s="16">
        <v>41927.873680555553</v>
      </c>
      <c r="J1142" s="1" t="s">
        <v>17</v>
      </c>
      <c r="K1142" s="1" t="s">
        <v>18</v>
      </c>
      <c r="L1142" s="1" t="s">
        <v>19</v>
      </c>
    </row>
    <row r="1143" spans="1:16" ht="13" x14ac:dyDescent="0.15">
      <c r="A1143" s="1">
        <v>445285</v>
      </c>
      <c r="B1143" s="1">
        <v>1</v>
      </c>
      <c r="D1143" s="1" t="s">
        <v>27</v>
      </c>
      <c r="E1143" s="1" t="s">
        <v>2674</v>
      </c>
      <c r="F1143" s="1" t="s">
        <v>2726</v>
      </c>
      <c r="I1143" s="16">
        <v>42001.892210648148</v>
      </c>
      <c r="J1143" s="1" t="s">
        <v>408</v>
      </c>
      <c r="K1143" s="1" t="s">
        <v>18</v>
      </c>
      <c r="L1143" s="1" t="s">
        <v>19</v>
      </c>
      <c r="M1143" s="1">
        <v>448067</v>
      </c>
      <c r="N1143" s="1" t="s">
        <v>2727</v>
      </c>
      <c r="O1143" s="16">
        <v>42016.717615740738</v>
      </c>
      <c r="P1143" s="1" t="s">
        <v>17</v>
      </c>
    </row>
    <row r="1144" spans="1:16" ht="13" x14ac:dyDescent="0.15">
      <c r="A1144" s="1">
        <v>681843</v>
      </c>
      <c r="B1144" s="1">
        <v>0</v>
      </c>
      <c r="C1144" s="1" t="s">
        <v>101</v>
      </c>
      <c r="D1144" s="1" t="s">
        <v>27</v>
      </c>
      <c r="E1144" s="1" t="s">
        <v>2728</v>
      </c>
      <c r="F1144" s="1" t="s">
        <v>2729</v>
      </c>
      <c r="G1144" s="1" t="s">
        <v>56</v>
      </c>
      <c r="I1144" s="16">
        <v>42752.644942129627</v>
      </c>
      <c r="J1144" s="1" t="s">
        <v>2730</v>
      </c>
      <c r="K1144" s="1" t="s">
        <v>18</v>
      </c>
      <c r="L1144" s="1" t="s">
        <v>19</v>
      </c>
    </row>
    <row r="1145" spans="1:16" ht="13" x14ac:dyDescent="0.15">
      <c r="A1145" s="1">
        <v>130235</v>
      </c>
      <c r="B1145" s="1">
        <v>0</v>
      </c>
      <c r="C1145" s="1" t="s">
        <v>26</v>
      </c>
      <c r="D1145" s="1" t="s">
        <v>27</v>
      </c>
      <c r="E1145" s="1" t="s">
        <v>2731</v>
      </c>
      <c r="F1145" s="1" t="s">
        <v>2732</v>
      </c>
      <c r="G1145" s="1" t="s">
        <v>23</v>
      </c>
      <c r="I1145" s="16">
        <v>41059.171423611115</v>
      </c>
      <c r="J1145" s="1" t="s">
        <v>40</v>
      </c>
      <c r="K1145" s="1" t="s">
        <v>18</v>
      </c>
      <c r="L1145" s="1" t="s">
        <v>19</v>
      </c>
    </row>
    <row r="1146" spans="1:16" ht="13" x14ac:dyDescent="0.15">
      <c r="A1146" s="1">
        <v>134428</v>
      </c>
      <c r="B1146" s="1">
        <v>0</v>
      </c>
      <c r="C1146" s="1" t="s">
        <v>41</v>
      </c>
      <c r="D1146" s="1" t="s">
        <v>27</v>
      </c>
      <c r="E1146" s="1" t="s">
        <v>2733</v>
      </c>
      <c r="F1146" s="1" t="s">
        <v>2734</v>
      </c>
      <c r="G1146" s="1" t="s">
        <v>23</v>
      </c>
      <c r="I1146" s="16">
        <v>41085.657800925925</v>
      </c>
      <c r="J1146" s="1" t="s">
        <v>40</v>
      </c>
      <c r="K1146" s="1" t="s">
        <v>18</v>
      </c>
      <c r="L1146" s="1" t="s">
        <v>19</v>
      </c>
    </row>
    <row r="1147" spans="1:16" ht="13" x14ac:dyDescent="0.15">
      <c r="A1147" s="1">
        <v>226659</v>
      </c>
      <c r="B1147" s="1">
        <v>0</v>
      </c>
      <c r="C1147" s="1" t="s">
        <v>495</v>
      </c>
      <c r="D1147" s="1" t="s">
        <v>27</v>
      </c>
      <c r="E1147" s="1" t="s">
        <v>2735</v>
      </c>
      <c r="F1147" s="1" t="s">
        <v>2736</v>
      </c>
      <c r="G1147" s="1" t="s">
        <v>23</v>
      </c>
      <c r="I1147" s="16">
        <v>41368.794421296298</v>
      </c>
      <c r="J1147" s="1" t="s">
        <v>151</v>
      </c>
      <c r="K1147" s="1" t="s">
        <v>18</v>
      </c>
      <c r="L1147" s="1" t="s">
        <v>19</v>
      </c>
    </row>
    <row r="1148" spans="1:16" ht="13" x14ac:dyDescent="0.15">
      <c r="A1148" s="1">
        <v>663551</v>
      </c>
      <c r="B1148" s="1">
        <v>0</v>
      </c>
      <c r="C1148" s="1" t="s">
        <v>137</v>
      </c>
      <c r="D1148" s="1" t="s">
        <v>27</v>
      </c>
      <c r="E1148" s="1" t="s">
        <v>2737</v>
      </c>
      <c r="F1148" s="1" t="s">
        <v>2738</v>
      </c>
      <c r="I1148" s="16">
        <v>42682.988888888889</v>
      </c>
      <c r="J1148" s="1" t="s">
        <v>699</v>
      </c>
      <c r="K1148" s="1" t="s">
        <v>18</v>
      </c>
      <c r="L1148" s="1" t="s">
        <v>19</v>
      </c>
    </row>
    <row r="1149" spans="1:16" ht="13" x14ac:dyDescent="0.15">
      <c r="A1149" s="1">
        <v>456059</v>
      </c>
      <c r="B1149" s="1">
        <v>0</v>
      </c>
      <c r="D1149" s="1" t="s">
        <v>27</v>
      </c>
      <c r="E1149" s="1" t="s">
        <v>1284</v>
      </c>
      <c r="F1149" s="1" t="s">
        <v>2739</v>
      </c>
      <c r="I1149" s="16">
        <v>42041.470590277779</v>
      </c>
      <c r="J1149" s="1" t="s">
        <v>68</v>
      </c>
      <c r="K1149" s="1" t="s">
        <v>18</v>
      </c>
      <c r="L1149" s="1" t="s">
        <v>19</v>
      </c>
    </row>
    <row r="1150" spans="1:16" ht="13" x14ac:dyDescent="0.15">
      <c r="A1150" s="1">
        <v>156383</v>
      </c>
      <c r="B1150" s="1">
        <v>0</v>
      </c>
      <c r="C1150" s="1" t="s">
        <v>2740</v>
      </c>
      <c r="D1150" s="1" t="s">
        <v>27</v>
      </c>
      <c r="E1150" s="1" t="s">
        <v>2741</v>
      </c>
      <c r="F1150" s="1" t="s">
        <v>2742</v>
      </c>
      <c r="G1150" s="1" t="s">
        <v>1577</v>
      </c>
      <c r="I1150" s="16">
        <v>41199.725162037037</v>
      </c>
      <c r="J1150" s="1" t="s">
        <v>1064</v>
      </c>
      <c r="K1150" s="1" t="s">
        <v>18</v>
      </c>
      <c r="L1150" s="1" t="s">
        <v>19</v>
      </c>
    </row>
    <row r="1151" spans="1:16" ht="13" x14ac:dyDescent="0.15">
      <c r="A1151" s="1">
        <v>156619</v>
      </c>
      <c r="B1151" s="1">
        <v>0</v>
      </c>
      <c r="C1151" s="1" t="s">
        <v>26</v>
      </c>
      <c r="D1151" s="1" t="s">
        <v>27</v>
      </c>
      <c r="E1151" s="1" t="s">
        <v>2743</v>
      </c>
      <c r="F1151" s="1" t="s">
        <v>120</v>
      </c>
      <c r="G1151" s="1" t="s">
        <v>23</v>
      </c>
      <c r="I1151" s="16">
        <v>41200.691620370373</v>
      </c>
      <c r="J1151" s="1" t="s">
        <v>40</v>
      </c>
      <c r="K1151" s="1" t="s">
        <v>18</v>
      </c>
      <c r="L1151" s="1" t="s">
        <v>19</v>
      </c>
    </row>
    <row r="1152" spans="1:16" ht="13" x14ac:dyDescent="0.15">
      <c r="A1152" s="1">
        <v>464871</v>
      </c>
      <c r="B1152" s="1">
        <v>0</v>
      </c>
      <c r="C1152" s="1" t="s">
        <v>137</v>
      </c>
      <c r="D1152" s="1" t="s">
        <v>27</v>
      </c>
      <c r="E1152" s="1" t="s">
        <v>2744</v>
      </c>
      <c r="F1152" s="1" t="s">
        <v>2745</v>
      </c>
      <c r="G1152" s="1" t="s">
        <v>23</v>
      </c>
      <c r="I1152" s="16">
        <v>42069.941782407404</v>
      </c>
      <c r="J1152" s="1" t="s">
        <v>151</v>
      </c>
      <c r="K1152" s="1" t="s">
        <v>18</v>
      </c>
      <c r="L1152" s="1" t="s">
        <v>19</v>
      </c>
    </row>
    <row r="1153" spans="1:16" ht="13" x14ac:dyDescent="0.15">
      <c r="A1153" s="1">
        <v>464870</v>
      </c>
      <c r="B1153" s="1">
        <v>0</v>
      </c>
      <c r="C1153" s="1" t="s">
        <v>137</v>
      </c>
      <c r="D1153" s="1" t="s">
        <v>27</v>
      </c>
      <c r="E1153" s="1" t="s">
        <v>2746</v>
      </c>
      <c r="F1153" s="1" t="s">
        <v>2747</v>
      </c>
      <c r="G1153" s="1" t="s">
        <v>23</v>
      </c>
      <c r="I1153" s="16">
        <v>42069.941157407404</v>
      </c>
      <c r="J1153" s="1" t="s">
        <v>151</v>
      </c>
      <c r="K1153" s="1" t="s">
        <v>18</v>
      </c>
      <c r="L1153" s="1" t="s">
        <v>19</v>
      </c>
    </row>
    <row r="1154" spans="1:16" ht="13" x14ac:dyDescent="0.15">
      <c r="A1154" s="1">
        <v>196571</v>
      </c>
      <c r="B1154" s="1">
        <v>0</v>
      </c>
      <c r="C1154" s="1" t="s">
        <v>26</v>
      </c>
      <c r="D1154" s="1" t="s">
        <v>27</v>
      </c>
      <c r="E1154" s="1" t="s">
        <v>2748</v>
      </c>
      <c r="F1154" s="1" t="s">
        <v>1481</v>
      </c>
      <c r="G1154" s="1" t="s">
        <v>23</v>
      </c>
      <c r="I1154" s="16">
        <v>41348.664594907408</v>
      </c>
      <c r="J1154" s="1" t="s">
        <v>40</v>
      </c>
      <c r="K1154" s="1" t="s">
        <v>18</v>
      </c>
      <c r="L1154" s="1" t="s">
        <v>19</v>
      </c>
    </row>
    <row r="1155" spans="1:16" ht="13" x14ac:dyDescent="0.15">
      <c r="A1155" s="1">
        <v>482369</v>
      </c>
      <c r="B1155" s="1">
        <v>0</v>
      </c>
      <c r="C1155" s="1" t="s">
        <v>2749</v>
      </c>
      <c r="D1155" s="1" t="s">
        <v>27</v>
      </c>
      <c r="E1155" s="1" t="s">
        <v>2750</v>
      </c>
      <c r="F1155" s="1" t="s">
        <v>2751</v>
      </c>
      <c r="G1155" s="1" t="s">
        <v>23</v>
      </c>
      <c r="I1155" s="16">
        <v>42123.375347222223</v>
      </c>
      <c r="J1155" s="1" t="s">
        <v>17</v>
      </c>
      <c r="K1155" s="1" t="s">
        <v>18</v>
      </c>
      <c r="L1155" s="1" t="s">
        <v>19</v>
      </c>
    </row>
    <row r="1156" spans="1:16" ht="13" x14ac:dyDescent="0.15">
      <c r="A1156" s="1">
        <v>134324</v>
      </c>
      <c r="B1156" s="1">
        <v>0</v>
      </c>
      <c r="C1156" s="1" t="s">
        <v>26</v>
      </c>
      <c r="D1156" s="1" t="s">
        <v>27</v>
      </c>
      <c r="E1156" s="1" t="s">
        <v>380</v>
      </c>
      <c r="F1156" s="1" t="s">
        <v>162</v>
      </c>
      <c r="G1156" s="1" t="s">
        <v>23</v>
      </c>
      <c r="I1156" s="16">
        <v>41084.081747685188</v>
      </c>
      <c r="J1156" s="1" t="s">
        <v>40</v>
      </c>
      <c r="K1156" s="1" t="s">
        <v>18</v>
      </c>
      <c r="L1156" s="1" t="s">
        <v>19</v>
      </c>
    </row>
    <row r="1157" spans="1:16" ht="13" x14ac:dyDescent="0.15">
      <c r="A1157" s="1">
        <v>226090</v>
      </c>
      <c r="B1157" s="1">
        <v>0</v>
      </c>
      <c r="C1157" s="1" t="s">
        <v>2454</v>
      </c>
      <c r="D1157" s="1" t="s">
        <v>27</v>
      </c>
      <c r="E1157" s="1" t="s">
        <v>2752</v>
      </c>
      <c r="F1157" s="1" t="s">
        <v>529</v>
      </c>
      <c r="G1157" s="1" t="s">
        <v>23</v>
      </c>
      <c r="I1157" s="16">
        <v>41367.645532407405</v>
      </c>
      <c r="J1157" s="1" t="s">
        <v>40</v>
      </c>
      <c r="K1157" s="1" t="s">
        <v>18</v>
      </c>
      <c r="L1157" s="1" t="s">
        <v>19</v>
      </c>
    </row>
    <row r="1158" spans="1:16" ht="13" x14ac:dyDescent="0.15">
      <c r="A1158" s="1">
        <v>625575</v>
      </c>
      <c r="B1158" s="1">
        <v>0</v>
      </c>
      <c r="C1158" s="1" t="s">
        <v>2753</v>
      </c>
      <c r="D1158" s="1" t="s">
        <v>27</v>
      </c>
      <c r="E1158" s="1" t="s">
        <v>2754</v>
      </c>
      <c r="F1158" s="1" t="s">
        <v>2755</v>
      </c>
      <c r="G1158" s="1" t="s">
        <v>23</v>
      </c>
      <c r="I1158" s="16">
        <v>42555.370243055557</v>
      </c>
      <c r="J1158" s="1" t="s">
        <v>851</v>
      </c>
      <c r="K1158" s="1" t="s">
        <v>18</v>
      </c>
      <c r="L1158" s="1" t="s">
        <v>19</v>
      </c>
    </row>
    <row r="1159" spans="1:16" ht="13" x14ac:dyDescent="0.15">
      <c r="A1159" s="1">
        <v>174846</v>
      </c>
      <c r="B1159" s="1">
        <v>0</v>
      </c>
      <c r="C1159" s="1" t="s">
        <v>26</v>
      </c>
      <c r="D1159" s="1" t="s">
        <v>27</v>
      </c>
      <c r="E1159" s="1" t="s">
        <v>2756</v>
      </c>
      <c r="F1159" s="1" t="s">
        <v>1043</v>
      </c>
      <c r="G1159" s="1" t="s">
        <v>23</v>
      </c>
      <c r="I1159" s="16">
        <v>41312.275590277779</v>
      </c>
      <c r="J1159" s="1" t="s">
        <v>40</v>
      </c>
      <c r="K1159" s="1" t="s">
        <v>18</v>
      </c>
      <c r="L1159" s="1" t="s">
        <v>19</v>
      </c>
    </row>
    <row r="1160" spans="1:16" ht="13" x14ac:dyDescent="0.15">
      <c r="A1160" s="1">
        <v>352982</v>
      </c>
      <c r="B1160" s="1">
        <v>0</v>
      </c>
      <c r="C1160" s="1" t="s">
        <v>101</v>
      </c>
      <c r="D1160" s="1" t="s">
        <v>27</v>
      </c>
      <c r="E1160" s="1" t="s">
        <v>2757</v>
      </c>
      <c r="F1160" s="1" t="s">
        <v>361</v>
      </c>
      <c r="G1160" s="1" t="s">
        <v>23</v>
      </c>
      <c r="I1160" s="16">
        <v>41714.484155092592</v>
      </c>
      <c r="J1160" s="1" t="s">
        <v>17</v>
      </c>
      <c r="K1160" s="1" t="s">
        <v>18</v>
      </c>
      <c r="L1160" s="1" t="s">
        <v>19</v>
      </c>
    </row>
    <row r="1161" spans="1:16" ht="13" x14ac:dyDescent="0.15">
      <c r="A1161" s="1">
        <v>91092</v>
      </c>
      <c r="B1161" s="1">
        <v>1</v>
      </c>
      <c r="C1161" s="1" t="s">
        <v>26</v>
      </c>
      <c r="D1161" s="1" t="s">
        <v>27</v>
      </c>
      <c r="E1161" s="1" t="s">
        <v>2758</v>
      </c>
      <c r="F1161" s="1" t="s">
        <v>2759</v>
      </c>
      <c r="G1161" s="1" t="s">
        <v>23</v>
      </c>
      <c r="I1161" s="16">
        <v>40754.582743055558</v>
      </c>
      <c r="J1161" s="1" t="s">
        <v>40</v>
      </c>
      <c r="K1161" s="1" t="s">
        <v>18</v>
      </c>
      <c r="L1161" s="1" t="s">
        <v>19</v>
      </c>
      <c r="M1161" s="1">
        <v>91945</v>
      </c>
      <c r="N1161" s="1" t="s">
        <v>2760</v>
      </c>
      <c r="O1161" s="16">
        <v>40761.965509259258</v>
      </c>
      <c r="P1161" s="1" t="s">
        <v>544</v>
      </c>
    </row>
    <row r="1162" spans="1:16" ht="13" x14ac:dyDescent="0.15">
      <c r="A1162" s="1">
        <v>100958</v>
      </c>
      <c r="B1162" s="1">
        <v>0</v>
      </c>
      <c r="C1162" s="1" t="s">
        <v>26</v>
      </c>
      <c r="D1162" s="1" t="s">
        <v>27</v>
      </c>
      <c r="E1162" s="1" t="s">
        <v>2761</v>
      </c>
      <c r="F1162" s="1" t="s">
        <v>1455</v>
      </c>
      <c r="G1162" s="1" t="s">
        <v>23</v>
      </c>
      <c r="I1162" s="16">
        <v>40835.995532407411</v>
      </c>
      <c r="J1162" s="1" t="s">
        <v>40</v>
      </c>
      <c r="K1162" s="1" t="s">
        <v>18</v>
      </c>
      <c r="L1162" s="1" t="s">
        <v>19</v>
      </c>
    </row>
    <row r="1163" spans="1:16" ht="13" x14ac:dyDescent="0.15">
      <c r="A1163" s="1">
        <v>308988</v>
      </c>
      <c r="B1163" s="1">
        <v>0</v>
      </c>
      <c r="C1163" s="1" t="s">
        <v>2762</v>
      </c>
      <c r="D1163" s="1" t="s">
        <v>27</v>
      </c>
      <c r="E1163" s="1" t="s">
        <v>2763</v>
      </c>
      <c r="F1163" s="1" t="s">
        <v>2764</v>
      </c>
      <c r="G1163" s="1" t="s">
        <v>23</v>
      </c>
      <c r="I1163" s="16">
        <v>41565.599537037036</v>
      </c>
      <c r="J1163" s="1" t="s">
        <v>17</v>
      </c>
      <c r="K1163" s="1" t="s">
        <v>18</v>
      </c>
      <c r="L1163" s="1" t="s">
        <v>19</v>
      </c>
    </row>
    <row r="1164" spans="1:16" ht="13" x14ac:dyDescent="0.15">
      <c r="A1164" s="1">
        <v>87862</v>
      </c>
      <c r="B1164" s="1">
        <v>0</v>
      </c>
      <c r="C1164" s="1" t="s">
        <v>26</v>
      </c>
      <c r="D1164" s="1" t="s">
        <v>27</v>
      </c>
      <c r="E1164" s="1" t="s">
        <v>2765</v>
      </c>
      <c r="F1164" s="1" t="s">
        <v>2766</v>
      </c>
      <c r="G1164" s="1" t="s">
        <v>23</v>
      </c>
      <c r="I1164" s="16">
        <v>40723.144780092596</v>
      </c>
      <c r="J1164" s="1" t="s">
        <v>40</v>
      </c>
      <c r="K1164" s="1" t="s">
        <v>18</v>
      </c>
      <c r="L1164" s="1" t="s">
        <v>19</v>
      </c>
    </row>
    <row r="1165" spans="1:16" ht="13" x14ac:dyDescent="0.15">
      <c r="A1165" s="1">
        <v>173402</v>
      </c>
      <c r="B1165" s="1">
        <v>0</v>
      </c>
      <c r="C1165" s="1" t="s">
        <v>26</v>
      </c>
      <c r="D1165" s="1" t="s">
        <v>27</v>
      </c>
      <c r="E1165" s="1" t="s">
        <v>2767</v>
      </c>
      <c r="F1165" s="1" t="s">
        <v>2768</v>
      </c>
      <c r="G1165" s="1" t="s">
        <v>23</v>
      </c>
      <c r="I1165" s="16">
        <v>41305.705995370372</v>
      </c>
      <c r="J1165" s="1" t="s">
        <v>40</v>
      </c>
      <c r="K1165" s="1" t="s">
        <v>18</v>
      </c>
      <c r="L1165" s="1" t="s">
        <v>19</v>
      </c>
    </row>
    <row r="1166" spans="1:16" ht="13" x14ac:dyDescent="0.15">
      <c r="A1166" s="1">
        <v>656485</v>
      </c>
      <c r="B1166" s="1">
        <v>0</v>
      </c>
      <c r="C1166" s="1" t="s">
        <v>2227</v>
      </c>
      <c r="D1166" s="1" t="s">
        <v>27</v>
      </c>
      <c r="E1166" s="1" t="s">
        <v>2769</v>
      </c>
      <c r="F1166" s="1" t="s">
        <v>2770</v>
      </c>
      <c r="G1166" s="1" t="s">
        <v>23</v>
      </c>
      <c r="I1166" s="16">
        <v>42660.143217592595</v>
      </c>
      <c r="J1166" s="1" t="s">
        <v>2771</v>
      </c>
      <c r="K1166" s="1" t="s">
        <v>18</v>
      </c>
      <c r="L1166" s="1" t="s">
        <v>19</v>
      </c>
    </row>
    <row r="1167" spans="1:16" ht="13" x14ac:dyDescent="0.15">
      <c r="A1167" s="1">
        <v>119250</v>
      </c>
      <c r="B1167" s="1">
        <v>0</v>
      </c>
      <c r="C1167" s="1" t="s">
        <v>414</v>
      </c>
      <c r="D1167" s="1" t="s">
        <v>27</v>
      </c>
      <c r="E1167" s="1" t="s">
        <v>2772</v>
      </c>
      <c r="F1167" s="1" t="s">
        <v>2773</v>
      </c>
      <c r="G1167" s="1" t="s">
        <v>159</v>
      </c>
      <c r="I1167" s="16">
        <v>40989.272002314814</v>
      </c>
      <c r="J1167" s="1" t="s">
        <v>398</v>
      </c>
      <c r="K1167" s="1" t="s">
        <v>18</v>
      </c>
      <c r="L1167" s="1" t="s">
        <v>19</v>
      </c>
    </row>
    <row r="1168" spans="1:16" ht="13" x14ac:dyDescent="0.15">
      <c r="A1168" s="1">
        <v>237800</v>
      </c>
      <c r="B1168" s="1">
        <v>1</v>
      </c>
      <c r="C1168" s="1" t="s">
        <v>101</v>
      </c>
      <c r="D1168" s="1" t="s">
        <v>27</v>
      </c>
      <c r="E1168" s="1" t="s">
        <v>2774</v>
      </c>
      <c r="F1168" s="1" t="s">
        <v>2775</v>
      </c>
      <c r="G1168" s="1" t="s">
        <v>813</v>
      </c>
      <c r="I1168" s="16">
        <v>41397.596180555556</v>
      </c>
      <c r="J1168" s="1" t="s">
        <v>944</v>
      </c>
      <c r="K1168" s="1" t="s">
        <v>18</v>
      </c>
      <c r="L1168" s="1" t="s">
        <v>19</v>
      </c>
      <c r="M1168" s="1">
        <v>284694</v>
      </c>
      <c r="N1168" s="1" t="s">
        <v>2776</v>
      </c>
      <c r="O1168" s="16">
        <v>41520.817106481481</v>
      </c>
      <c r="P1168" s="1" t="s">
        <v>17</v>
      </c>
    </row>
    <row r="1169" spans="1:16" ht="13" x14ac:dyDescent="0.15">
      <c r="A1169" s="1">
        <v>117728</v>
      </c>
      <c r="B1169" s="1">
        <v>0</v>
      </c>
      <c r="C1169" s="1" t="s">
        <v>26</v>
      </c>
      <c r="D1169" s="1" t="s">
        <v>27</v>
      </c>
      <c r="E1169" s="1" t="s">
        <v>1105</v>
      </c>
      <c r="F1169" s="1" t="s">
        <v>2777</v>
      </c>
      <c r="G1169" s="1" t="s">
        <v>23</v>
      </c>
      <c r="I1169" s="16">
        <v>40979.779305555552</v>
      </c>
      <c r="J1169" s="1" t="s">
        <v>44</v>
      </c>
      <c r="K1169" s="1" t="s">
        <v>18</v>
      </c>
      <c r="L1169" s="1" t="s">
        <v>19</v>
      </c>
    </row>
    <row r="1170" spans="1:16" ht="13" x14ac:dyDescent="0.15">
      <c r="A1170" s="1">
        <v>117724</v>
      </c>
      <c r="B1170" s="1">
        <v>0</v>
      </c>
      <c r="C1170" s="1" t="s">
        <v>2524</v>
      </c>
      <c r="D1170" s="1" t="s">
        <v>27</v>
      </c>
      <c r="E1170" s="1" t="s">
        <v>2778</v>
      </c>
      <c r="F1170" s="1" t="s">
        <v>2779</v>
      </c>
      <c r="G1170" s="1" t="s">
        <v>23</v>
      </c>
      <c r="I1170" s="16">
        <v>40979.738611111112</v>
      </c>
      <c r="J1170" s="1" t="s">
        <v>40</v>
      </c>
      <c r="K1170" s="1" t="s">
        <v>18</v>
      </c>
      <c r="L1170" s="1" t="s">
        <v>19</v>
      </c>
    </row>
    <row r="1171" spans="1:16" ht="13" x14ac:dyDescent="0.15">
      <c r="A1171" s="1">
        <v>53640</v>
      </c>
      <c r="B1171" s="1">
        <v>0</v>
      </c>
      <c r="C1171" s="1" t="s">
        <v>26</v>
      </c>
      <c r="D1171" s="1" t="s">
        <v>27</v>
      </c>
      <c r="E1171" s="1" t="s">
        <v>2780</v>
      </c>
      <c r="F1171" s="1" t="s">
        <v>862</v>
      </c>
      <c r="G1171" s="1" t="s">
        <v>23</v>
      </c>
      <c r="I1171" s="16">
        <v>40417.877384259256</v>
      </c>
      <c r="J1171" s="1" t="s">
        <v>40</v>
      </c>
      <c r="K1171" s="1" t="s">
        <v>18</v>
      </c>
      <c r="L1171" s="1" t="s">
        <v>19</v>
      </c>
    </row>
    <row r="1172" spans="1:16" ht="13" x14ac:dyDescent="0.15">
      <c r="A1172" s="1">
        <v>57347</v>
      </c>
      <c r="B1172" s="1">
        <v>0</v>
      </c>
      <c r="C1172" s="1" t="s">
        <v>26</v>
      </c>
      <c r="D1172" s="1" t="s">
        <v>27</v>
      </c>
      <c r="E1172" s="1" t="s">
        <v>2781</v>
      </c>
      <c r="F1172" s="1" t="s">
        <v>2587</v>
      </c>
      <c r="I1172" s="16">
        <v>40450.962754629632</v>
      </c>
      <c r="J1172" s="1" t="s">
        <v>40</v>
      </c>
      <c r="K1172" s="1" t="s">
        <v>18</v>
      </c>
      <c r="L1172" s="1" t="s">
        <v>19</v>
      </c>
    </row>
    <row r="1173" spans="1:16" ht="13" x14ac:dyDescent="0.15">
      <c r="A1173" s="1">
        <v>75155</v>
      </c>
      <c r="B1173" s="1">
        <v>0</v>
      </c>
      <c r="C1173" s="1" t="s">
        <v>26</v>
      </c>
      <c r="D1173" s="1" t="s">
        <v>27</v>
      </c>
      <c r="E1173" s="1" t="s">
        <v>2782</v>
      </c>
      <c r="F1173" s="1" t="s">
        <v>2783</v>
      </c>
      <c r="G1173" s="1" t="s">
        <v>540</v>
      </c>
      <c r="I1173" s="16">
        <v>40609.757071759261</v>
      </c>
      <c r="J1173" s="1" t="s">
        <v>40</v>
      </c>
      <c r="K1173" s="1" t="s">
        <v>18</v>
      </c>
      <c r="L1173" s="1" t="s">
        <v>19</v>
      </c>
    </row>
    <row r="1174" spans="1:16" ht="13" x14ac:dyDescent="0.15">
      <c r="A1174" s="1">
        <v>78053</v>
      </c>
      <c r="B1174" s="1">
        <v>1</v>
      </c>
      <c r="C1174" s="1" t="s">
        <v>26</v>
      </c>
      <c r="D1174" s="1" t="s">
        <v>27</v>
      </c>
      <c r="E1174" s="1" t="s">
        <v>2784</v>
      </c>
      <c r="F1174" s="1" t="s">
        <v>2785</v>
      </c>
      <c r="G1174" s="1" t="s">
        <v>23</v>
      </c>
      <c r="I1174" s="16">
        <v>40633.69159722222</v>
      </c>
      <c r="J1174" s="1" t="s">
        <v>40</v>
      </c>
      <c r="K1174" s="1" t="s">
        <v>18</v>
      </c>
      <c r="L1174" s="1" t="s">
        <v>19</v>
      </c>
      <c r="M1174" s="1">
        <v>75426</v>
      </c>
      <c r="N1174" s="1" t="s">
        <v>2786</v>
      </c>
      <c r="O1174" s="16">
        <v>40611.504131944443</v>
      </c>
      <c r="P1174" s="1" t="s">
        <v>2787</v>
      </c>
    </row>
    <row r="1175" spans="1:16" ht="13" x14ac:dyDescent="0.15">
      <c r="A1175" s="1">
        <v>696179</v>
      </c>
      <c r="B1175" s="1">
        <v>0</v>
      </c>
      <c r="C1175" s="1" t="s">
        <v>759</v>
      </c>
      <c r="D1175" s="1" t="s">
        <v>27</v>
      </c>
      <c r="E1175" s="1" t="s">
        <v>2788</v>
      </c>
      <c r="F1175" s="1" t="s">
        <v>2789</v>
      </c>
      <c r="G1175" s="1" t="s">
        <v>23</v>
      </c>
      <c r="I1175" s="16">
        <v>42791.549444444441</v>
      </c>
      <c r="J1175" s="1" t="s">
        <v>2790</v>
      </c>
      <c r="K1175" s="1" t="s">
        <v>18</v>
      </c>
      <c r="L1175" s="1" t="s">
        <v>19</v>
      </c>
    </row>
    <row r="1176" spans="1:16" ht="13" x14ac:dyDescent="0.15">
      <c r="A1176" s="1">
        <v>286414</v>
      </c>
      <c r="B1176" s="1">
        <v>1</v>
      </c>
      <c r="D1176" s="1" t="s">
        <v>27</v>
      </c>
      <c r="E1176" s="1" t="s">
        <v>2791</v>
      </c>
      <c r="F1176" s="1" t="s">
        <v>2792</v>
      </c>
      <c r="G1176" s="1" t="s">
        <v>23</v>
      </c>
      <c r="I1176" s="16">
        <v>41523.7891087963</v>
      </c>
      <c r="J1176" s="1" t="s">
        <v>330</v>
      </c>
      <c r="K1176" s="1" t="s">
        <v>18</v>
      </c>
      <c r="L1176" s="1" t="s">
        <v>19</v>
      </c>
      <c r="M1176" s="1">
        <v>287160</v>
      </c>
      <c r="N1176" s="1" t="s">
        <v>2793</v>
      </c>
      <c r="O1176" s="16">
        <v>41524.969513888886</v>
      </c>
      <c r="P1176" s="1" t="s">
        <v>68</v>
      </c>
    </row>
    <row r="1177" spans="1:16" ht="13" x14ac:dyDescent="0.15">
      <c r="A1177" s="1">
        <v>584223</v>
      </c>
      <c r="B1177" s="1">
        <v>0</v>
      </c>
      <c r="C1177" s="1" t="s">
        <v>12</v>
      </c>
      <c r="D1177" s="1" t="s">
        <v>27</v>
      </c>
      <c r="E1177" s="1" t="s">
        <v>2794</v>
      </c>
      <c r="F1177" s="1" t="s">
        <v>2795</v>
      </c>
      <c r="G1177" s="1" t="s">
        <v>16</v>
      </c>
      <c r="I1177" s="16">
        <v>42404.477893518517</v>
      </c>
      <c r="J1177" s="1" t="s">
        <v>17</v>
      </c>
      <c r="K1177" s="1" t="s">
        <v>18</v>
      </c>
      <c r="L1177" s="1" t="s">
        <v>19</v>
      </c>
    </row>
    <row r="1178" spans="1:16" ht="13" x14ac:dyDescent="0.15">
      <c r="A1178" s="1">
        <v>453126</v>
      </c>
      <c r="B1178" s="1">
        <v>0</v>
      </c>
      <c r="D1178" s="1" t="s">
        <v>27</v>
      </c>
      <c r="E1178" s="1" t="s">
        <v>2796</v>
      </c>
      <c r="F1178" s="1" t="s">
        <v>2797</v>
      </c>
      <c r="G1178" s="1" t="s">
        <v>16</v>
      </c>
      <c r="I1178" s="16">
        <v>42032.968275462961</v>
      </c>
      <c r="J1178" s="1" t="s">
        <v>2798</v>
      </c>
      <c r="K1178" s="1" t="s">
        <v>18</v>
      </c>
      <c r="L1178" s="1" t="s">
        <v>19</v>
      </c>
    </row>
    <row r="1179" spans="1:16" ht="13" x14ac:dyDescent="0.15">
      <c r="A1179" s="1">
        <v>293521</v>
      </c>
      <c r="B1179" s="1">
        <v>0</v>
      </c>
      <c r="C1179" s="1" t="s">
        <v>2799</v>
      </c>
      <c r="D1179" s="1" t="s">
        <v>27</v>
      </c>
      <c r="E1179" s="1" t="s">
        <v>2800</v>
      </c>
      <c r="F1179" s="1" t="s">
        <v>2801</v>
      </c>
      <c r="G1179" s="1" t="s">
        <v>23</v>
      </c>
      <c r="I1179" s="16">
        <v>41534.695729166669</v>
      </c>
      <c r="J1179" s="1" t="s">
        <v>17</v>
      </c>
      <c r="K1179" s="1" t="s">
        <v>18</v>
      </c>
      <c r="L1179" s="1" t="s">
        <v>19</v>
      </c>
    </row>
    <row r="1180" spans="1:16" ht="13" x14ac:dyDescent="0.15">
      <c r="A1180" s="1">
        <v>152707</v>
      </c>
      <c r="B1180" s="1">
        <v>1</v>
      </c>
      <c r="C1180" s="1" t="s">
        <v>514</v>
      </c>
      <c r="D1180" s="1" t="s">
        <v>27</v>
      </c>
      <c r="E1180" s="1" t="s">
        <v>2802</v>
      </c>
      <c r="F1180" s="1" t="s">
        <v>2803</v>
      </c>
      <c r="I1180" s="16">
        <v>41179.709837962961</v>
      </c>
      <c r="J1180" s="1" t="s">
        <v>408</v>
      </c>
      <c r="K1180" s="1" t="s">
        <v>18</v>
      </c>
      <c r="L1180" s="1" t="s">
        <v>19</v>
      </c>
      <c r="M1180" s="1">
        <v>153243</v>
      </c>
      <c r="N1180" s="1" t="s">
        <v>2804</v>
      </c>
      <c r="O1180" s="16">
        <v>41183.296736111108</v>
      </c>
      <c r="P1180" s="1" t="s">
        <v>44</v>
      </c>
    </row>
    <row r="1181" spans="1:16" ht="13" x14ac:dyDescent="0.15">
      <c r="A1181" s="1">
        <v>679653</v>
      </c>
      <c r="B1181" s="1">
        <v>0</v>
      </c>
      <c r="C1181" s="1" t="s">
        <v>462</v>
      </c>
      <c r="D1181" s="1" t="s">
        <v>27</v>
      </c>
      <c r="E1181" s="1" t="s">
        <v>2805</v>
      </c>
      <c r="F1181" s="1" t="s">
        <v>2806</v>
      </c>
      <c r="G1181" s="1" t="s">
        <v>23</v>
      </c>
      <c r="I1181" s="16">
        <v>42745.354826388888</v>
      </c>
      <c r="J1181" s="1" t="s">
        <v>465</v>
      </c>
      <c r="K1181" s="1" t="s">
        <v>18</v>
      </c>
      <c r="L1181" s="1" t="s">
        <v>19</v>
      </c>
    </row>
    <row r="1182" spans="1:16" ht="13" x14ac:dyDescent="0.15">
      <c r="A1182" s="1">
        <v>91120</v>
      </c>
      <c r="B1182" s="1">
        <v>0</v>
      </c>
      <c r="D1182" s="1" t="s">
        <v>27</v>
      </c>
      <c r="E1182" s="1" t="s">
        <v>2807</v>
      </c>
      <c r="F1182" s="1" t="s">
        <v>2808</v>
      </c>
      <c r="I1182" s="16">
        <v>40755.405763888892</v>
      </c>
      <c r="J1182" s="1" t="s">
        <v>958</v>
      </c>
      <c r="K1182" s="1" t="s">
        <v>18</v>
      </c>
      <c r="L1182" s="1" t="s">
        <v>19</v>
      </c>
    </row>
    <row r="1183" spans="1:16" ht="13" x14ac:dyDescent="0.15">
      <c r="A1183" s="1">
        <v>630654</v>
      </c>
      <c r="B1183" s="1">
        <v>0</v>
      </c>
      <c r="C1183" s="1" t="s">
        <v>12</v>
      </c>
      <c r="D1183" s="1" t="s">
        <v>27</v>
      </c>
      <c r="E1183" s="1" t="s">
        <v>2809</v>
      </c>
      <c r="F1183" s="1" t="s">
        <v>2810</v>
      </c>
      <c r="G1183" s="1" t="s">
        <v>23</v>
      </c>
      <c r="I1183" s="16">
        <v>42573.685474537036</v>
      </c>
      <c r="J1183" s="1" t="s">
        <v>76</v>
      </c>
      <c r="K1183" s="1" t="s">
        <v>18</v>
      </c>
      <c r="L1183" s="1" t="s">
        <v>19</v>
      </c>
    </row>
    <row r="1184" spans="1:16" ht="13" x14ac:dyDescent="0.15">
      <c r="A1184" s="1">
        <v>144799</v>
      </c>
      <c r="B1184" s="1">
        <v>0</v>
      </c>
      <c r="C1184" s="1" t="s">
        <v>26</v>
      </c>
      <c r="D1184" s="1" t="s">
        <v>27</v>
      </c>
      <c r="E1184" s="1" t="s">
        <v>2811</v>
      </c>
      <c r="F1184" s="1" t="s">
        <v>2812</v>
      </c>
      <c r="G1184" s="1" t="s">
        <v>23</v>
      </c>
      <c r="I1184" s="16">
        <v>41146.276724537034</v>
      </c>
      <c r="J1184" s="1" t="s">
        <v>155</v>
      </c>
      <c r="K1184" s="1" t="s">
        <v>18</v>
      </c>
      <c r="L1184" s="1" t="s">
        <v>19</v>
      </c>
    </row>
    <row r="1185" spans="1:16" ht="13" x14ac:dyDescent="0.15">
      <c r="A1185" s="1">
        <v>151424</v>
      </c>
      <c r="B1185" s="1">
        <v>0</v>
      </c>
      <c r="D1185" s="1" t="s">
        <v>27</v>
      </c>
      <c r="E1185" s="1" t="s">
        <v>2813</v>
      </c>
      <c r="F1185" s="1" t="s">
        <v>2814</v>
      </c>
      <c r="I1185" s="16">
        <v>41172.936516203707</v>
      </c>
      <c r="J1185" s="1" t="s">
        <v>779</v>
      </c>
      <c r="K1185" s="1" t="s">
        <v>18</v>
      </c>
      <c r="L1185" s="1" t="s">
        <v>19</v>
      </c>
    </row>
    <row r="1186" spans="1:16" ht="13" x14ac:dyDescent="0.15">
      <c r="A1186" s="1">
        <v>358038</v>
      </c>
      <c r="B1186" s="1">
        <v>0</v>
      </c>
      <c r="C1186" s="1" t="s">
        <v>2815</v>
      </c>
      <c r="D1186" s="1" t="s">
        <v>27</v>
      </c>
      <c r="E1186" s="1" t="s">
        <v>2816</v>
      </c>
      <c r="F1186" s="1" t="s">
        <v>2817</v>
      </c>
      <c r="I1186" s="16">
        <v>41728.934166666666</v>
      </c>
      <c r="J1186" s="1" t="s">
        <v>860</v>
      </c>
      <c r="K1186" s="1" t="s">
        <v>18</v>
      </c>
      <c r="L1186" s="1" t="s">
        <v>19</v>
      </c>
    </row>
    <row r="1187" spans="1:16" ht="13" x14ac:dyDescent="0.15">
      <c r="A1187" s="1">
        <v>93788</v>
      </c>
      <c r="B1187" s="1">
        <v>0</v>
      </c>
      <c r="C1187" s="1" t="s">
        <v>133</v>
      </c>
      <c r="D1187" s="1" t="s">
        <v>27</v>
      </c>
      <c r="E1187" s="1" t="s">
        <v>2818</v>
      </c>
      <c r="F1187" s="1" t="s">
        <v>2819</v>
      </c>
      <c r="G1187" s="1" t="s">
        <v>23</v>
      </c>
      <c r="I1187" s="16">
        <v>40777.866805555554</v>
      </c>
      <c r="J1187" s="1" t="s">
        <v>44</v>
      </c>
      <c r="K1187" s="1" t="s">
        <v>18</v>
      </c>
      <c r="L1187" s="1" t="s">
        <v>19</v>
      </c>
    </row>
    <row r="1188" spans="1:16" ht="13" x14ac:dyDescent="0.15">
      <c r="A1188" s="1">
        <v>612049</v>
      </c>
      <c r="B1188" s="1">
        <v>0</v>
      </c>
      <c r="C1188" s="1" t="s">
        <v>50</v>
      </c>
      <c r="D1188" s="1" t="s">
        <v>27</v>
      </c>
      <c r="E1188" s="1" t="s">
        <v>2820</v>
      </c>
      <c r="F1188" s="1" t="s">
        <v>2821</v>
      </c>
      <c r="G1188" s="1" t="s">
        <v>2822</v>
      </c>
      <c r="I1188" s="16">
        <v>42505.839270833334</v>
      </c>
      <c r="J1188" s="1" t="s">
        <v>17</v>
      </c>
      <c r="K1188" s="1" t="s">
        <v>18</v>
      </c>
      <c r="L1188" s="1" t="s">
        <v>19</v>
      </c>
    </row>
    <row r="1189" spans="1:16" ht="13" x14ac:dyDescent="0.15">
      <c r="A1189" s="1">
        <v>232393</v>
      </c>
      <c r="B1189" s="1">
        <v>0</v>
      </c>
      <c r="C1189" s="1" t="s">
        <v>2823</v>
      </c>
      <c r="D1189" s="1" t="s">
        <v>27</v>
      </c>
      <c r="E1189" s="1" t="s">
        <v>2824</v>
      </c>
      <c r="F1189" s="1" t="s">
        <v>288</v>
      </c>
      <c r="G1189" s="1" t="s">
        <v>23</v>
      </c>
      <c r="I1189" s="16">
        <v>41381.613020833334</v>
      </c>
      <c r="J1189" s="1" t="s">
        <v>40</v>
      </c>
      <c r="K1189" s="1" t="s">
        <v>18</v>
      </c>
      <c r="L1189" s="1" t="s">
        <v>19</v>
      </c>
    </row>
    <row r="1190" spans="1:16" ht="13" x14ac:dyDescent="0.15">
      <c r="A1190" s="1">
        <v>125462</v>
      </c>
      <c r="B1190" s="1">
        <v>0</v>
      </c>
      <c r="C1190" s="1" t="s">
        <v>170</v>
      </c>
      <c r="D1190" s="1" t="s">
        <v>27</v>
      </c>
      <c r="E1190" s="1" t="s">
        <v>2825</v>
      </c>
      <c r="F1190" s="1" t="s">
        <v>2826</v>
      </c>
      <c r="G1190" s="1" t="s">
        <v>23</v>
      </c>
      <c r="I1190" s="16">
        <v>41027.539409722223</v>
      </c>
      <c r="J1190" s="1" t="s">
        <v>376</v>
      </c>
      <c r="K1190" s="1" t="s">
        <v>18</v>
      </c>
      <c r="L1190" s="1" t="s">
        <v>19</v>
      </c>
    </row>
    <row r="1191" spans="1:16" ht="13" x14ac:dyDescent="0.15">
      <c r="A1191" s="1">
        <v>30525</v>
      </c>
      <c r="B1191" s="1">
        <v>0</v>
      </c>
      <c r="C1191" s="1" t="s">
        <v>26</v>
      </c>
      <c r="D1191" s="1" t="s">
        <v>27</v>
      </c>
      <c r="E1191" s="1" t="s">
        <v>2827</v>
      </c>
      <c r="F1191" s="1" t="s">
        <v>2828</v>
      </c>
      <c r="G1191" s="1" t="s">
        <v>23</v>
      </c>
      <c r="I1191" s="16">
        <v>40163.039085648146</v>
      </c>
      <c r="J1191" s="1" t="s">
        <v>435</v>
      </c>
      <c r="K1191" s="1" t="s">
        <v>18</v>
      </c>
      <c r="L1191" s="1" t="s">
        <v>19</v>
      </c>
    </row>
    <row r="1192" spans="1:16" ht="13" x14ac:dyDescent="0.15">
      <c r="A1192" s="1">
        <v>132019</v>
      </c>
      <c r="B1192" s="1">
        <v>0</v>
      </c>
      <c r="C1192" s="1" t="s">
        <v>26</v>
      </c>
      <c r="D1192" s="1" t="s">
        <v>27</v>
      </c>
      <c r="E1192" s="1" t="s">
        <v>291</v>
      </c>
      <c r="F1192" s="1" t="s">
        <v>162</v>
      </c>
      <c r="G1192" s="1" t="s">
        <v>23</v>
      </c>
      <c r="I1192" s="16">
        <v>41070.924189814818</v>
      </c>
      <c r="J1192" s="1" t="s">
        <v>40</v>
      </c>
      <c r="K1192" s="1" t="s">
        <v>18</v>
      </c>
      <c r="L1192" s="1" t="s">
        <v>19</v>
      </c>
    </row>
    <row r="1193" spans="1:16" ht="13" x14ac:dyDescent="0.15">
      <c r="A1193" s="1">
        <v>29577</v>
      </c>
      <c r="B1193" s="1">
        <v>0</v>
      </c>
      <c r="C1193" s="1" t="s">
        <v>26</v>
      </c>
      <c r="D1193" s="1" t="s">
        <v>27</v>
      </c>
      <c r="E1193" s="1" t="s">
        <v>2829</v>
      </c>
      <c r="F1193" s="1" t="s">
        <v>2830</v>
      </c>
      <c r="G1193" s="1" t="s">
        <v>23</v>
      </c>
      <c r="I1193" s="16">
        <v>40154.703553240739</v>
      </c>
      <c r="J1193" s="1" t="s">
        <v>2831</v>
      </c>
      <c r="K1193" s="1" t="s">
        <v>18</v>
      </c>
      <c r="L1193" s="1" t="s">
        <v>19</v>
      </c>
    </row>
    <row r="1194" spans="1:16" ht="13" x14ac:dyDescent="0.15">
      <c r="A1194" s="1">
        <v>242224</v>
      </c>
      <c r="B1194" s="1">
        <v>0</v>
      </c>
      <c r="C1194" s="1" t="s">
        <v>522</v>
      </c>
      <c r="D1194" s="1" t="s">
        <v>27</v>
      </c>
      <c r="E1194" s="1" t="s">
        <v>2832</v>
      </c>
      <c r="F1194" s="1" t="s">
        <v>2833</v>
      </c>
      <c r="G1194" s="1" t="s">
        <v>23</v>
      </c>
      <c r="I1194" s="16">
        <v>41414.732615740744</v>
      </c>
      <c r="J1194" s="1" t="s">
        <v>44</v>
      </c>
      <c r="K1194" s="1" t="s">
        <v>18</v>
      </c>
      <c r="L1194" s="1" t="s">
        <v>19</v>
      </c>
    </row>
    <row r="1195" spans="1:16" ht="13" x14ac:dyDescent="0.15">
      <c r="A1195" s="1">
        <v>129951</v>
      </c>
      <c r="B1195" s="1">
        <v>0</v>
      </c>
      <c r="C1195" s="1" t="s">
        <v>2834</v>
      </c>
      <c r="D1195" s="1" t="s">
        <v>27</v>
      </c>
      <c r="E1195" s="1" t="s">
        <v>2835</v>
      </c>
      <c r="F1195" s="1" t="s">
        <v>2836</v>
      </c>
      <c r="G1195" s="1" t="s">
        <v>23</v>
      </c>
      <c r="I1195" s="16">
        <v>41056.805069444446</v>
      </c>
      <c r="J1195" s="1" t="s">
        <v>44</v>
      </c>
      <c r="K1195" s="1" t="s">
        <v>18</v>
      </c>
      <c r="L1195" s="1" t="s">
        <v>19</v>
      </c>
    </row>
    <row r="1196" spans="1:16" ht="13" x14ac:dyDescent="0.15">
      <c r="A1196" s="1">
        <v>266593</v>
      </c>
      <c r="B1196" s="1">
        <v>0</v>
      </c>
      <c r="C1196" s="1" t="s">
        <v>26</v>
      </c>
      <c r="D1196" s="1" t="s">
        <v>27</v>
      </c>
      <c r="E1196" s="1" t="s">
        <v>2837</v>
      </c>
      <c r="F1196" s="1" t="s">
        <v>1230</v>
      </c>
      <c r="G1196" s="1" t="s">
        <v>23</v>
      </c>
      <c r="I1196" s="16">
        <v>41486.990925925929</v>
      </c>
      <c r="J1196" s="1" t="s">
        <v>718</v>
      </c>
      <c r="K1196" s="1" t="s">
        <v>18</v>
      </c>
      <c r="L1196" s="1" t="s">
        <v>19</v>
      </c>
    </row>
    <row r="1197" spans="1:16" ht="13" x14ac:dyDescent="0.15">
      <c r="A1197" s="1">
        <v>82552</v>
      </c>
      <c r="B1197" s="1">
        <v>1</v>
      </c>
      <c r="C1197" s="1" t="s">
        <v>133</v>
      </c>
      <c r="D1197" s="1" t="s">
        <v>27</v>
      </c>
      <c r="E1197" s="1" t="s">
        <v>2838</v>
      </c>
      <c r="F1197" s="1" t="s">
        <v>2839</v>
      </c>
      <c r="G1197" s="1" t="s">
        <v>23</v>
      </c>
      <c r="I1197" s="16">
        <v>40676.684733796297</v>
      </c>
      <c r="J1197" s="1" t="s">
        <v>148</v>
      </c>
      <c r="K1197" s="1" t="s">
        <v>18</v>
      </c>
      <c r="L1197" s="1" t="s">
        <v>19</v>
      </c>
      <c r="M1197" s="1">
        <v>90672</v>
      </c>
      <c r="N1197" s="1" t="s">
        <v>2840</v>
      </c>
      <c r="O1197" s="16">
        <v>40751.659062500003</v>
      </c>
      <c r="P1197" s="1" t="s">
        <v>44</v>
      </c>
    </row>
    <row r="1198" spans="1:16" ht="13" x14ac:dyDescent="0.15">
      <c r="A1198" s="1">
        <v>157124</v>
      </c>
      <c r="B1198" s="1">
        <v>0</v>
      </c>
      <c r="C1198" s="1" t="s">
        <v>26</v>
      </c>
      <c r="D1198" s="1" t="s">
        <v>27</v>
      </c>
      <c r="E1198" s="1" t="s">
        <v>2841</v>
      </c>
      <c r="F1198" s="1" t="s">
        <v>120</v>
      </c>
      <c r="G1198" s="1" t="s">
        <v>23</v>
      </c>
      <c r="I1198" s="16">
        <v>41204.493738425925</v>
      </c>
      <c r="J1198" s="1" t="s">
        <v>1323</v>
      </c>
      <c r="K1198" s="1" t="s">
        <v>18</v>
      </c>
      <c r="L1198" s="1" t="s">
        <v>19</v>
      </c>
    </row>
    <row r="1199" spans="1:16" ht="13" x14ac:dyDescent="0.15">
      <c r="A1199" s="1">
        <v>345959</v>
      </c>
      <c r="B1199" s="1">
        <v>0</v>
      </c>
      <c r="D1199" s="1" t="s">
        <v>27</v>
      </c>
      <c r="E1199" s="1" t="s">
        <v>2842</v>
      </c>
      <c r="F1199" s="1" t="s">
        <v>2843</v>
      </c>
      <c r="G1199" s="1" t="s">
        <v>23</v>
      </c>
      <c r="I1199" s="16">
        <v>41692.086539351854</v>
      </c>
      <c r="J1199" s="1" t="s">
        <v>151</v>
      </c>
      <c r="K1199" s="1" t="s">
        <v>18</v>
      </c>
      <c r="L1199" s="1" t="s">
        <v>19</v>
      </c>
    </row>
    <row r="1200" spans="1:16" ht="13" x14ac:dyDescent="0.15">
      <c r="A1200" s="1">
        <v>403665</v>
      </c>
      <c r="B1200" s="1">
        <v>0</v>
      </c>
      <c r="D1200" s="1" t="s">
        <v>27</v>
      </c>
      <c r="E1200" s="1" t="s">
        <v>2844</v>
      </c>
      <c r="F1200" s="1" t="s">
        <v>2845</v>
      </c>
      <c r="G1200" s="1" t="s">
        <v>23</v>
      </c>
      <c r="I1200" s="16">
        <v>41865.241284722222</v>
      </c>
      <c r="J1200" s="1" t="s">
        <v>17</v>
      </c>
      <c r="K1200" s="1" t="s">
        <v>18</v>
      </c>
      <c r="L1200" s="1" t="s">
        <v>19</v>
      </c>
    </row>
    <row r="1201" spans="1:20" ht="13" x14ac:dyDescent="0.15">
      <c r="A1201" s="1">
        <v>106413</v>
      </c>
      <c r="B1201" s="1">
        <v>2</v>
      </c>
      <c r="C1201" s="1" t="s">
        <v>26</v>
      </c>
      <c r="D1201" s="1" t="s">
        <v>27</v>
      </c>
      <c r="E1201" s="1" t="s">
        <v>473</v>
      </c>
      <c r="F1201" s="1" t="s">
        <v>2846</v>
      </c>
      <c r="G1201" s="1" t="s">
        <v>23</v>
      </c>
      <c r="I1201" s="16">
        <v>40882.744270833333</v>
      </c>
      <c r="J1201" s="1" t="s">
        <v>40</v>
      </c>
      <c r="K1201" s="1" t="s">
        <v>18</v>
      </c>
      <c r="L1201" s="1" t="s">
        <v>19</v>
      </c>
      <c r="M1201" s="1">
        <v>112438</v>
      </c>
      <c r="N1201" s="1" t="s">
        <v>2847</v>
      </c>
      <c r="O1201" s="16">
        <v>40941.412858796299</v>
      </c>
      <c r="P1201" s="1" t="s">
        <v>2848</v>
      </c>
      <c r="Q1201" s="1">
        <v>112136</v>
      </c>
      <c r="R1201" s="1" t="s">
        <v>2847</v>
      </c>
      <c r="S1201" s="2">
        <v>40939.819988425923</v>
      </c>
      <c r="T1201" s="1" t="s">
        <v>44</v>
      </c>
    </row>
    <row r="1202" spans="1:20" ht="13" x14ac:dyDescent="0.15">
      <c r="A1202" s="1">
        <v>561478</v>
      </c>
      <c r="B1202" s="1">
        <v>0</v>
      </c>
      <c r="C1202" s="1" t="s">
        <v>12</v>
      </c>
      <c r="D1202" s="1" t="s">
        <v>27</v>
      </c>
      <c r="E1202" s="1" t="s">
        <v>2499</v>
      </c>
      <c r="F1202" s="1" t="s">
        <v>2849</v>
      </c>
      <c r="G1202" s="1" t="s">
        <v>23</v>
      </c>
      <c r="I1202" s="16">
        <v>42333.597326388888</v>
      </c>
      <c r="J1202" s="1" t="s">
        <v>17</v>
      </c>
      <c r="K1202" s="1" t="s">
        <v>18</v>
      </c>
      <c r="L1202" s="1" t="s">
        <v>19</v>
      </c>
    </row>
    <row r="1203" spans="1:20" ht="13" x14ac:dyDescent="0.15">
      <c r="A1203" s="1">
        <v>556724</v>
      </c>
      <c r="B1203" s="1">
        <v>0</v>
      </c>
      <c r="C1203" s="1" t="s">
        <v>1426</v>
      </c>
      <c r="D1203" s="1" t="s">
        <v>27</v>
      </c>
      <c r="E1203" s="1" t="s">
        <v>2850</v>
      </c>
      <c r="F1203" s="1" t="s">
        <v>2851</v>
      </c>
      <c r="G1203" s="1" t="s">
        <v>23</v>
      </c>
      <c r="I1203" s="16">
        <v>42324.930046296293</v>
      </c>
      <c r="J1203" s="1" t="s">
        <v>247</v>
      </c>
      <c r="K1203" s="1" t="s">
        <v>18</v>
      </c>
      <c r="L1203" s="1" t="s">
        <v>19</v>
      </c>
    </row>
    <row r="1204" spans="1:20" ht="13" x14ac:dyDescent="0.15">
      <c r="A1204" s="1">
        <v>612364</v>
      </c>
      <c r="B1204" s="1">
        <v>0</v>
      </c>
      <c r="C1204" s="1" t="s">
        <v>2173</v>
      </c>
      <c r="D1204" s="1" t="s">
        <v>27</v>
      </c>
      <c r="E1204" s="1" t="s">
        <v>2852</v>
      </c>
      <c r="F1204" s="1" t="s">
        <v>2853</v>
      </c>
      <c r="G1204" s="1" t="s">
        <v>23</v>
      </c>
      <c r="I1204" s="16">
        <v>42507.084849537037</v>
      </c>
      <c r="J1204" s="1" t="s">
        <v>454</v>
      </c>
      <c r="K1204" s="1" t="s">
        <v>18</v>
      </c>
      <c r="L1204" s="1" t="s">
        <v>19</v>
      </c>
    </row>
    <row r="1205" spans="1:20" ht="13" x14ac:dyDescent="0.15">
      <c r="A1205" s="1">
        <v>402957</v>
      </c>
      <c r="B1205" s="1">
        <v>0</v>
      </c>
      <c r="C1205" s="1" t="s">
        <v>2854</v>
      </c>
      <c r="D1205" s="1" t="s">
        <v>27</v>
      </c>
      <c r="E1205" s="1" t="s">
        <v>2855</v>
      </c>
      <c r="F1205" s="1" t="s">
        <v>2856</v>
      </c>
      <c r="G1205" s="1" t="s">
        <v>159</v>
      </c>
      <c r="I1205" s="16">
        <v>41863.740925925929</v>
      </c>
      <c r="J1205" s="1" t="s">
        <v>98</v>
      </c>
      <c r="K1205" s="1" t="s">
        <v>18</v>
      </c>
      <c r="L1205" s="1" t="s">
        <v>19</v>
      </c>
    </row>
    <row r="1206" spans="1:20" ht="13" x14ac:dyDescent="0.15">
      <c r="A1206" s="1">
        <v>40445</v>
      </c>
      <c r="B1206" s="1">
        <v>0</v>
      </c>
      <c r="C1206" s="1" t="s">
        <v>26</v>
      </c>
      <c r="D1206" s="1" t="s">
        <v>27</v>
      </c>
      <c r="E1206" s="1" t="s">
        <v>2857</v>
      </c>
      <c r="F1206" s="1" t="s">
        <v>2858</v>
      </c>
      <c r="I1206" s="16">
        <v>40273.823333333334</v>
      </c>
      <c r="J1206" s="1" t="s">
        <v>173</v>
      </c>
      <c r="K1206" s="1" t="s">
        <v>18</v>
      </c>
      <c r="L1206" s="1" t="s">
        <v>19</v>
      </c>
    </row>
    <row r="1207" spans="1:20" ht="13" x14ac:dyDescent="0.15">
      <c r="A1207" s="1">
        <v>88846</v>
      </c>
      <c r="B1207" s="1">
        <v>0</v>
      </c>
      <c r="C1207" s="1" t="s">
        <v>26</v>
      </c>
      <c r="D1207" s="1" t="s">
        <v>27</v>
      </c>
      <c r="E1207" s="1" t="s">
        <v>2859</v>
      </c>
      <c r="F1207" s="1" t="s">
        <v>2860</v>
      </c>
      <c r="G1207" s="1" t="s">
        <v>23</v>
      </c>
      <c r="I1207" s="16">
        <v>40734.317118055558</v>
      </c>
      <c r="J1207" s="1" t="s">
        <v>44</v>
      </c>
      <c r="K1207" s="1" t="s">
        <v>18</v>
      </c>
      <c r="L1207" s="1" t="s">
        <v>19</v>
      </c>
    </row>
    <row r="1208" spans="1:20" ht="13" x14ac:dyDescent="0.15">
      <c r="A1208" s="1">
        <v>350537</v>
      </c>
      <c r="B1208" s="1">
        <v>0</v>
      </c>
      <c r="C1208" s="1" t="s">
        <v>953</v>
      </c>
      <c r="D1208" s="1" t="s">
        <v>27</v>
      </c>
      <c r="E1208" s="1" t="s">
        <v>2861</v>
      </c>
      <c r="F1208" s="1" t="s">
        <v>2862</v>
      </c>
      <c r="G1208" s="1" t="s">
        <v>23</v>
      </c>
      <c r="I1208" s="16">
        <v>41705.928368055553</v>
      </c>
      <c r="J1208" s="1" t="s">
        <v>17</v>
      </c>
      <c r="K1208" s="1" t="s">
        <v>18</v>
      </c>
      <c r="L1208" s="1" t="s">
        <v>19</v>
      </c>
    </row>
    <row r="1209" spans="1:20" ht="13" x14ac:dyDescent="0.15">
      <c r="A1209" s="1">
        <v>383703</v>
      </c>
      <c r="B1209" s="1">
        <v>1</v>
      </c>
      <c r="D1209" s="1" t="s">
        <v>27</v>
      </c>
      <c r="E1209" s="1" t="s">
        <v>2863</v>
      </c>
      <c r="F1209" s="1" t="s">
        <v>2864</v>
      </c>
      <c r="G1209" s="1" t="s">
        <v>23</v>
      </c>
      <c r="I1209" s="16">
        <v>41802.124710648146</v>
      </c>
      <c r="J1209" s="1" t="s">
        <v>155</v>
      </c>
      <c r="K1209" s="1" t="s">
        <v>18</v>
      </c>
      <c r="L1209" s="1" t="s">
        <v>19</v>
      </c>
      <c r="M1209" s="1">
        <v>387165</v>
      </c>
      <c r="N1209" s="1" t="s">
        <v>2865</v>
      </c>
      <c r="O1209" s="16">
        <v>41810.80877314815</v>
      </c>
      <c r="P1209" s="1" t="s">
        <v>80</v>
      </c>
    </row>
    <row r="1210" spans="1:20" ht="13" x14ac:dyDescent="0.15">
      <c r="A1210" s="1">
        <v>319477</v>
      </c>
      <c r="B1210" s="1">
        <v>0</v>
      </c>
      <c r="C1210" s="1" t="s">
        <v>2866</v>
      </c>
      <c r="D1210" s="1" t="s">
        <v>27</v>
      </c>
      <c r="E1210" s="1" t="s">
        <v>2867</v>
      </c>
      <c r="F1210" s="1" t="s">
        <v>2868</v>
      </c>
      <c r="G1210" s="1" t="s">
        <v>23</v>
      </c>
      <c r="I1210" s="16">
        <v>41592.840092592596</v>
      </c>
      <c r="J1210" s="1" t="s">
        <v>193</v>
      </c>
      <c r="K1210" s="1" t="s">
        <v>18</v>
      </c>
      <c r="L1210" s="1" t="s">
        <v>19</v>
      </c>
    </row>
    <row r="1211" spans="1:20" ht="13" x14ac:dyDescent="0.15">
      <c r="A1211" s="1">
        <v>99167</v>
      </c>
      <c r="B1211" s="1">
        <v>0</v>
      </c>
      <c r="C1211" s="1" t="s">
        <v>843</v>
      </c>
      <c r="D1211" s="1" t="s">
        <v>27</v>
      </c>
      <c r="E1211" s="1" t="s">
        <v>2869</v>
      </c>
      <c r="F1211" s="1" t="s">
        <v>2870</v>
      </c>
      <c r="G1211" s="1" t="s">
        <v>23</v>
      </c>
      <c r="I1211" s="16">
        <v>40821.619375000002</v>
      </c>
      <c r="J1211" s="1" t="s">
        <v>958</v>
      </c>
      <c r="K1211" s="1" t="s">
        <v>18</v>
      </c>
      <c r="L1211" s="1" t="s">
        <v>19</v>
      </c>
    </row>
    <row r="1212" spans="1:20" ht="13" x14ac:dyDescent="0.15">
      <c r="A1212" s="1">
        <v>180920</v>
      </c>
      <c r="B1212" s="1">
        <v>1</v>
      </c>
      <c r="C1212" s="1" t="s">
        <v>26</v>
      </c>
      <c r="D1212" s="1" t="s">
        <v>27</v>
      </c>
      <c r="E1212" s="1" t="s">
        <v>2756</v>
      </c>
      <c r="F1212" s="1" t="s">
        <v>1481</v>
      </c>
      <c r="G1212" s="1" t="s">
        <v>23</v>
      </c>
      <c r="I1212" s="16">
        <v>41340.740555555552</v>
      </c>
      <c r="J1212" s="1" t="s">
        <v>155</v>
      </c>
      <c r="K1212" s="1" t="s">
        <v>18</v>
      </c>
      <c r="L1212" s="1" t="s">
        <v>19</v>
      </c>
      <c r="M1212" s="1">
        <v>229434</v>
      </c>
      <c r="N1212" s="1" t="s">
        <v>2871</v>
      </c>
      <c r="O1212" s="16">
        <v>41373.654513888891</v>
      </c>
      <c r="P1212" s="1" t="s">
        <v>2872</v>
      </c>
    </row>
    <row r="1213" spans="1:20" ht="13" x14ac:dyDescent="0.15">
      <c r="A1213" s="1">
        <v>64559</v>
      </c>
      <c r="B1213" s="1">
        <v>0</v>
      </c>
      <c r="C1213" s="1" t="s">
        <v>26</v>
      </c>
      <c r="D1213" s="1" t="s">
        <v>27</v>
      </c>
      <c r="E1213" s="1" t="s">
        <v>2873</v>
      </c>
      <c r="F1213" s="1" t="s">
        <v>720</v>
      </c>
      <c r="G1213" s="1" t="s">
        <v>23</v>
      </c>
      <c r="I1213" s="16">
        <v>40510.267893518518</v>
      </c>
      <c r="J1213" s="1" t="s">
        <v>40</v>
      </c>
      <c r="K1213" s="1" t="s">
        <v>18</v>
      </c>
      <c r="L1213" s="1" t="s">
        <v>19</v>
      </c>
    </row>
    <row r="1214" spans="1:20" ht="13" x14ac:dyDescent="0.15">
      <c r="A1214" s="1">
        <v>613160</v>
      </c>
      <c r="B1214" s="1">
        <v>0</v>
      </c>
      <c r="C1214" s="1" t="s">
        <v>12</v>
      </c>
      <c r="D1214" s="1" t="s">
        <v>27</v>
      </c>
      <c r="E1214" s="1" t="s">
        <v>2874</v>
      </c>
      <c r="F1214" s="1" t="s">
        <v>2875</v>
      </c>
      <c r="G1214" s="1" t="s">
        <v>159</v>
      </c>
      <c r="I1214" s="16">
        <v>42509.564421296294</v>
      </c>
      <c r="J1214" s="1" t="s">
        <v>2876</v>
      </c>
      <c r="K1214" s="1" t="s">
        <v>18</v>
      </c>
      <c r="L1214" s="1" t="s">
        <v>19</v>
      </c>
    </row>
    <row r="1215" spans="1:20" ht="13" x14ac:dyDescent="0.15">
      <c r="A1215" s="1">
        <v>78516</v>
      </c>
      <c r="B1215" s="1">
        <v>0</v>
      </c>
      <c r="C1215" s="1" t="s">
        <v>170</v>
      </c>
      <c r="D1215" s="1" t="s">
        <v>27</v>
      </c>
      <c r="E1215" s="1" t="s">
        <v>2877</v>
      </c>
      <c r="F1215" s="1" t="s">
        <v>2878</v>
      </c>
      <c r="G1215" s="1" t="s">
        <v>23</v>
      </c>
      <c r="I1215" s="16">
        <v>40638.956192129626</v>
      </c>
      <c r="J1215" s="1" t="s">
        <v>40</v>
      </c>
      <c r="K1215" s="1" t="s">
        <v>18</v>
      </c>
      <c r="L1215" s="1" t="s">
        <v>19</v>
      </c>
    </row>
    <row r="1216" spans="1:20" ht="13" x14ac:dyDescent="0.15">
      <c r="A1216" s="1">
        <v>69106</v>
      </c>
      <c r="B1216" s="1">
        <v>0</v>
      </c>
      <c r="C1216" s="1" t="s">
        <v>26</v>
      </c>
      <c r="D1216" s="1" t="s">
        <v>27</v>
      </c>
      <c r="E1216" s="1" t="s">
        <v>2879</v>
      </c>
      <c r="F1216" s="1" t="s">
        <v>166</v>
      </c>
      <c r="G1216" s="1" t="s">
        <v>23</v>
      </c>
      <c r="I1216" s="16">
        <v>40553.833599537036</v>
      </c>
      <c r="J1216" s="1" t="s">
        <v>40</v>
      </c>
      <c r="K1216" s="1" t="s">
        <v>18</v>
      </c>
      <c r="L1216" s="1" t="s">
        <v>19</v>
      </c>
    </row>
    <row r="1217" spans="1:16" ht="13" x14ac:dyDescent="0.15">
      <c r="A1217" s="1">
        <v>74653</v>
      </c>
      <c r="B1217" s="1">
        <v>0</v>
      </c>
      <c r="C1217" s="1" t="s">
        <v>170</v>
      </c>
      <c r="D1217" s="1" t="s">
        <v>27</v>
      </c>
      <c r="E1217" s="1" t="s">
        <v>2880</v>
      </c>
      <c r="F1217" s="1" t="s">
        <v>2881</v>
      </c>
      <c r="G1217" s="1" t="s">
        <v>23</v>
      </c>
      <c r="I1217" s="16">
        <v>40604.306400462963</v>
      </c>
      <c r="J1217" s="1" t="s">
        <v>263</v>
      </c>
      <c r="K1217" s="1" t="s">
        <v>18</v>
      </c>
      <c r="L1217" s="1" t="s">
        <v>19</v>
      </c>
    </row>
    <row r="1218" spans="1:16" ht="13" x14ac:dyDescent="0.15">
      <c r="A1218" s="1">
        <v>98773</v>
      </c>
      <c r="B1218" s="1">
        <v>0</v>
      </c>
      <c r="C1218" s="1" t="s">
        <v>170</v>
      </c>
      <c r="D1218" s="1" t="s">
        <v>27</v>
      </c>
      <c r="E1218" s="1" t="s">
        <v>2882</v>
      </c>
      <c r="F1218" s="1" t="s">
        <v>2883</v>
      </c>
      <c r="G1218" s="1" t="s">
        <v>23</v>
      </c>
      <c r="I1218" s="16">
        <v>40817.549907407411</v>
      </c>
      <c r="J1218" s="1" t="s">
        <v>958</v>
      </c>
      <c r="K1218" s="1" t="s">
        <v>18</v>
      </c>
      <c r="L1218" s="1" t="s">
        <v>19</v>
      </c>
    </row>
    <row r="1219" spans="1:16" ht="13" x14ac:dyDescent="0.15">
      <c r="A1219" s="1">
        <v>61502</v>
      </c>
      <c r="B1219" s="1">
        <v>1</v>
      </c>
      <c r="C1219" s="1" t="s">
        <v>26</v>
      </c>
      <c r="D1219" s="1" t="s">
        <v>27</v>
      </c>
      <c r="E1219" s="1" t="s">
        <v>2884</v>
      </c>
      <c r="F1219" s="1" t="s">
        <v>2885</v>
      </c>
      <c r="G1219" s="1" t="s">
        <v>23</v>
      </c>
      <c r="I1219" s="16">
        <v>40483.929918981485</v>
      </c>
      <c r="J1219" s="1" t="s">
        <v>1435</v>
      </c>
      <c r="K1219" s="1" t="s">
        <v>18</v>
      </c>
      <c r="L1219" s="1" t="s">
        <v>19</v>
      </c>
      <c r="M1219" s="1">
        <v>70572</v>
      </c>
      <c r="N1219" s="1" t="s">
        <v>2886</v>
      </c>
      <c r="O1219" s="16">
        <v>40567.138888888891</v>
      </c>
      <c r="P1219" s="1" t="s">
        <v>92</v>
      </c>
    </row>
    <row r="1220" spans="1:16" ht="13" x14ac:dyDescent="0.15">
      <c r="A1220" s="1">
        <v>225546</v>
      </c>
      <c r="B1220" s="1">
        <v>0</v>
      </c>
      <c r="C1220" s="1" t="s">
        <v>2454</v>
      </c>
      <c r="D1220" s="1" t="s">
        <v>27</v>
      </c>
      <c r="E1220" s="1" t="s">
        <v>2887</v>
      </c>
      <c r="F1220" s="1" t="s">
        <v>2888</v>
      </c>
      <c r="G1220" s="1" t="s">
        <v>23</v>
      </c>
      <c r="I1220" s="16">
        <v>41365.915613425925</v>
      </c>
      <c r="J1220" s="1" t="s">
        <v>860</v>
      </c>
      <c r="K1220" s="1" t="s">
        <v>18</v>
      </c>
      <c r="L1220" s="1" t="s">
        <v>19</v>
      </c>
    </row>
    <row r="1221" spans="1:16" ht="13" x14ac:dyDescent="0.15">
      <c r="A1221" s="1">
        <v>100465</v>
      </c>
      <c r="B1221" s="1">
        <v>0</v>
      </c>
      <c r="D1221" s="1" t="s">
        <v>27</v>
      </c>
      <c r="E1221" s="1" t="s">
        <v>2889</v>
      </c>
      <c r="F1221" s="1" t="s">
        <v>2890</v>
      </c>
      <c r="I1221" s="16">
        <v>40831.767974537041</v>
      </c>
      <c r="J1221" s="1" t="s">
        <v>190</v>
      </c>
      <c r="K1221" s="1" t="s">
        <v>18</v>
      </c>
      <c r="L1221" s="1" t="s">
        <v>19</v>
      </c>
    </row>
    <row r="1222" spans="1:16" ht="13" x14ac:dyDescent="0.15">
      <c r="A1222" s="1">
        <v>31009</v>
      </c>
      <c r="B1222" s="1">
        <v>0</v>
      </c>
      <c r="D1222" s="1" t="s">
        <v>27</v>
      </c>
      <c r="E1222" s="1" t="s">
        <v>2891</v>
      </c>
      <c r="F1222" s="1" t="s">
        <v>355</v>
      </c>
      <c r="I1222" s="16">
        <v>40169.837152777778</v>
      </c>
      <c r="J1222" s="1" t="s">
        <v>151</v>
      </c>
      <c r="K1222" s="1" t="s">
        <v>18</v>
      </c>
      <c r="L1222" s="1" t="s">
        <v>19</v>
      </c>
    </row>
    <row r="1223" spans="1:16" ht="13" x14ac:dyDescent="0.15">
      <c r="A1223" s="1">
        <v>623319</v>
      </c>
      <c r="B1223" s="1">
        <v>0</v>
      </c>
      <c r="C1223" s="1" t="s">
        <v>927</v>
      </c>
      <c r="D1223" s="1" t="s">
        <v>27</v>
      </c>
      <c r="E1223" s="1" t="s">
        <v>2892</v>
      </c>
      <c r="F1223" s="1" t="s">
        <v>2893</v>
      </c>
      <c r="G1223" s="1" t="s">
        <v>23</v>
      </c>
      <c r="I1223" s="16">
        <v>42546.662303240744</v>
      </c>
      <c r="J1223" s="1" t="s">
        <v>508</v>
      </c>
      <c r="K1223" s="1" t="s">
        <v>18</v>
      </c>
      <c r="L1223" s="1" t="s">
        <v>19</v>
      </c>
    </row>
    <row r="1224" spans="1:16" ht="13" x14ac:dyDescent="0.15">
      <c r="A1224" s="1">
        <v>163110</v>
      </c>
      <c r="B1224" s="1">
        <v>0</v>
      </c>
      <c r="C1224" s="1" t="s">
        <v>26</v>
      </c>
      <c r="D1224" s="1" t="s">
        <v>27</v>
      </c>
      <c r="E1224" s="1" t="s">
        <v>2894</v>
      </c>
      <c r="F1224" s="1" t="s">
        <v>707</v>
      </c>
      <c r="G1224" s="1" t="s">
        <v>23</v>
      </c>
      <c r="I1224" s="16">
        <v>41241.572557870371</v>
      </c>
      <c r="J1224" s="1" t="s">
        <v>40</v>
      </c>
      <c r="K1224" s="1" t="s">
        <v>18</v>
      </c>
      <c r="L1224" s="1" t="s">
        <v>19</v>
      </c>
    </row>
    <row r="1225" spans="1:16" ht="13" x14ac:dyDescent="0.15">
      <c r="A1225" s="1">
        <v>458776</v>
      </c>
      <c r="B1225" s="1">
        <v>0</v>
      </c>
      <c r="D1225" s="1" t="s">
        <v>27</v>
      </c>
      <c r="E1225" s="1" t="s">
        <v>2895</v>
      </c>
      <c r="F1225" s="1" t="s">
        <v>2896</v>
      </c>
      <c r="G1225" s="1" t="s">
        <v>23</v>
      </c>
      <c r="I1225" s="16">
        <v>42049.591249999998</v>
      </c>
      <c r="J1225" s="1" t="s">
        <v>17</v>
      </c>
      <c r="K1225" s="1" t="s">
        <v>18</v>
      </c>
      <c r="L1225" s="1" t="s">
        <v>19</v>
      </c>
    </row>
    <row r="1226" spans="1:16" ht="13" x14ac:dyDescent="0.15">
      <c r="A1226" s="1">
        <v>114911</v>
      </c>
      <c r="B1226" s="1">
        <v>0</v>
      </c>
      <c r="C1226" s="1" t="s">
        <v>26</v>
      </c>
      <c r="D1226" s="1" t="s">
        <v>27</v>
      </c>
      <c r="E1226" s="1" t="s">
        <v>2897</v>
      </c>
      <c r="F1226" s="1" t="s">
        <v>2898</v>
      </c>
      <c r="G1226" s="1" t="s">
        <v>23</v>
      </c>
      <c r="I1226" s="16">
        <v>40958.061620370368</v>
      </c>
      <c r="J1226" s="1" t="s">
        <v>2899</v>
      </c>
      <c r="K1226" s="1" t="s">
        <v>18</v>
      </c>
      <c r="L1226" s="1" t="s">
        <v>19</v>
      </c>
    </row>
    <row r="1227" spans="1:16" ht="13" x14ac:dyDescent="0.15">
      <c r="A1227" s="1">
        <v>416526</v>
      </c>
      <c r="B1227" s="1">
        <v>0</v>
      </c>
      <c r="C1227" s="1" t="s">
        <v>101</v>
      </c>
      <c r="D1227" s="1" t="s">
        <v>27</v>
      </c>
      <c r="E1227" s="1" t="s">
        <v>2900</v>
      </c>
      <c r="F1227" s="1" t="s">
        <v>2901</v>
      </c>
      <c r="G1227" s="1" t="s">
        <v>23</v>
      </c>
      <c r="I1227" s="16">
        <v>41904.726574074077</v>
      </c>
      <c r="J1227" s="1" t="s">
        <v>2902</v>
      </c>
      <c r="K1227" s="1" t="s">
        <v>18</v>
      </c>
      <c r="L1227" s="1" t="s">
        <v>19</v>
      </c>
    </row>
    <row r="1228" spans="1:16" ht="13" x14ac:dyDescent="0.15">
      <c r="A1228" s="1">
        <v>416528</v>
      </c>
      <c r="B1228" s="1">
        <v>0</v>
      </c>
      <c r="C1228" s="1" t="s">
        <v>2903</v>
      </c>
      <c r="D1228" s="1" t="s">
        <v>27</v>
      </c>
      <c r="E1228" s="1" t="s">
        <v>2904</v>
      </c>
      <c r="F1228" s="1" t="s">
        <v>2905</v>
      </c>
      <c r="G1228" s="1" t="s">
        <v>23</v>
      </c>
      <c r="I1228" s="16">
        <v>41904.733946759261</v>
      </c>
      <c r="J1228" s="1" t="s">
        <v>2902</v>
      </c>
      <c r="K1228" s="1" t="s">
        <v>18</v>
      </c>
      <c r="L1228" s="1" t="s">
        <v>19</v>
      </c>
    </row>
    <row r="1229" spans="1:16" ht="13" x14ac:dyDescent="0.15">
      <c r="A1229" s="1">
        <v>382243</v>
      </c>
      <c r="B1229" s="1">
        <v>0</v>
      </c>
      <c r="C1229" s="1" t="s">
        <v>12</v>
      </c>
      <c r="D1229" s="1" t="s">
        <v>27</v>
      </c>
      <c r="E1229" s="1" t="s">
        <v>2906</v>
      </c>
      <c r="F1229" s="1" t="s">
        <v>2907</v>
      </c>
      <c r="G1229" s="1" t="s">
        <v>23</v>
      </c>
      <c r="I1229" s="16">
        <v>41798.66678240741</v>
      </c>
      <c r="J1229" s="1" t="s">
        <v>17</v>
      </c>
      <c r="K1229" s="1" t="s">
        <v>18</v>
      </c>
      <c r="L1229" s="1" t="s">
        <v>19</v>
      </c>
    </row>
    <row r="1230" spans="1:16" ht="13" x14ac:dyDescent="0.15">
      <c r="A1230" s="1">
        <v>297556</v>
      </c>
      <c r="B1230" s="1">
        <v>0</v>
      </c>
      <c r="C1230" s="1" t="s">
        <v>689</v>
      </c>
      <c r="D1230" s="1" t="s">
        <v>27</v>
      </c>
      <c r="E1230" s="1" t="s">
        <v>2908</v>
      </c>
      <c r="F1230" s="1" t="s">
        <v>2909</v>
      </c>
      <c r="G1230" s="1" t="s">
        <v>23</v>
      </c>
      <c r="I1230" s="16">
        <v>41541.497789351852</v>
      </c>
      <c r="J1230" s="1" t="s">
        <v>17</v>
      </c>
      <c r="K1230" s="1" t="s">
        <v>18</v>
      </c>
      <c r="L1230" s="1" t="s">
        <v>19</v>
      </c>
    </row>
    <row r="1231" spans="1:16" ht="13" x14ac:dyDescent="0.15">
      <c r="A1231" s="1">
        <v>595836</v>
      </c>
      <c r="B1231" s="1">
        <v>0</v>
      </c>
      <c r="C1231" s="1" t="s">
        <v>2227</v>
      </c>
      <c r="D1231" s="1" t="s">
        <v>27</v>
      </c>
      <c r="E1231" s="1" t="s">
        <v>2910</v>
      </c>
      <c r="F1231" s="1" t="s">
        <v>2911</v>
      </c>
      <c r="I1231" s="16">
        <v>42446.827222222222</v>
      </c>
      <c r="J1231" s="1" t="s">
        <v>40</v>
      </c>
      <c r="K1231" s="1" t="s">
        <v>18</v>
      </c>
      <c r="L1231" s="1" t="s">
        <v>19</v>
      </c>
    </row>
    <row r="1232" spans="1:16" ht="13" x14ac:dyDescent="0.15">
      <c r="A1232" s="1">
        <v>343050</v>
      </c>
      <c r="B1232" s="1">
        <v>0</v>
      </c>
      <c r="C1232" s="1" t="s">
        <v>2912</v>
      </c>
      <c r="D1232" s="1" t="s">
        <v>27</v>
      </c>
      <c r="E1232" s="1" t="s">
        <v>2913</v>
      </c>
      <c r="F1232" s="1" t="s">
        <v>2914</v>
      </c>
      <c r="G1232" s="1" t="s">
        <v>23</v>
      </c>
      <c r="I1232" s="16">
        <v>41682.312280092592</v>
      </c>
      <c r="J1232" s="1" t="s">
        <v>17</v>
      </c>
      <c r="K1232" s="1" t="s">
        <v>18</v>
      </c>
      <c r="L1232" s="1" t="s">
        <v>19</v>
      </c>
    </row>
    <row r="1233" spans="1:12" ht="13" x14ac:dyDescent="0.15">
      <c r="A1233" s="1">
        <v>589838</v>
      </c>
      <c r="B1233" s="1">
        <v>0</v>
      </c>
      <c r="D1233" s="1" t="s">
        <v>27</v>
      </c>
      <c r="E1233" s="1" t="s">
        <v>2915</v>
      </c>
      <c r="F1233" s="1" t="s">
        <v>2916</v>
      </c>
      <c r="G1233" s="1" t="s">
        <v>159</v>
      </c>
      <c r="I1233" s="16">
        <v>42425.649826388886</v>
      </c>
      <c r="J1233" s="1" t="s">
        <v>68</v>
      </c>
      <c r="K1233" s="1" t="s">
        <v>18</v>
      </c>
      <c r="L1233" s="1" t="s">
        <v>19</v>
      </c>
    </row>
    <row r="1234" spans="1:12" ht="13" x14ac:dyDescent="0.15">
      <c r="A1234" s="1">
        <v>88591</v>
      </c>
      <c r="B1234" s="1">
        <v>0</v>
      </c>
      <c r="C1234" s="1" t="s">
        <v>145</v>
      </c>
      <c r="D1234" s="1" t="s">
        <v>27</v>
      </c>
      <c r="E1234" s="1" t="s">
        <v>2917</v>
      </c>
      <c r="F1234" s="1" t="s">
        <v>2918</v>
      </c>
      <c r="G1234" s="1" t="s">
        <v>23</v>
      </c>
      <c r="I1234" s="16">
        <v>40730.870312500003</v>
      </c>
      <c r="J1234" s="1" t="s">
        <v>958</v>
      </c>
      <c r="K1234" s="1" t="s">
        <v>18</v>
      </c>
      <c r="L1234" s="1" t="s">
        <v>19</v>
      </c>
    </row>
    <row r="1235" spans="1:12" ht="13" x14ac:dyDescent="0.15">
      <c r="A1235" s="1">
        <v>653134</v>
      </c>
      <c r="B1235" s="1">
        <v>0</v>
      </c>
      <c r="C1235" s="1" t="s">
        <v>576</v>
      </c>
      <c r="D1235" s="1" t="s">
        <v>27</v>
      </c>
      <c r="E1235" s="1" t="s">
        <v>2919</v>
      </c>
      <c r="F1235" s="1" t="s">
        <v>2920</v>
      </c>
      <c r="G1235" s="1" t="s">
        <v>23</v>
      </c>
      <c r="I1235" s="16">
        <v>42648.667986111112</v>
      </c>
      <c r="J1235" s="1" t="s">
        <v>98</v>
      </c>
      <c r="K1235" s="1" t="s">
        <v>18</v>
      </c>
      <c r="L1235" s="1" t="s">
        <v>19</v>
      </c>
    </row>
    <row r="1236" spans="1:12" ht="13" x14ac:dyDescent="0.15">
      <c r="A1236" s="1">
        <v>62281</v>
      </c>
      <c r="B1236" s="1">
        <v>0</v>
      </c>
      <c r="C1236" s="1" t="s">
        <v>26</v>
      </c>
      <c r="D1236" s="1" t="s">
        <v>27</v>
      </c>
      <c r="E1236" s="1" t="s">
        <v>2921</v>
      </c>
      <c r="F1236" s="1" t="s">
        <v>720</v>
      </c>
      <c r="G1236" s="1" t="s">
        <v>23</v>
      </c>
      <c r="I1236" s="16">
        <v>40489.996759259258</v>
      </c>
      <c r="J1236" s="1" t="s">
        <v>40</v>
      </c>
      <c r="K1236" s="1" t="s">
        <v>18</v>
      </c>
      <c r="L1236" s="1" t="s">
        <v>19</v>
      </c>
    </row>
    <row r="1237" spans="1:12" ht="13" x14ac:dyDescent="0.15">
      <c r="A1237" s="1">
        <v>113562</v>
      </c>
      <c r="B1237" s="1">
        <v>0</v>
      </c>
      <c r="C1237" s="1" t="s">
        <v>26</v>
      </c>
      <c r="D1237" s="1" t="s">
        <v>27</v>
      </c>
      <c r="E1237" s="1" t="s">
        <v>2922</v>
      </c>
      <c r="F1237" s="1" t="s">
        <v>2923</v>
      </c>
      <c r="G1237" s="1" t="s">
        <v>23</v>
      </c>
      <c r="I1237" s="16">
        <v>40949.030474537038</v>
      </c>
      <c r="J1237" s="1" t="s">
        <v>40</v>
      </c>
      <c r="K1237" s="1" t="s">
        <v>18</v>
      </c>
      <c r="L1237" s="1" t="s">
        <v>19</v>
      </c>
    </row>
    <row r="1238" spans="1:12" ht="13" x14ac:dyDescent="0.15">
      <c r="A1238" s="1">
        <v>104859</v>
      </c>
      <c r="B1238" s="1">
        <v>0</v>
      </c>
      <c r="C1238" s="1" t="s">
        <v>26</v>
      </c>
      <c r="D1238" s="1" t="s">
        <v>27</v>
      </c>
      <c r="E1238" s="1" t="s">
        <v>2924</v>
      </c>
      <c r="F1238" s="1" t="s">
        <v>2925</v>
      </c>
      <c r="G1238" s="1" t="s">
        <v>23</v>
      </c>
      <c r="I1238" s="16">
        <v>40866.4921875</v>
      </c>
      <c r="J1238" s="1" t="s">
        <v>261</v>
      </c>
      <c r="K1238" s="1" t="s">
        <v>18</v>
      </c>
      <c r="L1238" s="1" t="s">
        <v>19</v>
      </c>
    </row>
    <row r="1239" spans="1:12" ht="13" x14ac:dyDescent="0.15">
      <c r="A1239" s="1">
        <v>77765</v>
      </c>
      <c r="B1239" s="1">
        <v>0</v>
      </c>
      <c r="C1239" s="1" t="s">
        <v>26</v>
      </c>
      <c r="D1239" s="1" t="s">
        <v>27</v>
      </c>
      <c r="E1239" s="1" t="s">
        <v>2926</v>
      </c>
      <c r="F1239" s="1" t="s">
        <v>2927</v>
      </c>
      <c r="G1239" s="1" t="s">
        <v>23</v>
      </c>
      <c r="I1239" s="16">
        <v>40631.677395833336</v>
      </c>
      <c r="J1239" s="1" t="s">
        <v>40</v>
      </c>
      <c r="K1239" s="1" t="s">
        <v>18</v>
      </c>
      <c r="L1239" s="1" t="s">
        <v>19</v>
      </c>
    </row>
    <row r="1240" spans="1:12" ht="13" x14ac:dyDescent="0.15">
      <c r="A1240" s="1">
        <v>612132</v>
      </c>
      <c r="B1240" s="1">
        <v>0</v>
      </c>
      <c r="C1240" s="1" t="s">
        <v>848</v>
      </c>
      <c r="D1240" s="1" t="s">
        <v>27</v>
      </c>
      <c r="E1240" s="1" t="s">
        <v>2928</v>
      </c>
      <c r="F1240" s="1" t="s">
        <v>2929</v>
      </c>
      <c r="G1240" s="1" t="s">
        <v>813</v>
      </c>
      <c r="I1240" s="16">
        <v>42506.520868055559</v>
      </c>
      <c r="J1240" s="1" t="s">
        <v>851</v>
      </c>
      <c r="K1240" s="1" t="s">
        <v>18</v>
      </c>
      <c r="L1240" s="1" t="s">
        <v>19</v>
      </c>
    </row>
    <row r="1241" spans="1:12" ht="13" x14ac:dyDescent="0.15">
      <c r="A1241" s="1">
        <v>359802</v>
      </c>
      <c r="B1241" s="1">
        <v>0</v>
      </c>
      <c r="D1241" s="1" t="s">
        <v>27</v>
      </c>
      <c r="E1241" s="1" t="s">
        <v>2930</v>
      </c>
      <c r="F1241" s="1" t="s">
        <v>2931</v>
      </c>
      <c r="G1241" s="1" t="s">
        <v>23</v>
      </c>
      <c r="I1241" s="16">
        <v>41732.939756944441</v>
      </c>
      <c r="J1241" s="1" t="s">
        <v>2932</v>
      </c>
      <c r="K1241" s="1" t="s">
        <v>18</v>
      </c>
      <c r="L1241" s="1" t="s">
        <v>19</v>
      </c>
    </row>
    <row r="1242" spans="1:12" ht="13" x14ac:dyDescent="0.15">
      <c r="A1242" s="1">
        <v>401995</v>
      </c>
      <c r="B1242" s="1">
        <v>0</v>
      </c>
      <c r="C1242" s="1" t="s">
        <v>12</v>
      </c>
      <c r="D1242" s="1" t="s">
        <v>27</v>
      </c>
      <c r="E1242" s="1" t="s">
        <v>2933</v>
      </c>
      <c r="F1242" s="1" t="s">
        <v>2934</v>
      </c>
      <c r="G1242" s="1" t="s">
        <v>23</v>
      </c>
      <c r="I1242" s="16">
        <v>41859.661215277774</v>
      </c>
      <c r="J1242" s="1" t="s">
        <v>17</v>
      </c>
      <c r="K1242" s="1" t="s">
        <v>18</v>
      </c>
      <c r="L1242" s="1" t="s">
        <v>19</v>
      </c>
    </row>
    <row r="1243" spans="1:12" ht="13" x14ac:dyDescent="0.15">
      <c r="A1243" s="1">
        <v>176692</v>
      </c>
      <c r="B1243" s="1">
        <v>0</v>
      </c>
      <c r="C1243" s="1" t="s">
        <v>170</v>
      </c>
      <c r="D1243" s="1" t="s">
        <v>27</v>
      </c>
      <c r="E1243" s="1" t="s">
        <v>2935</v>
      </c>
      <c r="F1243" s="1" t="s">
        <v>2936</v>
      </c>
      <c r="G1243" s="1" t="s">
        <v>23</v>
      </c>
      <c r="I1243" s="16">
        <v>41321.94017361111</v>
      </c>
      <c r="J1243" s="1" t="s">
        <v>860</v>
      </c>
      <c r="K1243" s="1" t="s">
        <v>18</v>
      </c>
      <c r="L1243" s="1" t="s">
        <v>19</v>
      </c>
    </row>
    <row r="1244" spans="1:12" ht="13" x14ac:dyDescent="0.15">
      <c r="A1244" s="1">
        <v>388665</v>
      </c>
      <c r="B1244" s="1">
        <v>0</v>
      </c>
      <c r="C1244" s="1" t="s">
        <v>107</v>
      </c>
      <c r="D1244" s="1" t="s">
        <v>27</v>
      </c>
      <c r="E1244" s="1" t="s">
        <v>2937</v>
      </c>
      <c r="F1244" s="1" t="s">
        <v>2938</v>
      </c>
      <c r="G1244" s="1" t="s">
        <v>23</v>
      </c>
      <c r="I1244" s="16">
        <v>41815.443124999998</v>
      </c>
      <c r="J1244" s="1" t="s">
        <v>2939</v>
      </c>
      <c r="K1244" s="1" t="s">
        <v>18</v>
      </c>
      <c r="L1244" s="1" t="s">
        <v>19</v>
      </c>
    </row>
    <row r="1245" spans="1:12" ht="13" x14ac:dyDescent="0.15">
      <c r="A1245" s="1">
        <v>47086</v>
      </c>
      <c r="B1245" s="1">
        <v>0</v>
      </c>
      <c r="C1245" s="1" t="s">
        <v>26</v>
      </c>
      <c r="D1245" s="1" t="s">
        <v>27</v>
      </c>
      <c r="E1245" s="1" t="s">
        <v>2940</v>
      </c>
      <c r="F1245" s="1" t="s">
        <v>2941</v>
      </c>
      <c r="I1245" s="16">
        <v>40350.867291666669</v>
      </c>
      <c r="J1245" s="1" t="s">
        <v>98</v>
      </c>
      <c r="K1245" s="1" t="s">
        <v>18</v>
      </c>
      <c r="L1245" s="1" t="s">
        <v>19</v>
      </c>
    </row>
    <row r="1246" spans="1:12" ht="13" x14ac:dyDescent="0.15">
      <c r="A1246" s="1">
        <v>282736</v>
      </c>
      <c r="B1246" s="1">
        <v>0</v>
      </c>
      <c r="C1246" s="1" t="s">
        <v>101</v>
      </c>
      <c r="D1246" s="1" t="s">
        <v>27</v>
      </c>
      <c r="E1246" s="1" t="s">
        <v>2942</v>
      </c>
      <c r="F1246" s="1" t="s">
        <v>2943</v>
      </c>
      <c r="G1246" s="1" t="s">
        <v>23</v>
      </c>
      <c r="I1246" s="16">
        <v>41517.232002314813</v>
      </c>
      <c r="J1246" s="1" t="s">
        <v>2944</v>
      </c>
      <c r="K1246" s="1" t="s">
        <v>18</v>
      </c>
      <c r="L1246" s="1" t="s">
        <v>19</v>
      </c>
    </row>
    <row r="1247" spans="1:12" ht="13" x14ac:dyDescent="0.15">
      <c r="A1247" s="1">
        <v>91197</v>
      </c>
      <c r="B1247" s="1">
        <v>0</v>
      </c>
      <c r="C1247" s="1" t="s">
        <v>2945</v>
      </c>
      <c r="D1247" s="1" t="s">
        <v>27</v>
      </c>
      <c r="E1247" s="1" t="s">
        <v>2946</v>
      </c>
      <c r="F1247" s="1" t="s">
        <v>2947</v>
      </c>
      <c r="I1247" s="16">
        <v>40756.529027777775</v>
      </c>
      <c r="J1247" s="1" t="s">
        <v>148</v>
      </c>
      <c r="K1247" s="1" t="s">
        <v>18</v>
      </c>
      <c r="L1247" s="1" t="s">
        <v>19</v>
      </c>
    </row>
    <row r="1248" spans="1:12" ht="13" x14ac:dyDescent="0.15">
      <c r="A1248" s="1">
        <v>68641</v>
      </c>
      <c r="B1248" s="1">
        <v>0</v>
      </c>
      <c r="C1248" s="1" t="s">
        <v>26</v>
      </c>
      <c r="D1248" s="1" t="s">
        <v>27</v>
      </c>
      <c r="E1248" s="1" t="s">
        <v>2948</v>
      </c>
      <c r="F1248" s="1" t="s">
        <v>430</v>
      </c>
      <c r="G1248" s="1" t="s">
        <v>23</v>
      </c>
      <c r="I1248" s="16">
        <v>40548.753888888888</v>
      </c>
      <c r="J1248" s="1" t="s">
        <v>98</v>
      </c>
      <c r="K1248" s="1" t="s">
        <v>18</v>
      </c>
      <c r="L1248" s="1" t="s">
        <v>19</v>
      </c>
    </row>
    <row r="1249" spans="1:12" ht="13" x14ac:dyDescent="0.15">
      <c r="A1249" s="1">
        <v>497507</v>
      </c>
      <c r="B1249" s="1">
        <v>0</v>
      </c>
      <c r="C1249" s="1" t="s">
        <v>2854</v>
      </c>
      <c r="D1249" s="1" t="s">
        <v>27</v>
      </c>
      <c r="E1249" s="1" t="s">
        <v>2949</v>
      </c>
      <c r="F1249" s="1" t="s">
        <v>2950</v>
      </c>
      <c r="G1249" s="1" t="s">
        <v>23</v>
      </c>
      <c r="I1249" s="16">
        <v>42161.816805555558</v>
      </c>
      <c r="J1249" s="1" t="s">
        <v>80</v>
      </c>
      <c r="K1249" s="1" t="s">
        <v>18</v>
      </c>
      <c r="L1249" s="1" t="s">
        <v>19</v>
      </c>
    </row>
    <row r="1250" spans="1:12" ht="13" x14ac:dyDescent="0.15">
      <c r="A1250" s="1">
        <v>445807</v>
      </c>
      <c r="B1250" s="1">
        <v>0</v>
      </c>
      <c r="C1250" s="1" t="s">
        <v>65</v>
      </c>
      <c r="D1250" s="1" t="s">
        <v>27</v>
      </c>
      <c r="E1250" s="1" t="s">
        <v>2951</v>
      </c>
      <c r="F1250" s="1" t="s">
        <v>2952</v>
      </c>
      <c r="G1250" s="1" t="s">
        <v>23</v>
      </c>
      <c r="I1250" s="16">
        <v>42005.781666666669</v>
      </c>
      <c r="J1250" s="1" t="s">
        <v>68</v>
      </c>
      <c r="K1250" s="1" t="s">
        <v>18</v>
      </c>
      <c r="L1250" s="1" t="s">
        <v>19</v>
      </c>
    </row>
    <row r="1251" spans="1:12" ht="13" x14ac:dyDescent="0.15">
      <c r="A1251" s="1">
        <v>445809</v>
      </c>
      <c r="B1251" s="1">
        <v>0</v>
      </c>
      <c r="C1251" s="1" t="s">
        <v>65</v>
      </c>
      <c r="D1251" s="1" t="s">
        <v>27</v>
      </c>
      <c r="E1251" s="1" t="s">
        <v>2953</v>
      </c>
      <c r="F1251" s="1" t="s">
        <v>2954</v>
      </c>
      <c r="G1251" s="1" t="s">
        <v>23</v>
      </c>
      <c r="I1251" s="16">
        <v>42005.783113425925</v>
      </c>
      <c r="J1251" s="1" t="s">
        <v>68</v>
      </c>
      <c r="K1251" s="1" t="s">
        <v>18</v>
      </c>
      <c r="L1251" s="1" t="s">
        <v>19</v>
      </c>
    </row>
    <row r="1252" spans="1:12" ht="13" x14ac:dyDescent="0.15">
      <c r="A1252" s="1">
        <v>445808</v>
      </c>
      <c r="B1252" s="1">
        <v>0</v>
      </c>
      <c r="C1252" s="1" t="s">
        <v>65</v>
      </c>
      <c r="D1252" s="1" t="s">
        <v>27</v>
      </c>
      <c r="E1252" s="1" t="s">
        <v>1484</v>
      </c>
      <c r="F1252" s="1" t="s">
        <v>2955</v>
      </c>
      <c r="G1252" s="1" t="s">
        <v>23</v>
      </c>
      <c r="I1252" s="16">
        <v>42005.782465277778</v>
      </c>
      <c r="J1252" s="1" t="s">
        <v>68</v>
      </c>
      <c r="K1252" s="1" t="s">
        <v>18</v>
      </c>
      <c r="L1252" s="1" t="s">
        <v>19</v>
      </c>
    </row>
    <row r="1253" spans="1:12" ht="13" x14ac:dyDescent="0.15">
      <c r="A1253" s="1">
        <v>333156</v>
      </c>
      <c r="B1253" s="1">
        <v>0</v>
      </c>
      <c r="C1253" s="1" t="s">
        <v>280</v>
      </c>
      <c r="D1253" s="1" t="s">
        <v>27</v>
      </c>
      <c r="E1253" s="1" t="s">
        <v>2164</v>
      </c>
      <c r="F1253" s="1" t="s">
        <v>2956</v>
      </c>
      <c r="G1253" s="1" t="s">
        <v>23</v>
      </c>
      <c r="I1253" s="16">
        <v>41649.243321759262</v>
      </c>
      <c r="J1253" s="1" t="s">
        <v>17</v>
      </c>
      <c r="K1253" s="1" t="s">
        <v>18</v>
      </c>
      <c r="L1253" s="1" t="s">
        <v>19</v>
      </c>
    </row>
    <row r="1254" spans="1:12" ht="13" x14ac:dyDescent="0.15">
      <c r="A1254" s="1">
        <v>333155</v>
      </c>
      <c r="B1254" s="1">
        <v>0</v>
      </c>
      <c r="D1254" s="1" t="s">
        <v>27</v>
      </c>
      <c r="E1254" s="1" t="s">
        <v>2957</v>
      </c>
      <c r="F1254" s="1" t="s">
        <v>2958</v>
      </c>
      <c r="G1254" s="1" t="s">
        <v>23</v>
      </c>
      <c r="I1254" s="16">
        <v>41649.241689814815</v>
      </c>
      <c r="J1254" s="1" t="s">
        <v>40</v>
      </c>
      <c r="K1254" s="1" t="s">
        <v>18</v>
      </c>
      <c r="L1254" s="1" t="s">
        <v>19</v>
      </c>
    </row>
    <row r="1255" spans="1:12" ht="13" x14ac:dyDescent="0.15">
      <c r="A1255" s="1">
        <v>56796</v>
      </c>
      <c r="B1255" s="1">
        <v>0</v>
      </c>
      <c r="C1255" s="1" t="s">
        <v>26</v>
      </c>
      <c r="D1255" s="1" t="s">
        <v>27</v>
      </c>
      <c r="E1255" s="1" t="s">
        <v>2959</v>
      </c>
      <c r="F1255" s="1" t="s">
        <v>112</v>
      </c>
      <c r="G1255" s="1" t="s">
        <v>23</v>
      </c>
      <c r="I1255" s="16">
        <v>40445.686261574076</v>
      </c>
      <c r="J1255" s="1" t="s">
        <v>40</v>
      </c>
      <c r="K1255" s="1" t="s">
        <v>18</v>
      </c>
      <c r="L1255" s="1" t="s">
        <v>19</v>
      </c>
    </row>
    <row r="1256" spans="1:12" ht="13" x14ac:dyDescent="0.15">
      <c r="A1256" s="1">
        <v>368978</v>
      </c>
      <c r="B1256" s="1">
        <v>0</v>
      </c>
      <c r="C1256" s="1" t="s">
        <v>923</v>
      </c>
      <c r="D1256" s="1" t="s">
        <v>27</v>
      </c>
      <c r="E1256" s="1" t="s">
        <v>2960</v>
      </c>
      <c r="F1256" s="1" t="s">
        <v>1595</v>
      </c>
      <c r="G1256" s="1" t="s">
        <v>23</v>
      </c>
      <c r="I1256" s="16">
        <v>41760.185231481482</v>
      </c>
      <c r="J1256" s="1" t="s">
        <v>17</v>
      </c>
      <c r="K1256" s="1" t="s">
        <v>18</v>
      </c>
      <c r="L1256" s="1" t="s">
        <v>19</v>
      </c>
    </row>
    <row r="1257" spans="1:12" ht="13" x14ac:dyDescent="0.15">
      <c r="A1257" s="1">
        <v>75311</v>
      </c>
      <c r="B1257" s="1">
        <v>0</v>
      </c>
      <c r="C1257" s="1" t="s">
        <v>26</v>
      </c>
      <c r="D1257" s="1" t="s">
        <v>27</v>
      </c>
      <c r="E1257" s="1" t="s">
        <v>2961</v>
      </c>
      <c r="F1257" s="1" t="s">
        <v>2962</v>
      </c>
      <c r="G1257" s="1" t="s">
        <v>23</v>
      </c>
      <c r="I1257" s="16">
        <v>40610.829988425925</v>
      </c>
      <c r="J1257" s="1" t="s">
        <v>40</v>
      </c>
      <c r="K1257" s="1" t="s">
        <v>18</v>
      </c>
      <c r="L1257" s="1" t="s">
        <v>19</v>
      </c>
    </row>
    <row r="1258" spans="1:12" ht="13" x14ac:dyDescent="0.15">
      <c r="A1258" s="1">
        <v>45615</v>
      </c>
      <c r="B1258" s="1">
        <v>0</v>
      </c>
      <c r="C1258" s="1" t="s">
        <v>26</v>
      </c>
      <c r="D1258" s="1" t="s">
        <v>27</v>
      </c>
      <c r="E1258" s="1" t="s">
        <v>2963</v>
      </c>
      <c r="F1258" s="1" t="s">
        <v>2964</v>
      </c>
      <c r="I1258" s="16">
        <v>40331.249178240738</v>
      </c>
      <c r="J1258" s="1" t="s">
        <v>40</v>
      </c>
      <c r="K1258" s="1" t="s">
        <v>18</v>
      </c>
      <c r="L1258" s="1" t="s">
        <v>19</v>
      </c>
    </row>
    <row r="1259" spans="1:12" ht="13" x14ac:dyDescent="0.15">
      <c r="A1259" s="1">
        <v>458191</v>
      </c>
      <c r="B1259" s="1">
        <v>0</v>
      </c>
      <c r="D1259" s="1" t="s">
        <v>27</v>
      </c>
      <c r="E1259" s="1" t="s">
        <v>2965</v>
      </c>
      <c r="F1259" s="1" t="s">
        <v>2966</v>
      </c>
      <c r="G1259" s="1" t="s">
        <v>23</v>
      </c>
      <c r="I1259" s="16">
        <v>42047.741030092591</v>
      </c>
      <c r="J1259" s="1" t="s">
        <v>17</v>
      </c>
      <c r="K1259" s="1" t="s">
        <v>18</v>
      </c>
      <c r="L1259" s="1" t="s">
        <v>19</v>
      </c>
    </row>
    <row r="1260" spans="1:12" ht="13" x14ac:dyDescent="0.15">
      <c r="A1260" s="1">
        <v>107128</v>
      </c>
      <c r="B1260" s="1">
        <v>0</v>
      </c>
      <c r="C1260" s="1" t="s">
        <v>170</v>
      </c>
      <c r="D1260" s="1" t="s">
        <v>27</v>
      </c>
      <c r="E1260" s="1" t="s">
        <v>2967</v>
      </c>
      <c r="F1260" s="1" t="s">
        <v>2968</v>
      </c>
      <c r="G1260" s="1" t="s">
        <v>23</v>
      </c>
      <c r="I1260" s="16">
        <v>40888.247071759259</v>
      </c>
      <c r="J1260" s="1" t="s">
        <v>376</v>
      </c>
      <c r="K1260" s="1" t="s">
        <v>18</v>
      </c>
      <c r="L1260" s="1" t="s">
        <v>19</v>
      </c>
    </row>
    <row r="1261" spans="1:12" ht="13" x14ac:dyDescent="0.15">
      <c r="A1261" s="1">
        <v>242786</v>
      </c>
      <c r="B1261" s="1">
        <v>0</v>
      </c>
      <c r="C1261" s="1" t="s">
        <v>2969</v>
      </c>
      <c r="D1261" s="1" t="s">
        <v>27</v>
      </c>
      <c r="E1261" s="1" t="s">
        <v>2970</v>
      </c>
      <c r="F1261" s="1" t="s">
        <v>772</v>
      </c>
      <c r="G1261" s="1" t="s">
        <v>23</v>
      </c>
      <c r="I1261" s="16">
        <v>41416.173900462964</v>
      </c>
      <c r="J1261" s="1" t="s">
        <v>40</v>
      </c>
      <c r="K1261" s="1" t="s">
        <v>18</v>
      </c>
      <c r="L1261" s="1" t="s">
        <v>19</v>
      </c>
    </row>
    <row r="1262" spans="1:12" ht="13" x14ac:dyDescent="0.15">
      <c r="A1262" s="1">
        <v>366681</v>
      </c>
      <c r="B1262" s="1">
        <v>0</v>
      </c>
      <c r="C1262" s="1" t="s">
        <v>12</v>
      </c>
      <c r="D1262" s="1" t="s">
        <v>27</v>
      </c>
      <c r="E1262" s="1" t="s">
        <v>2971</v>
      </c>
      <c r="F1262" s="1" t="s">
        <v>89</v>
      </c>
      <c r="G1262" s="1" t="s">
        <v>23</v>
      </c>
      <c r="I1262" s="16">
        <v>41753.66443287037</v>
      </c>
      <c r="J1262" s="1" t="s">
        <v>17</v>
      </c>
      <c r="K1262" s="1" t="s">
        <v>18</v>
      </c>
      <c r="L1262" s="1" t="s">
        <v>19</v>
      </c>
    </row>
    <row r="1263" spans="1:12" ht="13" x14ac:dyDescent="0.15">
      <c r="A1263" s="1">
        <v>103921</v>
      </c>
      <c r="B1263" s="1">
        <v>0</v>
      </c>
      <c r="C1263" s="1" t="s">
        <v>2972</v>
      </c>
      <c r="D1263" s="1" t="s">
        <v>27</v>
      </c>
      <c r="E1263" s="1" t="s">
        <v>2973</v>
      </c>
      <c r="F1263" s="1" t="s">
        <v>2974</v>
      </c>
      <c r="G1263" s="1" t="s">
        <v>23</v>
      </c>
      <c r="I1263" s="16">
        <v>40858.74150462963</v>
      </c>
      <c r="J1263" s="1" t="s">
        <v>544</v>
      </c>
      <c r="K1263" s="1" t="s">
        <v>18</v>
      </c>
      <c r="L1263" s="1" t="s">
        <v>19</v>
      </c>
    </row>
    <row r="1264" spans="1:12" ht="13" x14ac:dyDescent="0.15">
      <c r="A1264" s="1">
        <v>366689</v>
      </c>
      <c r="B1264" s="1">
        <v>0</v>
      </c>
      <c r="C1264" s="1" t="s">
        <v>12</v>
      </c>
      <c r="D1264" s="1" t="s">
        <v>27</v>
      </c>
      <c r="E1264" s="1" t="s">
        <v>2975</v>
      </c>
      <c r="F1264" s="1" t="s">
        <v>89</v>
      </c>
      <c r="G1264" s="1" t="s">
        <v>23</v>
      </c>
      <c r="I1264" s="16">
        <v>41753.66505787037</v>
      </c>
      <c r="J1264" s="1" t="s">
        <v>17</v>
      </c>
      <c r="K1264" s="1" t="s">
        <v>18</v>
      </c>
      <c r="L1264" s="1" t="s">
        <v>19</v>
      </c>
    </row>
    <row r="1265" spans="1:16" ht="13" x14ac:dyDescent="0.15">
      <c r="A1265" s="1">
        <v>143656</v>
      </c>
      <c r="B1265" s="1">
        <v>0</v>
      </c>
      <c r="C1265" s="1" t="s">
        <v>26</v>
      </c>
      <c r="D1265" s="1" t="s">
        <v>27</v>
      </c>
      <c r="E1265" s="1" t="s">
        <v>2976</v>
      </c>
      <c r="F1265" s="1" t="s">
        <v>2977</v>
      </c>
      <c r="G1265" s="1" t="s">
        <v>23</v>
      </c>
      <c r="I1265" s="16">
        <v>41141.336226851854</v>
      </c>
      <c r="J1265" s="1" t="s">
        <v>44</v>
      </c>
      <c r="K1265" s="1" t="s">
        <v>18</v>
      </c>
      <c r="L1265" s="1" t="s">
        <v>19</v>
      </c>
    </row>
    <row r="1266" spans="1:16" ht="13" x14ac:dyDescent="0.15">
      <c r="A1266" s="1">
        <v>709015</v>
      </c>
      <c r="B1266" s="1">
        <v>0</v>
      </c>
      <c r="C1266" s="1" t="s">
        <v>101</v>
      </c>
      <c r="D1266" s="1" t="s">
        <v>27</v>
      </c>
      <c r="E1266" s="1" t="s">
        <v>2978</v>
      </c>
      <c r="F1266" s="1" t="s">
        <v>2979</v>
      </c>
      <c r="G1266" s="1" t="s">
        <v>23</v>
      </c>
      <c r="I1266" s="16">
        <v>42831.599953703706</v>
      </c>
      <c r="J1266" s="1" t="s">
        <v>2980</v>
      </c>
      <c r="K1266" s="1" t="s">
        <v>18</v>
      </c>
      <c r="L1266" s="1" t="s">
        <v>19</v>
      </c>
    </row>
    <row r="1267" spans="1:16" ht="13" x14ac:dyDescent="0.15">
      <c r="A1267" s="1">
        <v>67208</v>
      </c>
      <c r="B1267" s="1">
        <v>0</v>
      </c>
      <c r="C1267" s="1" t="s">
        <v>194</v>
      </c>
      <c r="D1267" s="1" t="s">
        <v>27</v>
      </c>
      <c r="E1267" s="1" t="s">
        <v>2981</v>
      </c>
      <c r="F1267" s="1" t="s">
        <v>2982</v>
      </c>
      <c r="G1267" s="1" t="s">
        <v>23</v>
      </c>
      <c r="I1267" s="16">
        <v>40528.914282407408</v>
      </c>
      <c r="J1267" s="1" t="s">
        <v>2983</v>
      </c>
      <c r="K1267" s="1" t="s">
        <v>18</v>
      </c>
      <c r="L1267" s="1" t="s">
        <v>19</v>
      </c>
    </row>
    <row r="1268" spans="1:16" ht="13" x14ac:dyDescent="0.15">
      <c r="A1268" s="1">
        <v>50839</v>
      </c>
      <c r="B1268" s="1">
        <v>0</v>
      </c>
      <c r="C1268" s="1" t="s">
        <v>2984</v>
      </c>
      <c r="D1268" s="1" t="s">
        <v>27</v>
      </c>
      <c r="E1268" s="1" t="s">
        <v>2985</v>
      </c>
      <c r="F1268" s="1" t="s">
        <v>862</v>
      </c>
      <c r="G1268" s="1" t="s">
        <v>23</v>
      </c>
      <c r="I1268" s="16">
        <v>40390.439456018517</v>
      </c>
      <c r="J1268" s="1" t="s">
        <v>148</v>
      </c>
      <c r="K1268" s="1" t="s">
        <v>18</v>
      </c>
      <c r="L1268" s="1" t="s">
        <v>19</v>
      </c>
    </row>
    <row r="1269" spans="1:16" ht="13" x14ac:dyDescent="0.15">
      <c r="A1269" s="1">
        <v>384891</v>
      </c>
      <c r="B1269" s="1">
        <v>0</v>
      </c>
      <c r="C1269" s="1" t="s">
        <v>12</v>
      </c>
      <c r="D1269" s="1" t="s">
        <v>27</v>
      </c>
      <c r="E1269" s="1" t="s">
        <v>2986</v>
      </c>
      <c r="F1269" s="1" t="s">
        <v>122</v>
      </c>
      <c r="G1269" s="1" t="s">
        <v>23</v>
      </c>
      <c r="I1269" s="16">
        <v>41805.870023148149</v>
      </c>
      <c r="J1269" s="1" t="s">
        <v>17</v>
      </c>
      <c r="K1269" s="1" t="s">
        <v>18</v>
      </c>
      <c r="L1269" s="1" t="s">
        <v>19</v>
      </c>
    </row>
    <row r="1270" spans="1:16" ht="13" x14ac:dyDescent="0.15">
      <c r="A1270" s="1">
        <v>355438</v>
      </c>
      <c r="B1270" s="1">
        <v>0</v>
      </c>
      <c r="C1270" s="1" t="s">
        <v>268</v>
      </c>
      <c r="D1270" s="1" t="s">
        <v>27</v>
      </c>
      <c r="E1270" s="1" t="s">
        <v>2987</v>
      </c>
      <c r="F1270" s="1" t="s">
        <v>2988</v>
      </c>
      <c r="G1270" s="1" t="s">
        <v>23</v>
      </c>
      <c r="I1270" s="16">
        <v>41722.133784722224</v>
      </c>
      <c r="J1270" s="1" t="s">
        <v>17</v>
      </c>
      <c r="K1270" s="1" t="s">
        <v>18</v>
      </c>
      <c r="L1270" s="1" t="s">
        <v>19</v>
      </c>
    </row>
    <row r="1271" spans="1:16" ht="13" x14ac:dyDescent="0.15">
      <c r="A1271" s="1">
        <v>333058</v>
      </c>
      <c r="B1271" s="1">
        <v>1</v>
      </c>
      <c r="C1271" s="1" t="s">
        <v>1391</v>
      </c>
      <c r="D1271" s="1" t="s">
        <v>27</v>
      </c>
      <c r="E1271" s="1" t="s">
        <v>2989</v>
      </c>
      <c r="F1271" s="1" t="s">
        <v>2990</v>
      </c>
      <c r="G1271" s="1" t="s">
        <v>23</v>
      </c>
      <c r="I1271" s="16">
        <v>41648.947268518517</v>
      </c>
      <c r="J1271" s="1" t="s">
        <v>860</v>
      </c>
      <c r="K1271" s="1" t="s">
        <v>18</v>
      </c>
      <c r="L1271" s="1" t="s">
        <v>19</v>
      </c>
      <c r="M1271" s="1">
        <v>338108</v>
      </c>
      <c r="N1271" s="1" t="s">
        <v>2991</v>
      </c>
      <c r="O1271" s="16">
        <v>41664.709398148145</v>
      </c>
      <c r="P1271" s="1" t="s">
        <v>17</v>
      </c>
    </row>
    <row r="1272" spans="1:16" ht="13" x14ac:dyDescent="0.15">
      <c r="A1272" s="1">
        <v>189089</v>
      </c>
      <c r="B1272" s="1">
        <v>0</v>
      </c>
      <c r="C1272" s="1" t="s">
        <v>26</v>
      </c>
      <c r="D1272" s="1" t="s">
        <v>27</v>
      </c>
      <c r="E1272" s="1" t="s">
        <v>2992</v>
      </c>
      <c r="F1272" s="1" t="s">
        <v>529</v>
      </c>
      <c r="G1272" s="1" t="s">
        <v>23</v>
      </c>
      <c r="I1272" s="16">
        <v>41346.070300925923</v>
      </c>
      <c r="J1272" s="1" t="s">
        <v>40</v>
      </c>
      <c r="K1272" s="1" t="s">
        <v>18</v>
      </c>
      <c r="L1272" s="1" t="s">
        <v>19</v>
      </c>
    </row>
    <row r="1273" spans="1:16" ht="13" x14ac:dyDescent="0.15">
      <c r="A1273" s="1">
        <v>56616</v>
      </c>
      <c r="B1273" s="1">
        <v>0</v>
      </c>
      <c r="C1273" s="1" t="s">
        <v>26</v>
      </c>
      <c r="D1273" s="1" t="s">
        <v>27</v>
      </c>
      <c r="E1273" s="1" t="s">
        <v>2993</v>
      </c>
      <c r="F1273" s="1" t="s">
        <v>651</v>
      </c>
      <c r="G1273" s="1" t="s">
        <v>23</v>
      </c>
      <c r="I1273" s="16">
        <v>40444.233344907407</v>
      </c>
      <c r="J1273" s="1" t="s">
        <v>40</v>
      </c>
      <c r="K1273" s="1" t="s">
        <v>18</v>
      </c>
      <c r="L1273" s="1" t="s">
        <v>19</v>
      </c>
    </row>
    <row r="1274" spans="1:16" ht="13" x14ac:dyDescent="0.15">
      <c r="A1274" s="1">
        <v>487928</v>
      </c>
      <c r="B1274" s="1">
        <v>0</v>
      </c>
      <c r="C1274" s="1" t="s">
        <v>12</v>
      </c>
      <c r="D1274" s="1" t="s">
        <v>27</v>
      </c>
      <c r="E1274" s="1" t="s">
        <v>2994</v>
      </c>
      <c r="F1274" s="1" t="s">
        <v>2995</v>
      </c>
      <c r="G1274" s="1" t="s">
        <v>23</v>
      </c>
      <c r="I1274" s="16">
        <v>42138.213483796295</v>
      </c>
      <c r="J1274" s="1" t="s">
        <v>76</v>
      </c>
      <c r="K1274" s="1" t="s">
        <v>18</v>
      </c>
      <c r="L1274" s="1" t="s">
        <v>19</v>
      </c>
    </row>
    <row r="1275" spans="1:16" ht="13" x14ac:dyDescent="0.15">
      <c r="A1275" s="1">
        <v>107939</v>
      </c>
      <c r="B1275" s="1">
        <v>0</v>
      </c>
      <c r="C1275" s="1" t="s">
        <v>26</v>
      </c>
      <c r="D1275" s="1" t="s">
        <v>27</v>
      </c>
      <c r="E1275" s="1" t="s">
        <v>2996</v>
      </c>
      <c r="F1275" s="1" t="s">
        <v>1786</v>
      </c>
      <c r="G1275" s="1" t="s">
        <v>23</v>
      </c>
      <c r="I1275" s="16">
        <v>40894.136111111111</v>
      </c>
      <c r="J1275" s="1" t="s">
        <v>40</v>
      </c>
      <c r="K1275" s="1" t="s">
        <v>18</v>
      </c>
      <c r="L1275" s="1" t="s">
        <v>19</v>
      </c>
    </row>
    <row r="1276" spans="1:16" ht="13" x14ac:dyDescent="0.15">
      <c r="A1276" s="1">
        <v>87925</v>
      </c>
      <c r="B1276" s="1">
        <v>0</v>
      </c>
      <c r="C1276" s="1" t="s">
        <v>26</v>
      </c>
      <c r="D1276" s="1" t="s">
        <v>27</v>
      </c>
      <c r="E1276" s="1" t="s">
        <v>2997</v>
      </c>
      <c r="F1276" s="1" t="s">
        <v>2998</v>
      </c>
      <c r="G1276" s="1" t="s">
        <v>23</v>
      </c>
      <c r="I1276" s="16">
        <v>40723.752974537034</v>
      </c>
      <c r="J1276" s="1" t="s">
        <v>44</v>
      </c>
      <c r="K1276" s="1" t="s">
        <v>18</v>
      </c>
      <c r="L1276" s="1" t="s">
        <v>19</v>
      </c>
    </row>
    <row r="1277" spans="1:16" ht="13" x14ac:dyDescent="0.15">
      <c r="A1277" s="1">
        <v>220039</v>
      </c>
      <c r="B1277" s="1">
        <v>0</v>
      </c>
      <c r="C1277" s="1" t="s">
        <v>2706</v>
      </c>
      <c r="D1277" s="1" t="s">
        <v>27</v>
      </c>
      <c r="E1277" s="1" t="s">
        <v>2999</v>
      </c>
      <c r="F1277" s="1" t="s">
        <v>3000</v>
      </c>
      <c r="G1277" s="1" t="s">
        <v>23</v>
      </c>
      <c r="I1277" s="16">
        <v>41352.027407407404</v>
      </c>
      <c r="J1277" s="1" t="s">
        <v>3001</v>
      </c>
      <c r="K1277" s="1" t="s">
        <v>18</v>
      </c>
      <c r="L1277" s="1" t="s">
        <v>19</v>
      </c>
    </row>
    <row r="1278" spans="1:16" ht="13" x14ac:dyDescent="0.15">
      <c r="A1278" s="1">
        <v>108037</v>
      </c>
      <c r="B1278" s="1">
        <v>0</v>
      </c>
      <c r="C1278" s="1" t="s">
        <v>41</v>
      </c>
      <c r="D1278" s="1" t="s">
        <v>27</v>
      </c>
      <c r="E1278" s="1" t="s">
        <v>3002</v>
      </c>
      <c r="F1278" s="1" t="s">
        <v>3003</v>
      </c>
      <c r="G1278" s="1" t="s">
        <v>23</v>
      </c>
      <c r="I1278" s="16">
        <v>40896.405231481483</v>
      </c>
      <c r="J1278" s="1" t="s">
        <v>544</v>
      </c>
      <c r="K1278" s="1" t="s">
        <v>18</v>
      </c>
      <c r="L1278" s="1" t="s">
        <v>19</v>
      </c>
    </row>
    <row r="1279" spans="1:16" ht="13" x14ac:dyDescent="0.15">
      <c r="A1279" s="1">
        <v>609286</v>
      </c>
      <c r="B1279" s="1">
        <v>0</v>
      </c>
      <c r="C1279" s="1" t="s">
        <v>2854</v>
      </c>
      <c r="D1279" s="1" t="s">
        <v>27</v>
      </c>
      <c r="E1279" s="1" t="s">
        <v>3004</v>
      </c>
      <c r="F1279" s="1" t="s">
        <v>3005</v>
      </c>
      <c r="G1279" s="1" t="s">
        <v>16</v>
      </c>
      <c r="I1279" s="16">
        <v>42494.906539351854</v>
      </c>
      <c r="J1279" s="1" t="s">
        <v>2366</v>
      </c>
      <c r="K1279" s="1" t="s">
        <v>18</v>
      </c>
      <c r="L1279" s="1" t="s">
        <v>19</v>
      </c>
    </row>
    <row r="1280" spans="1:16" ht="13" x14ac:dyDescent="0.15">
      <c r="A1280" s="1">
        <v>53930</v>
      </c>
      <c r="B1280" s="1">
        <v>0</v>
      </c>
      <c r="D1280" s="1" t="s">
        <v>27</v>
      </c>
      <c r="E1280" s="1" t="s">
        <v>3006</v>
      </c>
      <c r="F1280" s="1" t="s">
        <v>3007</v>
      </c>
      <c r="G1280" s="1" t="s">
        <v>16</v>
      </c>
      <c r="I1280" s="16">
        <v>40421.367025462961</v>
      </c>
      <c r="J1280" s="1" t="s">
        <v>151</v>
      </c>
      <c r="K1280" s="1" t="s">
        <v>18</v>
      </c>
      <c r="L1280" s="1" t="s">
        <v>19</v>
      </c>
    </row>
    <row r="1281" spans="1:20" ht="13" x14ac:dyDescent="0.15">
      <c r="A1281" s="1">
        <v>51654</v>
      </c>
      <c r="B1281" s="1">
        <v>0</v>
      </c>
      <c r="C1281" s="1" t="s">
        <v>26</v>
      </c>
      <c r="D1281" s="1" t="s">
        <v>27</v>
      </c>
      <c r="E1281" s="1" t="s">
        <v>3008</v>
      </c>
      <c r="F1281" s="1" t="s">
        <v>1557</v>
      </c>
      <c r="I1281" s="16">
        <v>40400.200439814813</v>
      </c>
      <c r="J1281" s="1" t="s">
        <v>263</v>
      </c>
      <c r="K1281" s="1" t="s">
        <v>18</v>
      </c>
      <c r="L1281" s="1" t="s">
        <v>19</v>
      </c>
    </row>
    <row r="1282" spans="1:20" ht="13" x14ac:dyDescent="0.15">
      <c r="A1282" s="1">
        <v>51653</v>
      </c>
      <c r="B1282" s="1">
        <v>0</v>
      </c>
      <c r="C1282" s="1" t="s">
        <v>26</v>
      </c>
      <c r="D1282" s="1" t="s">
        <v>27</v>
      </c>
      <c r="E1282" s="1" t="s">
        <v>3009</v>
      </c>
      <c r="F1282" s="1" t="s">
        <v>29</v>
      </c>
      <c r="I1282" s="16">
        <v>40400.185312499998</v>
      </c>
      <c r="J1282" s="1" t="s">
        <v>263</v>
      </c>
      <c r="K1282" s="1" t="s">
        <v>18</v>
      </c>
      <c r="L1282" s="1" t="s">
        <v>19</v>
      </c>
    </row>
    <row r="1283" spans="1:20" ht="13" x14ac:dyDescent="0.15">
      <c r="A1283" s="1">
        <v>663402</v>
      </c>
      <c r="B1283" s="1">
        <v>1</v>
      </c>
      <c r="C1283" s="1" t="s">
        <v>101</v>
      </c>
      <c r="D1283" s="1" t="s">
        <v>27</v>
      </c>
      <c r="E1283" s="1" t="s">
        <v>3010</v>
      </c>
      <c r="F1283" s="1" t="s">
        <v>3011</v>
      </c>
      <c r="G1283" s="1" t="s">
        <v>668</v>
      </c>
      <c r="I1283" s="16">
        <v>42682.728900462964</v>
      </c>
      <c r="J1283" s="1" t="s">
        <v>258</v>
      </c>
      <c r="K1283" s="1" t="s">
        <v>18</v>
      </c>
      <c r="L1283" s="1" t="s">
        <v>19</v>
      </c>
      <c r="M1283" s="1">
        <v>659561</v>
      </c>
      <c r="N1283" s="1" t="s">
        <v>3012</v>
      </c>
      <c r="O1283" s="16">
        <v>42669.417685185188</v>
      </c>
      <c r="P1283" s="1" t="s">
        <v>3013</v>
      </c>
    </row>
    <row r="1284" spans="1:20" ht="13" x14ac:dyDescent="0.15">
      <c r="A1284" s="1">
        <v>379998</v>
      </c>
      <c r="B1284" s="1">
        <v>0</v>
      </c>
      <c r="C1284" s="1" t="s">
        <v>280</v>
      </c>
      <c r="D1284" s="1" t="s">
        <v>27</v>
      </c>
      <c r="E1284" s="1" t="s">
        <v>3014</v>
      </c>
      <c r="F1284" s="1" t="s">
        <v>3015</v>
      </c>
      <c r="G1284" s="1" t="s">
        <v>23</v>
      </c>
      <c r="I1284" s="16">
        <v>41793.07</v>
      </c>
      <c r="J1284" s="1" t="s">
        <v>17</v>
      </c>
      <c r="K1284" s="1" t="s">
        <v>18</v>
      </c>
      <c r="L1284" s="1" t="s">
        <v>19</v>
      </c>
    </row>
    <row r="1285" spans="1:20" ht="13" x14ac:dyDescent="0.15">
      <c r="A1285" s="1">
        <v>453279</v>
      </c>
      <c r="B1285" s="1">
        <v>0</v>
      </c>
      <c r="D1285" s="1" t="s">
        <v>27</v>
      </c>
      <c r="E1285" s="1" t="s">
        <v>3016</v>
      </c>
      <c r="F1285" s="1" t="s">
        <v>3017</v>
      </c>
      <c r="I1285" s="16">
        <v>42033.391770833332</v>
      </c>
      <c r="J1285" s="1" t="s">
        <v>726</v>
      </c>
      <c r="K1285" s="1" t="s">
        <v>18</v>
      </c>
      <c r="L1285" s="1" t="s">
        <v>19</v>
      </c>
    </row>
    <row r="1286" spans="1:20" ht="13" x14ac:dyDescent="0.15">
      <c r="A1286" s="1">
        <v>279277</v>
      </c>
      <c r="B1286" s="1">
        <v>0</v>
      </c>
      <c r="D1286" s="1" t="s">
        <v>27</v>
      </c>
      <c r="E1286" s="1" t="s">
        <v>58</v>
      </c>
      <c r="F1286" s="1" t="s">
        <v>3018</v>
      </c>
      <c r="G1286" s="1" t="s">
        <v>23</v>
      </c>
      <c r="I1286" s="16">
        <v>41512.663113425922</v>
      </c>
      <c r="J1286" s="1" t="s">
        <v>408</v>
      </c>
      <c r="K1286" s="1" t="s">
        <v>18</v>
      </c>
      <c r="L1286" s="1" t="s">
        <v>19</v>
      </c>
    </row>
    <row r="1287" spans="1:20" ht="13" x14ac:dyDescent="0.15">
      <c r="A1287" s="1">
        <v>42294</v>
      </c>
      <c r="B1287" s="1">
        <v>0</v>
      </c>
      <c r="C1287" s="1" t="s">
        <v>3019</v>
      </c>
      <c r="D1287" s="1" t="s">
        <v>27</v>
      </c>
      <c r="E1287" s="1" t="s">
        <v>3020</v>
      </c>
      <c r="F1287" s="1" t="s">
        <v>3021</v>
      </c>
      <c r="I1287" s="16">
        <v>40290.419548611113</v>
      </c>
      <c r="J1287" s="1" t="s">
        <v>30</v>
      </c>
      <c r="K1287" s="1" t="s">
        <v>18</v>
      </c>
      <c r="L1287" s="1" t="s">
        <v>19</v>
      </c>
    </row>
    <row r="1288" spans="1:20" ht="13" x14ac:dyDescent="0.15">
      <c r="A1288" s="1">
        <v>522791</v>
      </c>
      <c r="B1288" s="1">
        <v>0</v>
      </c>
      <c r="C1288" s="1" t="s">
        <v>490</v>
      </c>
      <c r="D1288" s="1" t="s">
        <v>27</v>
      </c>
      <c r="E1288" s="1" t="s">
        <v>3022</v>
      </c>
      <c r="F1288" s="1" t="s">
        <v>3023</v>
      </c>
      <c r="G1288" s="1" t="s">
        <v>23</v>
      </c>
      <c r="I1288" s="16">
        <v>42236.174837962964</v>
      </c>
      <c r="J1288" s="1" t="s">
        <v>247</v>
      </c>
      <c r="K1288" s="1" t="s">
        <v>18</v>
      </c>
      <c r="L1288" s="1" t="s">
        <v>19</v>
      </c>
    </row>
    <row r="1289" spans="1:20" ht="13" x14ac:dyDescent="0.15">
      <c r="A1289" s="1">
        <v>418161</v>
      </c>
      <c r="B1289" s="1">
        <v>0</v>
      </c>
      <c r="C1289" s="1" t="s">
        <v>65</v>
      </c>
      <c r="D1289" s="1" t="s">
        <v>27</v>
      </c>
      <c r="E1289" s="1" t="s">
        <v>3024</v>
      </c>
      <c r="F1289" s="1" t="s">
        <v>3025</v>
      </c>
      <c r="G1289" s="1" t="s">
        <v>16</v>
      </c>
      <c r="I1289" s="16">
        <v>41908.743831018517</v>
      </c>
      <c r="J1289" s="1" t="s">
        <v>408</v>
      </c>
      <c r="K1289" s="1" t="s">
        <v>18</v>
      </c>
      <c r="L1289" s="1" t="s">
        <v>19</v>
      </c>
    </row>
    <row r="1290" spans="1:20" ht="13" x14ac:dyDescent="0.15">
      <c r="A1290" s="1">
        <v>58657</v>
      </c>
      <c r="B1290" s="1">
        <v>0</v>
      </c>
      <c r="C1290" s="1" t="s">
        <v>26</v>
      </c>
      <c r="D1290" s="1" t="s">
        <v>27</v>
      </c>
      <c r="E1290" s="1" t="s">
        <v>3026</v>
      </c>
      <c r="F1290" s="1" t="s">
        <v>3027</v>
      </c>
      <c r="G1290" s="1" t="s">
        <v>23</v>
      </c>
      <c r="I1290" s="16">
        <v>40461.027083333334</v>
      </c>
      <c r="J1290" s="1" t="s">
        <v>263</v>
      </c>
      <c r="K1290" s="1" t="s">
        <v>18</v>
      </c>
      <c r="L1290" s="1" t="s">
        <v>19</v>
      </c>
    </row>
    <row r="1291" spans="1:20" ht="13" x14ac:dyDescent="0.15">
      <c r="A1291" s="1">
        <v>678706</v>
      </c>
      <c r="B1291" s="1">
        <v>0</v>
      </c>
      <c r="C1291" s="1" t="s">
        <v>409</v>
      </c>
      <c r="D1291" s="1" t="s">
        <v>27</v>
      </c>
      <c r="E1291" s="1" t="s">
        <v>3028</v>
      </c>
      <c r="F1291" s="1" t="s">
        <v>3029</v>
      </c>
      <c r="I1291" s="16">
        <v>42740.813020833331</v>
      </c>
      <c r="J1291" s="1" t="s">
        <v>3030</v>
      </c>
      <c r="K1291" s="1" t="s">
        <v>18</v>
      </c>
      <c r="L1291" s="1" t="s">
        <v>19</v>
      </c>
    </row>
    <row r="1292" spans="1:20" ht="13" x14ac:dyDescent="0.15">
      <c r="A1292" s="1">
        <v>76966</v>
      </c>
      <c r="B1292" s="1">
        <v>0</v>
      </c>
      <c r="C1292" s="1" t="s">
        <v>26</v>
      </c>
      <c r="D1292" s="1" t="s">
        <v>27</v>
      </c>
      <c r="E1292" s="1" t="s">
        <v>3031</v>
      </c>
      <c r="F1292" s="1" t="s">
        <v>3032</v>
      </c>
      <c r="G1292" s="1" t="s">
        <v>23</v>
      </c>
      <c r="I1292" s="16">
        <v>40623.874247685184</v>
      </c>
      <c r="J1292" s="1" t="s">
        <v>44</v>
      </c>
      <c r="K1292" s="1" t="s">
        <v>18</v>
      </c>
      <c r="L1292" s="1" t="s">
        <v>19</v>
      </c>
    </row>
    <row r="1293" spans="1:20" ht="13" x14ac:dyDescent="0.15">
      <c r="A1293" s="1">
        <v>92651</v>
      </c>
      <c r="B1293" s="1">
        <v>2</v>
      </c>
      <c r="C1293" s="1" t="s">
        <v>26</v>
      </c>
      <c r="D1293" s="1" t="s">
        <v>27</v>
      </c>
      <c r="E1293" s="1" t="s">
        <v>3033</v>
      </c>
      <c r="F1293" s="1" t="s">
        <v>3034</v>
      </c>
      <c r="G1293" s="1" t="s">
        <v>23</v>
      </c>
      <c r="I1293" s="16">
        <v>40767.60633101852</v>
      </c>
      <c r="J1293" s="1" t="s">
        <v>40</v>
      </c>
      <c r="K1293" s="1" t="s">
        <v>18</v>
      </c>
      <c r="L1293" s="1" t="s">
        <v>19</v>
      </c>
      <c r="M1293" s="1">
        <v>94427</v>
      </c>
      <c r="N1293" s="1" t="s">
        <v>3035</v>
      </c>
      <c r="O1293" s="16">
        <v>40781.85528935185</v>
      </c>
      <c r="P1293" s="1" t="s">
        <v>44</v>
      </c>
      <c r="Q1293" s="1">
        <v>91275</v>
      </c>
      <c r="R1293" s="1" t="s">
        <v>3035</v>
      </c>
      <c r="S1293" s="4">
        <v>40756.913078703707</v>
      </c>
      <c r="T1293" s="1" t="s">
        <v>261</v>
      </c>
    </row>
    <row r="1294" spans="1:20" ht="13" x14ac:dyDescent="0.15">
      <c r="A1294" s="1">
        <v>125730</v>
      </c>
      <c r="B1294" s="1">
        <v>0</v>
      </c>
      <c r="C1294" s="1" t="s">
        <v>26</v>
      </c>
      <c r="D1294" s="1" t="s">
        <v>27</v>
      </c>
      <c r="E1294" s="1" t="s">
        <v>3036</v>
      </c>
      <c r="F1294" s="1" t="s">
        <v>1959</v>
      </c>
      <c r="G1294" s="1" t="s">
        <v>23</v>
      </c>
      <c r="I1294" s="16">
        <v>41030.610185185185</v>
      </c>
      <c r="J1294" s="1" t="s">
        <v>241</v>
      </c>
      <c r="K1294" s="1" t="s">
        <v>18</v>
      </c>
      <c r="L1294" s="1" t="s">
        <v>19</v>
      </c>
    </row>
    <row r="1295" spans="1:20" ht="13" x14ac:dyDescent="0.15">
      <c r="A1295" s="1">
        <v>421504</v>
      </c>
      <c r="B1295" s="1">
        <v>0</v>
      </c>
      <c r="C1295" s="1" t="s">
        <v>2089</v>
      </c>
      <c r="D1295" s="1" t="s">
        <v>27</v>
      </c>
      <c r="E1295" s="1" t="s">
        <v>3037</v>
      </c>
      <c r="F1295" s="1" t="s">
        <v>3038</v>
      </c>
      <c r="G1295" s="1" t="s">
        <v>23</v>
      </c>
      <c r="I1295" s="16">
        <v>41920.693530092591</v>
      </c>
      <c r="J1295" s="1" t="s">
        <v>17</v>
      </c>
      <c r="K1295" s="1" t="s">
        <v>18</v>
      </c>
      <c r="L1295" s="1" t="s">
        <v>19</v>
      </c>
    </row>
    <row r="1296" spans="1:20" ht="13" x14ac:dyDescent="0.15">
      <c r="A1296" s="1">
        <v>395650</v>
      </c>
      <c r="B1296" s="1">
        <v>0</v>
      </c>
      <c r="C1296" s="1" t="s">
        <v>689</v>
      </c>
      <c r="D1296" s="1" t="s">
        <v>27</v>
      </c>
      <c r="E1296" s="1" t="s">
        <v>3039</v>
      </c>
      <c r="F1296" s="1" t="s">
        <v>3040</v>
      </c>
      <c r="G1296" s="1" t="s">
        <v>16</v>
      </c>
      <c r="I1296" s="16">
        <v>41841.669166666667</v>
      </c>
      <c r="J1296" s="1" t="s">
        <v>3041</v>
      </c>
      <c r="K1296" s="1" t="s">
        <v>18</v>
      </c>
      <c r="L1296" s="1" t="s">
        <v>19</v>
      </c>
    </row>
    <row r="1297" spans="1:16" ht="13" x14ac:dyDescent="0.15">
      <c r="A1297" s="1">
        <v>18639</v>
      </c>
      <c r="B1297" s="1">
        <v>0</v>
      </c>
      <c r="D1297" s="1" t="s">
        <v>27</v>
      </c>
      <c r="E1297" s="1" t="s">
        <v>3042</v>
      </c>
      <c r="F1297" s="1" t="s">
        <v>3043</v>
      </c>
      <c r="G1297" s="1" t="s">
        <v>23</v>
      </c>
      <c r="I1297" s="16">
        <v>40031.696956018517</v>
      </c>
      <c r="J1297" s="1" t="s">
        <v>3044</v>
      </c>
      <c r="K1297" s="1" t="s">
        <v>18</v>
      </c>
      <c r="L1297" s="1" t="s">
        <v>19</v>
      </c>
    </row>
    <row r="1298" spans="1:16" ht="13" x14ac:dyDescent="0.15">
      <c r="A1298" s="1">
        <v>66760</v>
      </c>
      <c r="B1298" s="1">
        <v>0</v>
      </c>
      <c r="C1298" s="1" t="s">
        <v>26</v>
      </c>
      <c r="D1298" s="1" t="s">
        <v>27</v>
      </c>
      <c r="E1298" s="1" t="s">
        <v>3045</v>
      </c>
      <c r="F1298" s="1" t="s">
        <v>1173</v>
      </c>
      <c r="G1298" s="1" t="s">
        <v>23</v>
      </c>
      <c r="I1298" s="16">
        <v>40526.006597222222</v>
      </c>
      <c r="J1298" s="1" t="s">
        <v>398</v>
      </c>
      <c r="K1298" s="1" t="s">
        <v>18</v>
      </c>
      <c r="L1298" s="1" t="s">
        <v>19</v>
      </c>
    </row>
    <row r="1299" spans="1:16" ht="13" x14ac:dyDescent="0.15">
      <c r="A1299" s="1">
        <v>99211</v>
      </c>
      <c r="B1299" s="1">
        <v>0</v>
      </c>
      <c r="C1299" s="1" t="s">
        <v>26</v>
      </c>
      <c r="D1299" s="1" t="s">
        <v>27</v>
      </c>
      <c r="E1299" s="1" t="s">
        <v>3046</v>
      </c>
      <c r="F1299" s="1" t="s">
        <v>3047</v>
      </c>
      <c r="G1299" s="1" t="s">
        <v>23</v>
      </c>
      <c r="I1299" s="16">
        <v>40821.763553240744</v>
      </c>
      <c r="J1299" s="1" t="s">
        <v>44</v>
      </c>
      <c r="K1299" s="1" t="s">
        <v>18</v>
      </c>
      <c r="L1299" s="1" t="s">
        <v>19</v>
      </c>
    </row>
    <row r="1300" spans="1:16" ht="13" x14ac:dyDescent="0.15">
      <c r="A1300" s="1">
        <v>140484</v>
      </c>
      <c r="B1300" s="1">
        <v>0</v>
      </c>
      <c r="C1300" s="1" t="s">
        <v>26</v>
      </c>
      <c r="D1300" s="1" t="s">
        <v>27</v>
      </c>
      <c r="E1300" s="1" t="s">
        <v>58</v>
      </c>
      <c r="F1300" s="1" t="s">
        <v>162</v>
      </c>
      <c r="G1300" s="1" t="s">
        <v>23</v>
      </c>
      <c r="I1300" s="16">
        <v>41124.644479166665</v>
      </c>
      <c r="J1300" s="1" t="s">
        <v>40</v>
      </c>
      <c r="K1300" s="1" t="s">
        <v>18</v>
      </c>
      <c r="L1300" s="1" t="s">
        <v>19</v>
      </c>
    </row>
    <row r="1301" spans="1:16" ht="13" x14ac:dyDescent="0.15">
      <c r="A1301" s="1">
        <v>143761</v>
      </c>
      <c r="B1301" s="1">
        <v>0</v>
      </c>
      <c r="C1301" s="1" t="s">
        <v>41</v>
      </c>
      <c r="D1301" s="1" t="s">
        <v>27</v>
      </c>
      <c r="E1301" s="1" t="s">
        <v>42</v>
      </c>
      <c r="F1301" s="1" t="s">
        <v>3048</v>
      </c>
      <c r="G1301" s="1" t="s">
        <v>23</v>
      </c>
      <c r="I1301" s="16">
        <v>41141.810277777775</v>
      </c>
      <c r="J1301" s="1" t="s">
        <v>44</v>
      </c>
      <c r="K1301" s="1" t="s">
        <v>18</v>
      </c>
      <c r="L1301" s="1" t="s">
        <v>19</v>
      </c>
    </row>
    <row r="1302" spans="1:16" ht="13" x14ac:dyDescent="0.15">
      <c r="A1302" s="1">
        <v>403276</v>
      </c>
      <c r="B1302" s="1">
        <v>0</v>
      </c>
      <c r="D1302" s="1" t="s">
        <v>27</v>
      </c>
      <c r="E1302" s="1" t="s">
        <v>3049</v>
      </c>
      <c r="F1302" s="1" t="s">
        <v>3050</v>
      </c>
      <c r="G1302" s="1" t="s">
        <v>16</v>
      </c>
      <c r="I1302" s="16">
        <v>41864.446909722225</v>
      </c>
      <c r="J1302" s="1" t="s">
        <v>68</v>
      </c>
      <c r="K1302" s="1" t="s">
        <v>18</v>
      </c>
      <c r="L1302" s="1" t="s">
        <v>19</v>
      </c>
    </row>
    <row r="1303" spans="1:16" ht="13" x14ac:dyDescent="0.15">
      <c r="A1303" s="1">
        <v>87548</v>
      </c>
      <c r="B1303" s="1">
        <v>0</v>
      </c>
      <c r="C1303" s="1" t="s">
        <v>26</v>
      </c>
      <c r="D1303" s="1" t="s">
        <v>27</v>
      </c>
      <c r="E1303" s="1" t="s">
        <v>3051</v>
      </c>
      <c r="F1303" s="1" t="s">
        <v>3052</v>
      </c>
      <c r="G1303" s="1" t="s">
        <v>23</v>
      </c>
      <c r="I1303" s="16">
        <v>40720.663611111115</v>
      </c>
      <c r="J1303" s="1" t="s">
        <v>40</v>
      </c>
      <c r="K1303" s="1" t="s">
        <v>18</v>
      </c>
      <c r="L1303" s="1" t="s">
        <v>19</v>
      </c>
    </row>
    <row r="1304" spans="1:16" ht="13" x14ac:dyDescent="0.15">
      <c r="A1304" s="1">
        <v>390928</v>
      </c>
      <c r="B1304" s="1">
        <v>0</v>
      </c>
      <c r="D1304" s="1" t="s">
        <v>27</v>
      </c>
      <c r="E1304" s="1" t="s">
        <v>3053</v>
      </c>
      <c r="F1304" s="1" t="s">
        <v>3054</v>
      </c>
      <c r="G1304" s="1" t="s">
        <v>23</v>
      </c>
      <c r="I1304" s="16">
        <v>41822.634513888886</v>
      </c>
      <c r="J1304" s="1" t="s">
        <v>68</v>
      </c>
      <c r="K1304" s="1" t="s">
        <v>18</v>
      </c>
      <c r="L1304" s="1" t="s">
        <v>19</v>
      </c>
    </row>
    <row r="1305" spans="1:16" ht="13" x14ac:dyDescent="0.15">
      <c r="A1305" s="1">
        <v>667493</v>
      </c>
      <c r="B1305" s="1">
        <v>0</v>
      </c>
      <c r="D1305" s="1" t="s">
        <v>27</v>
      </c>
      <c r="E1305" s="1" t="s">
        <v>3055</v>
      </c>
      <c r="F1305" s="1" t="s">
        <v>3056</v>
      </c>
      <c r="G1305" s="1" t="s">
        <v>3057</v>
      </c>
      <c r="I1305" s="16">
        <v>42695.918576388889</v>
      </c>
      <c r="J1305" s="1" t="s">
        <v>3058</v>
      </c>
      <c r="K1305" s="1" t="s">
        <v>18</v>
      </c>
      <c r="L1305" s="1" t="s">
        <v>19</v>
      </c>
    </row>
    <row r="1306" spans="1:16" ht="13" x14ac:dyDescent="0.15">
      <c r="A1306" s="1">
        <v>75186</v>
      </c>
      <c r="B1306" s="1">
        <v>0</v>
      </c>
      <c r="C1306" s="1" t="s">
        <v>26</v>
      </c>
      <c r="D1306" s="1" t="s">
        <v>27</v>
      </c>
      <c r="E1306" s="1" t="s">
        <v>3059</v>
      </c>
      <c r="F1306" s="1" t="s">
        <v>3060</v>
      </c>
      <c r="G1306" s="1" t="s">
        <v>23</v>
      </c>
      <c r="I1306" s="16">
        <v>40609.901354166665</v>
      </c>
      <c r="J1306" s="1" t="s">
        <v>72</v>
      </c>
      <c r="K1306" s="1" t="s">
        <v>18</v>
      </c>
      <c r="L1306" s="1" t="s">
        <v>19</v>
      </c>
    </row>
    <row r="1307" spans="1:16" ht="13" x14ac:dyDescent="0.15">
      <c r="A1307" s="1">
        <v>91911</v>
      </c>
      <c r="B1307" s="1">
        <v>1</v>
      </c>
      <c r="C1307" s="1" t="s">
        <v>26</v>
      </c>
      <c r="D1307" s="1" t="s">
        <v>27</v>
      </c>
      <c r="E1307" s="1" t="s">
        <v>2176</v>
      </c>
      <c r="F1307" s="1" t="s">
        <v>3061</v>
      </c>
      <c r="G1307" s="1" t="s">
        <v>23</v>
      </c>
      <c r="I1307" s="16">
        <v>40761.322650462964</v>
      </c>
      <c r="J1307" s="1" t="s">
        <v>40</v>
      </c>
      <c r="K1307" s="1" t="s">
        <v>18</v>
      </c>
      <c r="L1307" s="1" t="s">
        <v>19</v>
      </c>
      <c r="M1307" s="1">
        <v>100002</v>
      </c>
      <c r="N1307" s="1" t="s">
        <v>3062</v>
      </c>
      <c r="O1307" s="16">
        <v>40828.25403935185</v>
      </c>
      <c r="P1307" s="1" t="s">
        <v>44</v>
      </c>
    </row>
    <row r="1308" spans="1:16" ht="13" x14ac:dyDescent="0.15">
      <c r="A1308" s="1">
        <v>77130</v>
      </c>
      <c r="B1308" s="1">
        <v>0</v>
      </c>
      <c r="C1308" s="1" t="s">
        <v>26</v>
      </c>
      <c r="D1308" s="1" t="s">
        <v>27</v>
      </c>
      <c r="E1308" s="1" t="s">
        <v>3063</v>
      </c>
      <c r="F1308" s="1" t="s">
        <v>3064</v>
      </c>
      <c r="G1308" s="1" t="s">
        <v>23</v>
      </c>
      <c r="I1308" s="16">
        <v>40625.221226851849</v>
      </c>
      <c r="J1308" s="1" t="s">
        <v>30</v>
      </c>
      <c r="K1308" s="1" t="s">
        <v>18</v>
      </c>
      <c r="L1308" s="1" t="s">
        <v>19</v>
      </c>
    </row>
    <row r="1309" spans="1:16" ht="13" x14ac:dyDescent="0.15">
      <c r="A1309" s="1">
        <v>559075</v>
      </c>
      <c r="B1309" s="1">
        <v>0</v>
      </c>
      <c r="C1309" s="1" t="s">
        <v>1810</v>
      </c>
      <c r="D1309" s="1" t="s">
        <v>27</v>
      </c>
      <c r="E1309" s="1" t="s">
        <v>3065</v>
      </c>
      <c r="F1309" s="1" t="s">
        <v>3066</v>
      </c>
      <c r="G1309" s="1" t="s">
        <v>1056</v>
      </c>
      <c r="I1309" s="16">
        <v>42328.416701388887</v>
      </c>
      <c r="J1309" s="1" t="s">
        <v>1301</v>
      </c>
      <c r="K1309" s="1" t="s">
        <v>18</v>
      </c>
      <c r="L1309" s="1" t="s">
        <v>19</v>
      </c>
    </row>
    <row r="1310" spans="1:16" ht="13" x14ac:dyDescent="0.15">
      <c r="A1310" s="1">
        <v>459215</v>
      </c>
      <c r="B1310" s="1">
        <v>0</v>
      </c>
      <c r="C1310" s="1" t="s">
        <v>12</v>
      </c>
      <c r="D1310" s="1" t="s">
        <v>27</v>
      </c>
      <c r="E1310" s="1" t="s">
        <v>3067</v>
      </c>
      <c r="F1310" s="1" t="s">
        <v>3068</v>
      </c>
      <c r="G1310" s="1" t="s">
        <v>23</v>
      </c>
      <c r="I1310" s="16">
        <v>42052.639537037037</v>
      </c>
      <c r="J1310" s="1" t="s">
        <v>3069</v>
      </c>
      <c r="K1310" s="1" t="s">
        <v>18</v>
      </c>
      <c r="L1310" s="1" t="s">
        <v>19</v>
      </c>
    </row>
    <row r="1311" spans="1:16" ht="13" x14ac:dyDescent="0.15">
      <c r="A1311" s="1">
        <v>175342</v>
      </c>
      <c r="B1311" s="1">
        <v>0</v>
      </c>
      <c r="C1311" s="1" t="s">
        <v>26</v>
      </c>
      <c r="D1311" s="1" t="s">
        <v>27</v>
      </c>
      <c r="E1311" s="1" t="s">
        <v>3070</v>
      </c>
      <c r="F1311" s="1" t="s">
        <v>1129</v>
      </c>
      <c r="G1311" s="1" t="s">
        <v>23</v>
      </c>
      <c r="I1311" s="16">
        <v>41315.73097222222</v>
      </c>
      <c r="J1311" s="1" t="s">
        <v>40</v>
      </c>
      <c r="K1311" s="1" t="s">
        <v>18</v>
      </c>
      <c r="L1311" s="1" t="s">
        <v>19</v>
      </c>
    </row>
    <row r="1312" spans="1:16" ht="13" x14ac:dyDescent="0.15">
      <c r="A1312" s="1">
        <v>243881</v>
      </c>
      <c r="B1312" s="1">
        <v>0</v>
      </c>
      <c r="C1312" s="1" t="s">
        <v>31</v>
      </c>
      <c r="D1312" s="1" t="s">
        <v>27</v>
      </c>
      <c r="E1312" s="1" t="s">
        <v>3071</v>
      </c>
      <c r="F1312" s="1" t="s">
        <v>772</v>
      </c>
      <c r="G1312" s="1" t="s">
        <v>23</v>
      </c>
      <c r="I1312" s="16">
        <v>41418.868020833332</v>
      </c>
      <c r="J1312" s="1" t="s">
        <v>238</v>
      </c>
      <c r="K1312" s="1" t="s">
        <v>18</v>
      </c>
      <c r="L1312" s="1" t="s">
        <v>19</v>
      </c>
    </row>
    <row r="1313" spans="1:20" ht="13" x14ac:dyDescent="0.15">
      <c r="A1313" s="1">
        <v>110172</v>
      </c>
      <c r="B1313" s="1">
        <v>0</v>
      </c>
      <c r="C1313" s="1" t="s">
        <v>514</v>
      </c>
      <c r="D1313" s="1" t="s">
        <v>27</v>
      </c>
      <c r="E1313" s="1" t="s">
        <v>2026</v>
      </c>
      <c r="F1313" s="1" t="s">
        <v>3072</v>
      </c>
      <c r="G1313" s="1" t="s">
        <v>23</v>
      </c>
      <c r="I1313" s="16">
        <v>40921.70349537037</v>
      </c>
      <c r="J1313" s="1" t="s">
        <v>190</v>
      </c>
      <c r="K1313" s="1" t="s">
        <v>18</v>
      </c>
      <c r="L1313" s="1" t="s">
        <v>19</v>
      </c>
    </row>
    <row r="1314" spans="1:20" ht="13" x14ac:dyDescent="0.15">
      <c r="A1314" s="1">
        <v>401363</v>
      </c>
      <c r="B1314" s="1">
        <v>2</v>
      </c>
      <c r="D1314" s="1" t="s">
        <v>27</v>
      </c>
      <c r="E1314" s="1" t="s">
        <v>3073</v>
      </c>
      <c r="F1314" s="1" t="s">
        <v>3074</v>
      </c>
      <c r="G1314" s="1" t="s">
        <v>23</v>
      </c>
      <c r="I1314" s="16">
        <v>41858.182349537034</v>
      </c>
      <c r="J1314" s="1" t="s">
        <v>17</v>
      </c>
      <c r="K1314" s="1" t="s">
        <v>18</v>
      </c>
      <c r="L1314" s="1" t="s">
        <v>19</v>
      </c>
      <c r="M1314" s="1">
        <v>403917</v>
      </c>
      <c r="N1314" s="1" t="s">
        <v>3075</v>
      </c>
      <c r="O1314" s="16">
        <v>41865.867118055554</v>
      </c>
      <c r="P1314" s="1" t="s">
        <v>1922</v>
      </c>
      <c r="Q1314" s="1">
        <v>405134</v>
      </c>
      <c r="R1314" s="1" t="s">
        <v>3076</v>
      </c>
      <c r="S1314" s="2">
        <v>41870.750925925924</v>
      </c>
      <c r="T1314" s="1" t="s">
        <v>24</v>
      </c>
    </row>
    <row r="1315" spans="1:20" ht="13" x14ac:dyDescent="0.15">
      <c r="A1315" s="1">
        <v>405335</v>
      </c>
      <c r="B1315" s="1">
        <v>0</v>
      </c>
      <c r="D1315" s="1" t="s">
        <v>27</v>
      </c>
      <c r="E1315" s="1" t="s">
        <v>3077</v>
      </c>
      <c r="F1315" s="1" t="s">
        <v>3078</v>
      </c>
      <c r="G1315" s="1" t="s">
        <v>353</v>
      </c>
      <c r="I1315" s="16">
        <v>41870.948923611111</v>
      </c>
      <c r="J1315" s="1" t="s">
        <v>17</v>
      </c>
      <c r="K1315" s="1" t="s">
        <v>18</v>
      </c>
      <c r="L1315" s="1" t="s">
        <v>19</v>
      </c>
    </row>
    <row r="1316" spans="1:20" ht="13" x14ac:dyDescent="0.15">
      <c r="A1316" s="1">
        <v>54532</v>
      </c>
      <c r="B1316" s="1">
        <v>0</v>
      </c>
      <c r="C1316" s="1" t="s">
        <v>26</v>
      </c>
      <c r="D1316" s="1" t="s">
        <v>27</v>
      </c>
      <c r="E1316" s="1" t="s">
        <v>3079</v>
      </c>
      <c r="F1316" s="1" t="s">
        <v>112</v>
      </c>
      <c r="G1316" s="1" t="s">
        <v>23</v>
      </c>
      <c r="I1316" s="16">
        <v>40426.240034722221</v>
      </c>
      <c r="J1316" s="1" t="s">
        <v>40</v>
      </c>
      <c r="K1316" s="1" t="s">
        <v>18</v>
      </c>
      <c r="L1316" s="1" t="s">
        <v>19</v>
      </c>
    </row>
    <row r="1317" spans="1:20" ht="13" x14ac:dyDescent="0.15">
      <c r="A1317" s="1">
        <v>245727</v>
      </c>
      <c r="B1317" s="1">
        <v>2</v>
      </c>
      <c r="C1317" s="1" t="s">
        <v>268</v>
      </c>
      <c r="D1317" s="1" t="s">
        <v>27</v>
      </c>
      <c r="E1317" s="1" t="s">
        <v>3080</v>
      </c>
      <c r="F1317" s="1" t="s">
        <v>3081</v>
      </c>
      <c r="G1317" s="1" t="s">
        <v>23</v>
      </c>
      <c r="I1317" s="16">
        <v>41425.709930555553</v>
      </c>
      <c r="J1317" s="1" t="s">
        <v>3082</v>
      </c>
      <c r="K1317" s="1" t="s">
        <v>18</v>
      </c>
      <c r="L1317" s="1" t="s">
        <v>19</v>
      </c>
      <c r="M1317" s="1">
        <v>327113</v>
      </c>
      <c r="N1317" s="1" t="s">
        <v>3083</v>
      </c>
      <c r="O1317" s="16">
        <v>41617.916909722226</v>
      </c>
      <c r="P1317" s="1" t="s">
        <v>17</v>
      </c>
      <c r="Q1317" s="1">
        <v>325232</v>
      </c>
      <c r="R1317" s="1" t="s">
        <v>3083</v>
      </c>
      <c r="S1317" s="4">
        <v>41611.670393518521</v>
      </c>
      <c r="T1317" s="1" t="s">
        <v>705</v>
      </c>
    </row>
    <row r="1318" spans="1:20" ht="13" x14ac:dyDescent="0.15">
      <c r="A1318" s="1">
        <v>469152</v>
      </c>
      <c r="B1318" s="1">
        <v>0</v>
      </c>
      <c r="D1318" s="1" t="s">
        <v>27</v>
      </c>
      <c r="E1318" s="1" t="s">
        <v>3084</v>
      </c>
      <c r="F1318" s="1" t="s">
        <v>3085</v>
      </c>
      <c r="G1318" s="1" t="s">
        <v>23</v>
      </c>
      <c r="I1318" s="16">
        <v>42083.582199074073</v>
      </c>
      <c r="J1318" s="1" t="s">
        <v>40</v>
      </c>
      <c r="K1318" s="1" t="s">
        <v>18</v>
      </c>
      <c r="L1318" s="1" t="s">
        <v>19</v>
      </c>
    </row>
    <row r="1319" spans="1:20" ht="13" x14ac:dyDescent="0.15">
      <c r="A1319" s="1">
        <v>147475</v>
      </c>
      <c r="B1319" s="1">
        <v>0</v>
      </c>
      <c r="C1319" s="1" t="s">
        <v>843</v>
      </c>
      <c r="D1319" s="1" t="s">
        <v>27</v>
      </c>
      <c r="E1319" s="1" t="s">
        <v>3086</v>
      </c>
      <c r="F1319" s="1" t="s">
        <v>3087</v>
      </c>
      <c r="G1319" s="1" t="s">
        <v>23</v>
      </c>
      <c r="I1319" s="16">
        <v>41161.637800925928</v>
      </c>
      <c r="J1319" s="1" t="s">
        <v>40</v>
      </c>
      <c r="K1319" s="1" t="s">
        <v>18</v>
      </c>
      <c r="L1319" s="1" t="s">
        <v>19</v>
      </c>
    </row>
    <row r="1320" spans="1:20" ht="13" x14ac:dyDescent="0.15">
      <c r="A1320" s="1">
        <v>63982</v>
      </c>
      <c r="B1320" s="1">
        <v>0</v>
      </c>
      <c r="C1320" s="1" t="s">
        <v>26</v>
      </c>
      <c r="D1320" s="1" t="s">
        <v>27</v>
      </c>
      <c r="E1320" s="1" t="s">
        <v>3088</v>
      </c>
      <c r="F1320" s="1" t="s">
        <v>1173</v>
      </c>
      <c r="G1320" s="1" t="s">
        <v>23</v>
      </c>
      <c r="I1320" s="16">
        <v>40503.741782407407</v>
      </c>
      <c r="J1320" s="1" t="s">
        <v>40</v>
      </c>
      <c r="K1320" s="1" t="s">
        <v>18</v>
      </c>
      <c r="L1320" s="1" t="s">
        <v>19</v>
      </c>
    </row>
    <row r="1321" spans="1:20" ht="13" x14ac:dyDescent="0.15">
      <c r="A1321" s="1">
        <v>478575</v>
      </c>
      <c r="B1321" s="1">
        <v>0</v>
      </c>
      <c r="D1321" s="1" t="s">
        <v>27</v>
      </c>
      <c r="E1321" s="1" t="s">
        <v>3089</v>
      </c>
      <c r="F1321" s="1" t="s">
        <v>3090</v>
      </c>
      <c r="G1321" s="1" t="s">
        <v>23</v>
      </c>
      <c r="I1321" s="16">
        <v>42114.107662037037</v>
      </c>
      <c r="J1321" s="1" t="s">
        <v>17</v>
      </c>
      <c r="K1321" s="1" t="s">
        <v>18</v>
      </c>
      <c r="L1321" s="1" t="s">
        <v>19</v>
      </c>
    </row>
    <row r="1322" spans="1:20" ht="13" x14ac:dyDescent="0.15">
      <c r="A1322" s="1">
        <v>478578</v>
      </c>
      <c r="B1322" s="1">
        <v>0</v>
      </c>
      <c r="D1322" s="1" t="s">
        <v>27</v>
      </c>
      <c r="E1322" s="1" t="s">
        <v>3091</v>
      </c>
      <c r="F1322" s="1" t="s">
        <v>3092</v>
      </c>
      <c r="G1322" s="1" t="s">
        <v>23</v>
      </c>
      <c r="I1322" s="16">
        <v>42114.11886574074</v>
      </c>
      <c r="J1322" s="1" t="s">
        <v>17</v>
      </c>
      <c r="K1322" s="1" t="s">
        <v>18</v>
      </c>
      <c r="L1322" s="1" t="s">
        <v>19</v>
      </c>
    </row>
    <row r="1323" spans="1:20" ht="13" x14ac:dyDescent="0.15">
      <c r="A1323" s="1">
        <v>106441</v>
      </c>
      <c r="B1323" s="1">
        <v>0</v>
      </c>
      <c r="C1323" s="1" t="s">
        <v>26</v>
      </c>
      <c r="D1323" s="1" t="s">
        <v>27</v>
      </c>
      <c r="E1323" s="1" t="s">
        <v>3093</v>
      </c>
      <c r="F1323" s="1" t="s">
        <v>3094</v>
      </c>
      <c r="G1323" s="1" t="s">
        <v>23</v>
      </c>
      <c r="I1323" s="16">
        <v>40882.849062499998</v>
      </c>
      <c r="J1323" s="1" t="s">
        <v>190</v>
      </c>
      <c r="K1323" s="1" t="s">
        <v>18</v>
      </c>
      <c r="L1323" s="1" t="s">
        <v>19</v>
      </c>
    </row>
    <row r="1324" spans="1:20" ht="13" x14ac:dyDescent="0.15">
      <c r="A1324" s="1">
        <v>196393</v>
      </c>
      <c r="B1324" s="1">
        <v>0</v>
      </c>
      <c r="C1324" s="1" t="s">
        <v>2249</v>
      </c>
      <c r="D1324" s="1" t="s">
        <v>27</v>
      </c>
      <c r="E1324" s="1" t="s">
        <v>3095</v>
      </c>
      <c r="F1324" s="1" t="s">
        <v>3096</v>
      </c>
      <c r="G1324" s="1" t="s">
        <v>23</v>
      </c>
      <c r="I1324" s="16">
        <v>41347.945902777778</v>
      </c>
      <c r="J1324" s="1" t="s">
        <v>1965</v>
      </c>
      <c r="K1324" s="1" t="s">
        <v>18</v>
      </c>
      <c r="L1324" s="1" t="s">
        <v>19</v>
      </c>
    </row>
    <row r="1325" spans="1:20" ht="13" x14ac:dyDescent="0.15">
      <c r="A1325" s="1">
        <v>51252</v>
      </c>
      <c r="B1325" s="1">
        <v>0</v>
      </c>
      <c r="C1325" s="1" t="s">
        <v>26</v>
      </c>
      <c r="D1325" s="1" t="s">
        <v>27</v>
      </c>
      <c r="E1325" s="1" t="s">
        <v>3097</v>
      </c>
      <c r="F1325" s="1" t="s">
        <v>315</v>
      </c>
      <c r="G1325" s="1" t="s">
        <v>23</v>
      </c>
      <c r="I1325" s="16">
        <v>40395.365902777776</v>
      </c>
      <c r="J1325" s="1" t="s">
        <v>263</v>
      </c>
      <c r="K1325" s="1" t="s">
        <v>18</v>
      </c>
      <c r="L1325" s="1" t="s">
        <v>19</v>
      </c>
    </row>
    <row r="1326" spans="1:20" ht="13" x14ac:dyDescent="0.15">
      <c r="A1326" s="1">
        <v>619405</v>
      </c>
      <c r="B1326" s="1">
        <v>0</v>
      </c>
      <c r="C1326" s="1" t="s">
        <v>12</v>
      </c>
      <c r="D1326" s="1" t="s">
        <v>27</v>
      </c>
      <c r="E1326" s="1" t="s">
        <v>3098</v>
      </c>
      <c r="F1326" s="1" t="s">
        <v>3099</v>
      </c>
      <c r="I1326" s="16">
        <v>42533.416724537034</v>
      </c>
      <c r="J1326" s="1" t="s">
        <v>379</v>
      </c>
      <c r="K1326" s="1" t="s">
        <v>18</v>
      </c>
      <c r="L1326" s="1" t="s">
        <v>19</v>
      </c>
    </row>
    <row r="1327" spans="1:20" ht="13" x14ac:dyDescent="0.15">
      <c r="A1327" s="1">
        <v>290566</v>
      </c>
      <c r="B1327" s="1">
        <v>1</v>
      </c>
      <c r="C1327" s="1" t="s">
        <v>26</v>
      </c>
      <c r="D1327" s="1" t="s">
        <v>27</v>
      </c>
      <c r="E1327" s="1" t="s">
        <v>3100</v>
      </c>
      <c r="F1327" s="1" t="s">
        <v>3101</v>
      </c>
      <c r="G1327" s="1" t="s">
        <v>23</v>
      </c>
      <c r="I1327" s="16">
        <v>41530.073344907411</v>
      </c>
      <c r="J1327" s="1" t="s">
        <v>501</v>
      </c>
      <c r="K1327" s="1" t="s">
        <v>18</v>
      </c>
      <c r="L1327" s="1" t="s">
        <v>19</v>
      </c>
      <c r="M1327" s="1">
        <v>309860</v>
      </c>
      <c r="N1327" s="1" t="s">
        <v>3102</v>
      </c>
      <c r="O1327" s="16">
        <v>41568.958472222221</v>
      </c>
      <c r="P1327" s="1" t="s">
        <v>68</v>
      </c>
    </row>
    <row r="1328" spans="1:20" ht="13" x14ac:dyDescent="0.15">
      <c r="A1328" s="1">
        <v>522131</v>
      </c>
      <c r="B1328" s="1">
        <v>0</v>
      </c>
      <c r="C1328" s="1" t="s">
        <v>12</v>
      </c>
      <c r="D1328" s="1" t="s">
        <v>27</v>
      </c>
      <c r="E1328" s="1" t="s">
        <v>3103</v>
      </c>
      <c r="F1328" s="1" t="s">
        <v>3104</v>
      </c>
      <c r="G1328" s="1" t="s">
        <v>16</v>
      </c>
      <c r="I1328" s="16">
        <v>42234.703530092593</v>
      </c>
      <c r="J1328" s="1" t="s">
        <v>17</v>
      </c>
      <c r="K1328" s="1" t="s">
        <v>18</v>
      </c>
      <c r="L1328" s="1" t="s">
        <v>19</v>
      </c>
    </row>
    <row r="1329" spans="1:20" ht="13" x14ac:dyDescent="0.15">
      <c r="A1329" s="1">
        <v>151008</v>
      </c>
      <c r="B1329" s="1">
        <v>0</v>
      </c>
      <c r="C1329" s="1" t="s">
        <v>26</v>
      </c>
      <c r="D1329" s="1" t="s">
        <v>27</v>
      </c>
      <c r="E1329" s="1" t="s">
        <v>3105</v>
      </c>
      <c r="F1329" s="1" t="s">
        <v>3106</v>
      </c>
      <c r="G1329" s="1" t="s">
        <v>23</v>
      </c>
      <c r="I1329" s="16">
        <v>41172.516875000001</v>
      </c>
      <c r="J1329" s="1" t="s">
        <v>408</v>
      </c>
      <c r="K1329" s="1" t="s">
        <v>18</v>
      </c>
      <c r="L1329" s="1" t="s">
        <v>19</v>
      </c>
    </row>
    <row r="1330" spans="1:20" ht="13" x14ac:dyDescent="0.15">
      <c r="A1330" s="1">
        <v>116806</v>
      </c>
      <c r="B1330" s="1">
        <v>1</v>
      </c>
      <c r="C1330" s="1" t="s">
        <v>26</v>
      </c>
      <c r="D1330" s="1" t="s">
        <v>27</v>
      </c>
      <c r="E1330" s="1" t="s">
        <v>3107</v>
      </c>
      <c r="F1330" s="1" t="s">
        <v>3108</v>
      </c>
      <c r="G1330" s="1" t="s">
        <v>23</v>
      </c>
      <c r="I1330" s="16">
        <v>40973.706666666665</v>
      </c>
      <c r="J1330" s="1" t="s">
        <v>148</v>
      </c>
      <c r="K1330" s="1" t="s">
        <v>18</v>
      </c>
      <c r="L1330" s="1" t="s">
        <v>19</v>
      </c>
      <c r="M1330" s="1">
        <v>117578</v>
      </c>
      <c r="N1330" s="1" t="s">
        <v>3109</v>
      </c>
      <c r="O1330" s="16">
        <v>40977.826215277775</v>
      </c>
      <c r="P1330" s="1" t="s">
        <v>44</v>
      </c>
    </row>
    <row r="1331" spans="1:20" ht="13" x14ac:dyDescent="0.15">
      <c r="A1331" s="1">
        <v>104317</v>
      </c>
      <c r="B1331" s="1">
        <v>2</v>
      </c>
      <c r="C1331" s="1" t="s">
        <v>26</v>
      </c>
      <c r="D1331" s="1" t="s">
        <v>27</v>
      </c>
      <c r="E1331" s="1" t="s">
        <v>3110</v>
      </c>
      <c r="F1331" s="1" t="s">
        <v>3111</v>
      </c>
      <c r="G1331" s="1" t="s">
        <v>23</v>
      </c>
      <c r="I1331" s="16">
        <v>40862.668483796297</v>
      </c>
      <c r="J1331" s="1" t="s">
        <v>40</v>
      </c>
      <c r="K1331" s="1" t="s">
        <v>18</v>
      </c>
      <c r="L1331" s="1" t="s">
        <v>19</v>
      </c>
      <c r="M1331" s="1">
        <v>112436</v>
      </c>
      <c r="N1331" s="1" t="s">
        <v>3112</v>
      </c>
      <c r="O1331" s="16">
        <v>40941.406006944446</v>
      </c>
      <c r="P1331" s="1" t="s">
        <v>2848</v>
      </c>
      <c r="Q1331" s="1">
        <v>112107</v>
      </c>
      <c r="R1331" s="1" t="s">
        <v>3112</v>
      </c>
      <c r="S1331" s="2">
        <v>40939.736805555556</v>
      </c>
      <c r="T1331" s="1" t="s">
        <v>44</v>
      </c>
    </row>
    <row r="1332" spans="1:20" ht="13" x14ac:dyDescent="0.15">
      <c r="A1332" s="1">
        <v>348332</v>
      </c>
      <c r="B1332" s="1">
        <v>0</v>
      </c>
      <c r="C1332" s="1" t="s">
        <v>3113</v>
      </c>
      <c r="D1332" s="1" t="s">
        <v>27</v>
      </c>
      <c r="E1332" s="1" t="s">
        <v>3114</v>
      </c>
      <c r="F1332" s="1" t="s">
        <v>3115</v>
      </c>
      <c r="G1332" s="1" t="s">
        <v>23</v>
      </c>
      <c r="I1332" s="16">
        <v>41699.84175925926</v>
      </c>
      <c r="J1332" s="1" t="s">
        <v>2066</v>
      </c>
      <c r="K1332" s="1" t="s">
        <v>18</v>
      </c>
      <c r="L1332" s="1" t="s">
        <v>19</v>
      </c>
    </row>
    <row r="1333" spans="1:20" ht="13" x14ac:dyDescent="0.15">
      <c r="A1333" s="1">
        <v>37826</v>
      </c>
      <c r="B1333" s="1">
        <v>0</v>
      </c>
      <c r="D1333" s="1" t="s">
        <v>27</v>
      </c>
      <c r="E1333" s="1" t="s">
        <v>3116</v>
      </c>
      <c r="F1333" s="1" t="s">
        <v>3117</v>
      </c>
      <c r="I1333" s="16">
        <v>40247.267453703702</v>
      </c>
      <c r="J1333" s="1" t="s">
        <v>151</v>
      </c>
      <c r="K1333" s="1" t="s">
        <v>18</v>
      </c>
      <c r="L1333" s="1" t="s">
        <v>19</v>
      </c>
    </row>
    <row r="1334" spans="1:20" ht="13" x14ac:dyDescent="0.15">
      <c r="A1334" s="1">
        <v>105867</v>
      </c>
      <c r="B1334" s="1">
        <v>0</v>
      </c>
      <c r="C1334" s="1" t="s">
        <v>145</v>
      </c>
      <c r="D1334" s="1" t="s">
        <v>27</v>
      </c>
      <c r="E1334" s="1" t="s">
        <v>3118</v>
      </c>
      <c r="F1334" s="1" t="s">
        <v>3119</v>
      </c>
      <c r="G1334" s="1" t="s">
        <v>23</v>
      </c>
      <c r="I1334" s="16">
        <v>40877.543217592596</v>
      </c>
      <c r="J1334" s="1" t="s">
        <v>76</v>
      </c>
      <c r="K1334" s="1" t="s">
        <v>18</v>
      </c>
      <c r="L1334" s="1" t="s">
        <v>19</v>
      </c>
    </row>
    <row r="1335" spans="1:20" ht="13" x14ac:dyDescent="0.15">
      <c r="A1335" s="1">
        <v>653749</v>
      </c>
      <c r="B1335" s="1">
        <v>0</v>
      </c>
      <c r="C1335" s="1" t="s">
        <v>12</v>
      </c>
      <c r="D1335" s="1" t="s">
        <v>27</v>
      </c>
      <c r="E1335" s="1" t="s">
        <v>3120</v>
      </c>
      <c r="F1335" s="1" t="s">
        <v>3121</v>
      </c>
      <c r="G1335" s="1" t="s">
        <v>23</v>
      </c>
      <c r="I1335" s="16">
        <v>42650.052754629629</v>
      </c>
      <c r="J1335" s="1" t="s">
        <v>311</v>
      </c>
      <c r="K1335" s="1" t="s">
        <v>18</v>
      </c>
      <c r="L1335" s="1" t="s">
        <v>19</v>
      </c>
    </row>
    <row r="1336" spans="1:20" ht="13" x14ac:dyDescent="0.15">
      <c r="A1336" s="1">
        <v>265838</v>
      </c>
      <c r="B1336" s="1">
        <v>1</v>
      </c>
      <c r="C1336" s="1" t="s">
        <v>268</v>
      </c>
      <c r="D1336" s="1" t="s">
        <v>27</v>
      </c>
      <c r="E1336" s="1" t="s">
        <v>58</v>
      </c>
      <c r="F1336" s="1" t="s">
        <v>3122</v>
      </c>
      <c r="G1336" s="1" t="s">
        <v>23</v>
      </c>
      <c r="I1336" s="16">
        <v>41485.540694444448</v>
      </c>
      <c r="J1336" s="1" t="s">
        <v>408</v>
      </c>
      <c r="K1336" s="1" t="s">
        <v>18</v>
      </c>
      <c r="L1336" s="1" t="s">
        <v>19</v>
      </c>
      <c r="M1336" s="1">
        <v>274717</v>
      </c>
      <c r="N1336" s="1" t="s">
        <v>3123</v>
      </c>
      <c r="O1336" s="16">
        <v>41502.886747685188</v>
      </c>
      <c r="P1336" s="1" t="s">
        <v>3124</v>
      </c>
    </row>
    <row r="1337" spans="1:20" ht="13" x14ac:dyDescent="0.15">
      <c r="A1337" s="1">
        <v>702058</v>
      </c>
      <c r="B1337" s="1">
        <v>1</v>
      </c>
      <c r="C1337" s="1" t="s">
        <v>101</v>
      </c>
      <c r="D1337" s="1" t="s">
        <v>27</v>
      </c>
      <c r="E1337" s="1" t="s">
        <v>3125</v>
      </c>
      <c r="F1337" s="1" t="s">
        <v>3126</v>
      </c>
      <c r="G1337" s="1" t="s">
        <v>56</v>
      </c>
      <c r="I1337" s="16">
        <v>42810.098680555559</v>
      </c>
      <c r="J1337" s="1" t="s">
        <v>758</v>
      </c>
      <c r="K1337" s="1" t="s">
        <v>18</v>
      </c>
      <c r="L1337" s="1" t="s">
        <v>19</v>
      </c>
      <c r="M1337" s="1">
        <v>702437</v>
      </c>
      <c r="N1337" s="1" t="s">
        <v>3127</v>
      </c>
      <c r="O1337" s="16">
        <v>42810.994849537034</v>
      </c>
      <c r="P1337" s="1" t="s">
        <v>17</v>
      </c>
    </row>
    <row r="1338" spans="1:20" ht="13" x14ac:dyDescent="0.15">
      <c r="A1338" s="1">
        <v>491742</v>
      </c>
      <c r="B1338" s="1">
        <v>0</v>
      </c>
      <c r="C1338" s="1" t="s">
        <v>101</v>
      </c>
      <c r="D1338" s="1" t="s">
        <v>27</v>
      </c>
      <c r="E1338" s="1" t="s">
        <v>3128</v>
      </c>
      <c r="F1338" s="1" t="s">
        <v>3129</v>
      </c>
      <c r="G1338" s="1" t="s">
        <v>23</v>
      </c>
      <c r="I1338" s="16">
        <v>42149.015810185185</v>
      </c>
      <c r="J1338" s="1" t="s">
        <v>17</v>
      </c>
      <c r="K1338" s="1" t="s">
        <v>18</v>
      </c>
      <c r="L1338" s="1" t="s">
        <v>19</v>
      </c>
    </row>
    <row r="1339" spans="1:20" ht="13" x14ac:dyDescent="0.15">
      <c r="A1339" s="1">
        <v>469395</v>
      </c>
      <c r="B1339" s="1">
        <v>0</v>
      </c>
      <c r="C1339" s="1" t="s">
        <v>101</v>
      </c>
      <c r="D1339" s="1" t="s">
        <v>27</v>
      </c>
      <c r="E1339" s="1" t="s">
        <v>877</v>
      </c>
      <c r="F1339" s="1" t="s">
        <v>3130</v>
      </c>
      <c r="G1339" s="1" t="s">
        <v>23</v>
      </c>
      <c r="I1339" s="16">
        <v>42084.371828703705</v>
      </c>
      <c r="J1339" s="1" t="s">
        <v>17</v>
      </c>
      <c r="K1339" s="1" t="s">
        <v>18</v>
      </c>
      <c r="L1339" s="1" t="s">
        <v>19</v>
      </c>
    </row>
    <row r="1340" spans="1:20" ht="13" x14ac:dyDescent="0.15">
      <c r="A1340" s="1">
        <v>55607</v>
      </c>
      <c r="B1340" s="1">
        <v>0</v>
      </c>
      <c r="C1340" s="1" t="s">
        <v>1140</v>
      </c>
      <c r="D1340" s="1" t="s">
        <v>27</v>
      </c>
      <c r="E1340" s="1" t="s">
        <v>3131</v>
      </c>
      <c r="F1340" s="1" t="s">
        <v>3132</v>
      </c>
      <c r="G1340" s="1" t="s">
        <v>16</v>
      </c>
      <c r="I1340" s="16">
        <v>40435.839861111112</v>
      </c>
      <c r="J1340" s="1" t="s">
        <v>398</v>
      </c>
      <c r="K1340" s="1" t="s">
        <v>18</v>
      </c>
      <c r="L1340" s="1" t="s">
        <v>19</v>
      </c>
    </row>
    <row r="1341" spans="1:20" ht="13" x14ac:dyDescent="0.15">
      <c r="A1341" s="1">
        <v>505374</v>
      </c>
      <c r="B1341" s="1">
        <v>0</v>
      </c>
      <c r="C1341" s="1" t="s">
        <v>3133</v>
      </c>
      <c r="D1341" s="1" t="s">
        <v>27</v>
      </c>
      <c r="E1341" s="1" t="s">
        <v>3134</v>
      </c>
      <c r="F1341" s="1" t="s">
        <v>3135</v>
      </c>
      <c r="I1341" s="16">
        <v>42184.340532407405</v>
      </c>
      <c r="J1341" s="1" t="s">
        <v>3136</v>
      </c>
      <c r="K1341" s="1" t="s">
        <v>18</v>
      </c>
      <c r="L1341" s="1" t="s">
        <v>19</v>
      </c>
    </row>
    <row r="1342" spans="1:20" ht="13" x14ac:dyDescent="0.15">
      <c r="A1342" s="1">
        <v>37827</v>
      </c>
      <c r="B1342" s="1">
        <v>0</v>
      </c>
      <c r="D1342" s="1" t="s">
        <v>27</v>
      </c>
      <c r="E1342" s="1" t="s">
        <v>3137</v>
      </c>
      <c r="F1342" s="1" t="s">
        <v>3117</v>
      </c>
      <c r="I1342" s="16">
        <v>40247.287685185183</v>
      </c>
      <c r="J1342" s="1" t="s">
        <v>151</v>
      </c>
      <c r="K1342" s="1" t="s">
        <v>18</v>
      </c>
      <c r="L1342" s="1" t="s">
        <v>19</v>
      </c>
    </row>
    <row r="1343" spans="1:20" ht="13" x14ac:dyDescent="0.15">
      <c r="A1343" s="1">
        <v>572537</v>
      </c>
      <c r="B1343" s="1">
        <v>0</v>
      </c>
      <c r="C1343" s="1" t="s">
        <v>522</v>
      </c>
      <c r="D1343" s="1" t="s">
        <v>27</v>
      </c>
      <c r="E1343" s="1" t="s">
        <v>3138</v>
      </c>
      <c r="F1343" s="1" t="s">
        <v>3139</v>
      </c>
      <c r="G1343" s="1" t="s">
        <v>23</v>
      </c>
      <c r="I1343" s="16">
        <v>42365.858831018515</v>
      </c>
      <c r="J1343" s="1" t="s">
        <v>3140</v>
      </c>
      <c r="K1343" s="1" t="s">
        <v>18</v>
      </c>
      <c r="L1343" s="1" t="s">
        <v>19</v>
      </c>
    </row>
    <row r="1344" spans="1:20" ht="13" x14ac:dyDescent="0.15">
      <c r="A1344" s="1">
        <v>347909</v>
      </c>
      <c r="B1344" s="1">
        <v>0</v>
      </c>
      <c r="C1344" s="1" t="s">
        <v>101</v>
      </c>
      <c r="D1344" s="1" t="s">
        <v>27</v>
      </c>
      <c r="E1344" s="1" t="s">
        <v>3141</v>
      </c>
      <c r="F1344" s="1" t="s">
        <v>3142</v>
      </c>
      <c r="G1344" s="1" t="s">
        <v>23</v>
      </c>
      <c r="I1344" s="16">
        <v>41698.331319444442</v>
      </c>
      <c r="J1344" s="1" t="s">
        <v>17</v>
      </c>
      <c r="K1344" s="1" t="s">
        <v>18</v>
      </c>
      <c r="L1344" s="1" t="s">
        <v>19</v>
      </c>
    </row>
    <row r="1345" spans="1:16" ht="13" x14ac:dyDescent="0.15">
      <c r="A1345" s="1">
        <v>275223</v>
      </c>
      <c r="B1345" s="1">
        <v>1</v>
      </c>
      <c r="C1345" s="1" t="s">
        <v>923</v>
      </c>
      <c r="D1345" s="1" t="s">
        <v>27</v>
      </c>
      <c r="E1345" s="1" t="s">
        <v>3143</v>
      </c>
      <c r="F1345" s="1" t="s">
        <v>235</v>
      </c>
      <c r="G1345" s="1" t="s">
        <v>23</v>
      </c>
      <c r="I1345" s="16">
        <v>41504.891180555554</v>
      </c>
      <c r="J1345" s="1" t="s">
        <v>17</v>
      </c>
      <c r="K1345" s="1" t="s">
        <v>18</v>
      </c>
      <c r="L1345" s="1" t="s">
        <v>19</v>
      </c>
      <c r="M1345" s="1">
        <v>287598</v>
      </c>
      <c r="N1345" s="1" t="s">
        <v>3144</v>
      </c>
      <c r="O1345" s="16">
        <v>41526.118252314816</v>
      </c>
      <c r="P1345" s="1" t="s">
        <v>3145</v>
      </c>
    </row>
    <row r="1346" spans="1:16" ht="13" x14ac:dyDescent="0.15">
      <c r="A1346" s="1">
        <v>610985</v>
      </c>
      <c r="B1346" s="1">
        <v>0</v>
      </c>
      <c r="C1346" s="1" t="s">
        <v>522</v>
      </c>
      <c r="D1346" s="1" t="s">
        <v>27</v>
      </c>
      <c r="E1346" s="1" t="s">
        <v>3146</v>
      </c>
      <c r="F1346" s="1" t="s">
        <v>3147</v>
      </c>
      <c r="G1346" s="1" t="s">
        <v>16</v>
      </c>
      <c r="I1346" s="16">
        <v>42501.392881944441</v>
      </c>
      <c r="J1346" s="1" t="s">
        <v>17</v>
      </c>
      <c r="K1346" s="1" t="s">
        <v>18</v>
      </c>
      <c r="L1346" s="1" t="s">
        <v>19</v>
      </c>
    </row>
    <row r="1347" spans="1:16" ht="13" x14ac:dyDescent="0.15">
      <c r="A1347" s="1">
        <v>135697</v>
      </c>
      <c r="B1347" s="1">
        <v>1</v>
      </c>
      <c r="C1347" s="1" t="s">
        <v>26</v>
      </c>
      <c r="D1347" s="1" t="s">
        <v>27</v>
      </c>
      <c r="E1347" s="1" t="s">
        <v>3148</v>
      </c>
      <c r="F1347" s="1" t="s">
        <v>1263</v>
      </c>
      <c r="G1347" s="1" t="s">
        <v>23</v>
      </c>
      <c r="I1347" s="16">
        <v>41094.129351851851</v>
      </c>
      <c r="J1347" s="1" t="s">
        <v>40</v>
      </c>
      <c r="K1347" s="1" t="s">
        <v>18</v>
      </c>
      <c r="L1347" s="1" t="s">
        <v>19</v>
      </c>
      <c r="M1347" s="1">
        <v>136358</v>
      </c>
      <c r="N1347" s="1" t="s">
        <v>3149</v>
      </c>
      <c r="O1347" s="16">
        <v>41099.635254629633</v>
      </c>
      <c r="P1347" s="1" t="s">
        <v>44</v>
      </c>
    </row>
    <row r="1348" spans="1:16" ht="13" x14ac:dyDescent="0.15">
      <c r="A1348" s="1">
        <v>135698</v>
      </c>
      <c r="B1348" s="1">
        <v>0</v>
      </c>
      <c r="C1348" s="1" t="s">
        <v>26</v>
      </c>
      <c r="D1348" s="1" t="s">
        <v>27</v>
      </c>
      <c r="E1348" s="1" t="s">
        <v>3150</v>
      </c>
      <c r="F1348" s="1" t="s">
        <v>3151</v>
      </c>
      <c r="G1348" s="1" t="s">
        <v>23</v>
      </c>
      <c r="I1348" s="16">
        <v>41094.130046296297</v>
      </c>
      <c r="J1348" s="1" t="s">
        <v>40</v>
      </c>
      <c r="K1348" s="1" t="s">
        <v>18</v>
      </c>
      <c r="L1348" s="1" t="s">
        <v>19</v>
      </c>
    </row>
    <row r="1349" spans="1:16" ht="13" x14ac:dyDescent="0.15">
      <c r="A1349" s="1">
        <v>196648</v>
      </c>
      <c r="B1349" s="1">
        <v>0</v>
      </c>
      <c r="D1349" s="1" t="s">
        <v>27</v>
      </c>
      <c r="E1349" s="1" t="s">
        <v>3152</v>
      </c>
      <c r="F1349" s="1" t="s">
        <v>3153</v>
      </c>
      <c r="G1349" s="1" t="s">
        <v>23</v>
      </c>
      <c r="I1349" s="16">
        <v>41348.796539351853</v>
      </c>
      <c r="J1349" s="1" t="s">
        <v>3154</v>
      </c>
      <c r="K1349" s="1" t="s">
        <v>18</v>
      </c>
      <c r="L1349" s="1" t="s">
        <v>19</v>
      </c>
    </row>
    <row r="1350" spans="1:16" ht="13" x14ac:dyDescent="0.15">
      <c r="A1350" s="1">
        <v>112542</v>
      </c>
      <c r="B1350" s="1">
        <v>0</v>
      </c>
      <c r="C1350" s="1" t="s">
        <v>26</v>
      </c>
      <c r="D1350" s="1" t="s">
        <v>27</v>
      </c>
      <c r="E1350" s="1" t="s">
        <v>3155</v>
      </c>
      <c r="F1350" s="1" t="s">
        <v>915</v>
      </c>
      <c r="G1350" s="1" t="s">
        <v>23</v>
      </c>
      <c r="I1350" s="16">
        <v>40941.991585648146</v>
      </c>
      <c r="J1350" s="1" t="s">
        <v>40</v>
      </c>
      <c r="K1350" s="1" t="s">
        <v>18</v>
      </c>
      <c r="L1350" s="1" t="s">
        <v>19</v>
      </c>
    </row>
    <row r="1351" spans="1:16" ht="13" x14ac:dyDescent="0.15">
      <c r="A1351" s="1">
        <v>160068</v>
      </c>
      <c r="B1351" s="1">
        <v>0</v>
      </c>
      <c r="C1351" s="1" t="s">
        <v>26</v>
      </c>
      <c r="D1351" s="1" t="s">
        <v>27</v>
      </c>
      <c r="E1351" s="1" t="s">
        <v>3156</v>
      </c>
      <c r="F1351" s="1" t="s">
        <v>3157</v>
      </c>
      <c r="G1351" s="1" t="s">
        <v>23</v>
      </c>
      <c r="I1351" s="16">
        <v>41221.742303240739</v>
      </c>
      <c r="J1351" s="1" t="s">
        <v>40</v>
      </c>
      <c r="K1351" s="1" t="s">
        <v>18</v>
      </c>
      <c r="L1351" s="1" t="s">
        <v>19</v>
      </c>
    </row>
    <row r="1352" spans="1:16" ht="13" x14ac:dyDescent="0.15">
      <c r="A1352" s="1">
        <v>175741</v>
      </c>
      <c r="B1352" s="1">
        <v>1</v>
      </c>
      <c r="C1352" s="1" t="s">
        <v>1804</v>
      </c>
      <c r="D1352" s="1" t="s">
        <v>27</v>
      </c>
      <c r="E1352" s="1" t="s">
        <v>3158</v>
      </c>
      <c r="F1352" s="1" t="s">
        <v>3159</v>
      </c>
      <c r="G1352" s="1" t="s">
        <v>23</v>
      </c>
      <c r="I1352" s="16">
        <v>41317.699236111112</v>
      </c>
      <c r="J1352" s="1" t="s">
        <v>40</v>
      </c>
      <c r="K1352" s="1" t="s">
        <v>18</v>
      </c>
      <c r="L1352" s="1" t="s">
        <v>19</v>
      </c>
      <c r="M1352" s="1">
        <v>175695</v>
      </c>
      <c r="N1352" s="1" t="s">
        <v>3160</v>
      </c>
      <c r="O1352" s="16">
        <v>41317.406226851854</v>
      </c>
      <c r="P1352" s="1" t="s">
        <v>2424</v>
      </c>
    </row>
    <row r="1353" spans="1:16" ht="13" x14ac:dyDescent="0.15">
      <c r="A1353" s="1">
        <v>72134</v>
      </c>
      <c r="B1353" s="1">
        <v>0</v>
      </c>
      <c r="C1353" s="1" t="s">
        <v>26</v>
      </c>
      <c r="D1353" s="1" t="s">
        <v>27</v>
      </c>
      <c r="E1353" s="1" t="s">
        <v>3161</v>
      </c>
      <c r="F1353" s="1" t="s">
        <v>3162</v>
      </c>
      <c r="G1353" s="1" t="s">
        <v>23</v>
      </c>
      <c r="I1353" s="16">
        <v>40580.900555555556</v>
      </c>
      <c r="J1353" s="1" t="s">
        <v>40</v>
      </c>
      <c r="K1353" s="1" t="s">
        <v>18</v>
      </c>
      <c r="L1353" s="1" t="s">
        <v>19</v>
      </c>
    </row>
    <row r="1354" spans="1:16" ht="13" x14ac:dyDescent="0.15">
      <c r="A1354" s="1">
        <v>56451</v>
      </c>
      <c r="B1354" s="1">
        <v>0</v>
      </c>
      <c r="C1354" s="1" t="s">
        <v>26</v>
      </c>
      <c r="D1354" s="1" t="s">
        <v>27</v>
      </c>
      <c r="E1354" s="1" t="s">
        <v>3163</v>
      </c>
      <c r="F1354" s="1" t="s">
        <v>112</v>
      </c>
      <c r="G1354" s="1" t="s">
        <v>23</v>
      </c>
      <c r="I1354" s="16">
        <v>40442.931712962964</v>
      </c>
      <c r="J1354" s="1" t="s">
        <v>40</v>
      </c>
      <c r="K1354" s="1" t="s">
        <v>18</v>
      </c>
      <c r="L1354" s="1" t="s">
        <v>19</v>
      </c>
    </row>
    <row r="1355" spans="1:16" ht="13" x14ac:dyDescent="0.15">
      <c r="A1355" s="1">
        <v>134897</v>
      </c>
      <c r="B1355" s="1">
        <v>1</v>
      </c>
      <c r="C1355" s="1" t="s">
        <v>26</v>
      </c>
      <c r="D1355" s="1" t="s">
        <v>27</v>
      </c>
      <c r="E1355" s="1" t="s">
        <v>3164</v>
      </c>
      <c r="F1355" s="1" t="s">
        <v>3165</v>
      </c>
      <c r="G1355" s="1" t="s">
        <v>23</v>
      </c>
      <c r="I1355" s="16">
        <v>41087.834675925929</v>
      </c>
      <c r="J1355" s="1" t="s">
        <v>44</v>
      </c>
      <c r="K1355" s="1" t="s">
        <v>18</v>
      </c>
      <c r="L1355" s="1" t="s">
        <v>19</v>
      </c>
      <c r="M1355" s="1">
        <v>139217</v>
      </c>
      <c r="N1355" s="1" t="s">
        <v>3166</v>
      </c>
      <c r="O1355" s="16">
        <v>41116.918321759258</v>
      </c>
      <c r="P1355" s="1" t="s">
        <v>40</v>
      </c>
    </row>
    <row r="1356" spans="1:16" ht="13" x14ac:dyDescent="0.15">
      <c r="A1356" s="1">
        <v>379656</v>
      </c>
      <c r="B1356" s="1">
        <v>0</v>
      </c>
      <c r="C1356" s="1" t="s">
        <v>12</v>
      </c>
      <c r="D1356" s="1" t="s">
        <v>27</v>
      </c>
      <c r="E1356" s="1" t="s">
        <v>3167</v>
      </c>
      <c r="F1356" s="1" t="s">
        <v>951</v>
      </c>
      <c r="G1356" s="1" t="s">
        <v>23</v>
      </c>
      <c r="I1356" s="16">
        <v>41792.309571759259</v>
      </c>
      <c r="J1356" s="1" t="s">
        <v>3168</v>
      </c>
      <c r="K1356" s="1" t="s">
        <v>18</v>
      </c>
      <c r="L1356" s="1" t="s">
        <v>19</v>
      </c>
    </row>
    <row r="1357" spans="1:16" ht="13" x14ac:dyDescent="0.15">
      <c r="A1357" s="1">
        <v>267068</v>
      </c>
      <c r="B1357" s="1">
        <v>0</v>
      </c>
      <c r="C1357" s="1" t="s">
        <v>369</v>
      </c>
      <c r="D1357" s="1" t="s">
        <v>27</v>
      </c>
      <c r="E1357" s="1" t="s">
        <v>3169</v>
      </c>
      <c r="F1357" s="1" t="s">
        <v>3170</v>
      </c>
      <c r="G1357" s="1" t="s">
        <v>23</v>
      </c>
      <c r="I1357" s="16">
        <v>41487.836655092593</v>
      </c>
      <c r="J1357" s="1" t="s">
        <v>1922</v>
      </c>
      <c r="K1357" s="1" t="s">
        <v>18</v>
      </c>
      <c r="L1357" s="1" t="s">
        <v>19</v>
      </c>
    </row>
    <row r="1358" spans="1:16" ht="13" x14ac:dyDescent="0.15">
      <c r="A1358" s="1">
        <v>114219</v>
      </c>
      <c r="B1358" s="1">
        <v>0</v>
      </c>
      <c r="C1358" s="1" t="s">
        <v>26</v>
      </c>
      <c r="D1358" s="1" t="s">
        <v>27</v>
      </c>
      <c r="E1358" s="1" t="s">
        <v>3171</v>
      </c>
      <c r="F1358" s="1" t="s">
        <v>3172</v>
      </c>
      <c r="G1358" s="1" t="s">
        <v>23</v>
      </c>
      <c r="I1358" s="16">
        <v>40953.820729166669</v>
      </c>
      <c r="J1358" s="1" t="s">
        <v>44</v>
      </c>
      <c r="K1358" s="1" t="s">
        <v>18</v>
      </c>
      <c r="L1358" s="1" t="s">
        <v>19</v>
      </c>
    </row>
    <row r="1359" spans="1:16" ht="13" x14ac:dyDescent="0.15">
      <c r="A1359" s="1">
        <v>461191</v>
      </c>
      <c r="B1359" s="1">
        <v>0</v>
      </c>
      <c r="C1359" s="1" t="s">
        <v>829</v>
      </c>
      <c r="D1359" s="1" t="s">
        <v>27</v>
      </c>
      <c r="E1359" s="1" t="s">
        <v>3173</v>
      </c>
      <c r="F1359" s="1" t="s">
        <v>3174</v>
      </c>
      <c r="G1359" s="1" t="s">
        <v>23</v>
      </c>
      <c r="I1359" s="16">
        <v>42059.154027777775</v>
      </c>
      <c r="J1359" s="1" t="s">
        <v>98</v>
      </c>
      <c r="K1359" s="1" t="s">
        <v>18</v>
      </c>
      <c r="L1359" s="1" t="s">
        <v>19</v>
      </c>
    </row>
    <row r="1360" spans="1:16" ht="13" x14ac:dyDescent="0.15">
      <c r="A1360" s="1">
        <v>476107</v>
      </c>
      <c r="B1360" s="1">
        <v>0</v>
      </c>
      <c r="C1360" s="1" t="s">
        <v>12</v>
      </c>
      <c r="D1360" s="1" t="s">
        <v>27</v>
      </c>
      <c r="E1360" s="1" t="s">
        <v>3175</v>
      </c>
      <c r="F1360" s="1" t="s">
        <v>3176</v>
      </c>
      <c r="G1360" s="1" t="s">
        <v>23</v>
      </c>
      <c r="I1360" s="16">
        <v>42104.905821759261</v>
      </c>
      <c r="J1360" s="1" t="s">
        <v>106</v>
      </c>
      <c r="K1360" s="1" t="s">
        <v>18</v>
      </c>
      <c r="L1360" s="1" t="s">
        <v>19</v>
      </c>
    </row>
    <row r="1361" spans="1:16" ht="13" x14ac:dyDescent="0.15">
      <c r="A1361" s="1">
        <v>153592</v>
      </c>
      <c r="B1361" s="1">
        <v>0</v>
      </c>
      <c r="C1361" s="1" t="s">
        <v>26</v>
      </c>
      <c r="D1361" s="1" t="s">
        <v>27</v>
      </c>
      <c r="E1361" s="1" t="s">
        <v>1828</v>
      </c>
      <c r="F1361" s="1" t="s">
        <v>707</v>
      </c>
      <c r="G1361" s="1" t="s">
        <v>23</v>
      </c>
      <c r="I1361" s="16">
        <v>41184.752442129633</v>
      </c>
      <c r="J1361" s="1" t="s">
        <v>40</v>
      </c>
      <c r="K1361" s="1" t="s">
        <v>18</v>
      </c>
      <c r="L1361" s="1" t="s">
        <v>19</v>
      </c>
    </row>
    <row r="1362" spans="1:16" ht="13" x14ac:dyDescent="0.15">
      <c r="A1362" s="1">
        <v>476926</v>
      </c>
      <c r="B1362" s="1">
        <v>0</v>
      </c>
      <c r="C1362" s="1" t="s">
        <v>137</v>
      </c>
      <c r="D1362" s="1" t="s">
        <v>27</v>
      </c>
      <c r="E1362" s="1" t="s">
        <v>3177</v>
      </c>
      <c r="F1362" s="1" t="s">
        <v>3178</v>
      </c>
      <c r="I1362" s="16">
        <v>42108.578472222223</v>
      </c>
      <c r="J1362" s="1" t="s">
        <v>656</v>
      </c>
      <c r="K1362" s="1" t="s">
        <v>18</v>
      </c>
      <c r="L1362" s="1" t="s">
        <v>19</v>
      </c>
    </row>
    <row r="1363" spans="1:16" ht="13" x14ac:dyDescent="0.15">
      <c r="A1363" s="1">
        <v>551460</v>
      </c>
      <c r="B1363" s="1">
        <v>0</v>
      </c>
      <c r="C1363" s="1" t="s">
        <v>12</v>
      </c>
      <c r="D1363" s="1" t="s">
        <v>27</v>
      </c>
      <c r="E1363" s="1" t="s">
        <v>3179</v>
      </c>
      <c r="F1363" s="1" t="s">
        <v>3180</v>
      </c>
      <c r="G1363" s="1" t="s">
        <v>16</v>
      </c>
      <c r="I1363" s="16">
        <v>42312.686041666668</v>
      </c>
      <c r="J1363" s="1" t="s">
        <v>17</v>
      </c>
      <c r="K1363" s="1" t="s">
        <v>18</v>
      </c>
      <c r="L1363" s="1" t="s">
        <v>19</v>
      </c>
    </row>
    <row r="1364" spans="1:16" ht="13" x14ac:dyDescent="0.15">
      <c r="A1364" s="1">
        <v>514755</v>
      </c>
      <c r="B1364" s="1">
        <v>0</v>
      </c>
      <c r="C1364" s="1" t="s">
        <v>26</v>
      </c>
      <c r="D1364" s="1" t="s">
        <v>27</v>
      </c>
      <c r="E1364" s="1" t="s">
        <v>3181</v>
      </c>
      <c r="F1364" s="1" t="s">
        <v>3182</v>
      </c>
      <c r="G1364" s="1" t="s">
        <v>23</v>
      </c>
      <c r="I1364" s="16">
        <v>42213.801898148151</v>
      </c>
      <c r="J1364" s="1" t="s">
        <v>17</v>
      </c>
      <c r="K1364" s="1" t="s">
        <v>18</v>
      </c>
      <c r="L1364" s="1" t="s">
        <v>19</v>
      </c>
    </row>
    <row r="1365" spans="1:16" ht="13" x14ac:dyDescent="0.15">
      <c r="A1365" s="1">
        <v>62358</v>
      </c>
      <c r="B1365" s="1">
        <v>0</v>
      </c>
      <c r="C1365" s="1" t="s">
        <v>170</v>
      </c>
      <c r="D1365" s="1" t="s">
        <v>27</v>
      </c>
      <c r="E1365" s="1" t="s">
        <v>3183</v>
      </c>
      <c r="F1365" s="1" t="s">
        <v>720</v>
      </c>
      <c r="G1365" s="1" t="s">
        <v>23</v>
      </c>
      <c r="I1365" s="16">
        <v>40490.760081018518</v>
      </c>
      <c r="J1365" s="1" t="s">
        <v>40</v>
      </c>
      <c r="K1365" s="1" t="s">
        <v>18</v>
      </c>
      <c r="L1365" s="1" t="s">
        <v>19</v>
      </c>
    </row>
    <row r="1366" spans="1:16" ht="13" x14ac:dyDescent="0.15">
      <c r="A1366" s="1">
        <v>169770</v>
      </c>
      <c r="B1366" s="1">
        <v>0</v>
      </c>
      <c r="C1366" s="1" t="s">
        <v>170</v>
      </c>
      <c r="D1366" s="1" t="s">
        <v>27</v>
      </c>
      <c r="E1366" s="1" t="s">
        <v>3184</v>
      </c>
      <c r="F1366" s="1" t="s">
        <v>3185</v>
      </c>
      <c r="G1366" s="1" t="s">
        <v>23</v>
      </c>
      <c r="I1366" s="16">
        <v>41288.339224537034</v>
      </c>
      <c r="J1366" s="1" t="s">
        <v>151</v>
      </c>
      <c r="K1366" s="1" t="s">
        <v>18</v>
      </c>
      <c r="L1366" s="1" t="s">
        <v>19</v>
      </c>
    </row>
    <row r="1367" spans="1:16" ht="13" x14ac:dyDescent="0.15">
      <c r="A1367" s="1">
        <v>62261</v>
      </c>
      <c r="B1367" s="1">
        <v>0</v>
      </c>
      <c r="C1367" s="1" t="s">
        <v>26</v>
      </c>
      <c r="D1367" s="1" t="s">
        <v>27</v>
      </c>
      <c r="E1367" s="1" t="s">
        <v>3186</v>
      </c>
      <c r="F1367" s="1" t="s">
        <v>1173</v>
      </c>
      <c r="G1367" s="1" t="s">
        <v>23</v>
      </c>
      <c r="I1367" s="16">
        <v>40489.733900462961</v>
      </c>
      <c r="J1367" s="1" t="s">
        <v>40</v>
      </c>
      <c r="K1367" s="1" t="s">
        <v>18</v>
      </c>
      <c r="L1367" s="1" t="s">
        <v>19</v>
      </c>
    </row>
    <row r="1368" spans="1:16" ht="13" x14ac:dyDescent="0.15">
      <c r="A1368" s="1">
        <v>162896</v>
      </c>
      <c r="B1368" s="1">
        <v>0</v>
      </c>
      <c r="C1368" s="1" t="s">
        <v>26</v>
      </c>
      <c r="D1368" s="1" t="s">
        <v>27</v>
      </c>
      <c r="E1368" s="1" t="s">
        <v>3187</v>
      </c>
      <c r="F1368" s="1" t="s">
        <v>3188</v>
      </c>
      <c r="G1368" s="1" t="s">
        <v>23</v>
      </c>
      <c r="I1368" s="16">
        <v>41240.687592592592</v>
      </c>
      <c r="J1368" s="1" t="s">
        <v>40</v>
      </c>
      <c r="K1368" s="1" t="s">
        <v>18</v>
      </c>
      <c r="L1368" s="1" t="s">
        <v>19</v>
      </c>
    </row>
    <row r="1369" spans="1:16" ht="13" x14ac:dyDescent="0.15">
      <c r="A1369" s="1">
        <v>356517</v>
      </c>
      <c r="B1369" s="1">
        <v>0</v>
      </c>
      <c r="C1369" s="1" t="s">
        <v>923</v>
      </c>
      <c r="D1369" s="1" t="s">
        <v>27</v>
      </c>
      <c r="E1369" s="1" t="s">
        <v>3189</v>
      </c>
      <c r="F1369" s="1" t="s">
        <v>3190</v>
      </c>
      <c r="G1369" s="1" t="s">
        <v>23</v>
      </c>
      <c r="I1369" s="16">
        <v>41724.120011574072</v>
      </c>
      <c r="J1369" s="1" t="s">
        <v>17</v>
      </c>
      <c r="K1369" s="1" t="s">
        <v>18</v>
      </c>
      <c r="L1369" s="1" t="s">
        <v>19</v>
      </c>
    </row>
    <row r="1370" spans="1:16" ht="13" x14ac:dyDescent="0.15">
      <c r="A1370" s="1">
        <v>97148</v>
      </c>
      <c r="B1370" s="1">
        <v>0</v>
      </c>
      <c r="C1370" s="1" t="s">
        <v>3191</v>
      </c>
      <c r="D1370" s="1" t="s">
        <v>27</v>
      </c>
      <c r="E1370" s="1" t="s">
        <v>3192</v>
      </c>
      <c r="F1370" s="1" t="s">
        <v>3193</v>
      </c>
      <c r="G1370" s="1" t="s">
        <v>23</v>
      </c>
      <c r="I1370" s="16">
        <v>40805.926180555558</v>
      </c>
      <c r="J1370" s="1" t="s">
        <v>3194</v>
      </c>
      <c r="K1370" s="1" t="s">
        <v>18</v>
      </c>
      <c r="L1370" s="1" t="s">
        <v>19</v>
      </c>
    </row>
    <row r="1371" spans="1:16" ht="13" x14ac:dyDescent="0.15">
      <c r="A1371" s="1">
        <v>97994</v>
      </c>
      <c r="B1371" s="1">
        <v>0</v>
      </c>
      <c r="C1371" s="1" t="s">
        <v>26</v>
      </c>
      <c r="D1371" s="1" t="s">
        <v>27</v>
      </c>
      <c r="E1371" s="1" t="s">
        <v>3195</v>
      </c>
      <c r="F1371" s="1" t="s">
        <v>94</v>
      </c>
      <c r="G1371" s="1" t="s">
        <v>23</v>
      </c>
      <c r="I1371" s="16">
        <v>40812.134872685187</v>
      </c>
      <c r="J1371" s="1" t="s">
        <v>40</v>
      </c>
      <c r="K1371" s="1" t="s">
        <v>18</v>
      </c>
      <c r="L1371" s="1" t="s">
        <v>19</v>
      </c>
    </row>
    <row r="1372" spans="1:16" ht="13" x14ac:dyDescent="0.15">
      <c r="A1372" s="1">
        <v>358059</v>
      </c>
      <c r="B1372" s="1">
        <v>0</v>
      </c>
      <c r="C1372" s="1" t="s">
        <v>101</v>
      </c>
      <c r="D1372" s="1" t="s">
        <v>27</v>
      </c>
      <c r="E1372" s="1" t="s">
        <v>349</v>
      </c>
      <c r="F1372" s="1" t="s">
        <v>3196</v>
      </c>
      <c r="G1372" s="1" t="s">
        <v>23</v>
      </c>
      <c r="I1372" s="16">
        <v>41729.114421296297</v>
      </c>
      <c r="J1372" s="1" t="s">
        <v>17</v>
      </c>
      <c r="K1372" s="1" t="s">
        <v>18</v>
      </c>
      <c r="L1372" s="1" t="s">
        <v>19</v>
      </c>
    </row>
    <row r="1373" spans="1:16" ht="13" x14ac:dyDescent="0.15">
      <c r="A1373" s="1">
        <v>165538</v>
      </c>
      <c r="B1373" s="1">
        <v>0</v>
      </c>
      <c r="C1373" s="1" t="s">
        <v>194</v>
      </c>
      <c r="D1373" s="1" t="s">
        <v>27</v>
      </c>
      <c r="E1373" s="1" t="s">
        <v>3197</v>
      </c>
      <c r="F1373" s="1" t="s">
        <v>3198</v>
      </c>
      <c r="G1373" s="1" t="s">
        <v>23</v>
      </c>
      <c r="I1373" s="16">
        <v>41254.874247685184</v>
      </c>
      <c r="J1373" s="1" t="s">
        <v>151</v>
      </c>
      <c r="K1373" s="1" t="s">
        <v>18</v>
      </c>
      <c r="L1373" s="1" t="s">
        <v>19</v>
      </c>
    </row>
    <row r="1374" spans="1:16" ht="13" x14ac:dyDescent="0.15">
      <c r="A1374" s="1">
        <v>94810</v>
      </c>
      <c r="B1374" s="1">
        <v>0</v>
      </c>
      <c r="C1374" s="1" t="s">
        <v>26</v>
      </c>
      <c r="D1374" s="1" t="s">
        <v>27</v>
      </c>
      <c r="E1374" s="1" t="s">
        <v>3199</v>
      </c>
      <c r="F1374" s="1" t="s">
        <v>359</v>
      </c>
      <c r="G1374" s="1" t="s">
        <v>23</v>
      </c>
      <c r="I1374" s="16">
        <v>40785.922233796293</v>
      </c>
      <c r="J1374" s="1" t="s">
        <v>40</v>
      </c>
      <c r="K1374" s="1" t="s">
        <v>18</v>
      </c>
      <c r="L1374" s="1" t="s">
        <v>19</v>
      </c>
    </row>
    <row r="1375" spans="1:16" ht="13" x14ac:dyDescent="0.15">
      <c r="A1375" s="1">
        <v>230176</v>
      </c>
      <c r="B1375" s="1">
        <v>1</v>
      </c>
      <c r="C1375" s="1" t="s">
        <v>26</v>
      </c>
      <c r="D1375" s="1" t="s">
        <v>27</v>
      </c>
      <c r="E1375" s="1" t="s">
        <v>3200</v>
      </c>
      <c r="F1375" s="1" t="s">
        <v>3201</v>
      </c>
      <c r="G1375" s="1" t="s">
        <v>23</v>
      </c>
      <c r="I1375" s="16">
        <v>41375.018240740741</v>
      </c>
      <c r="J1375" s="1" t="s">
        <v>501</v>
      </c>
      <c r="K1375" s="1" t="s">
        <v>18</v>
      </c>
      <c r="L1375" s="1" t="s">
        <v>19</v>
      </c>
      <c r="M1375" s="1">
        <v>231171</v>
      </c>
      <c r="N1375" s="1" t="s">
        <v>3202</v>
      </c>
      <c r="O1375" s="16">
        <v>41379.146064814813</v>
      </c>
      <c r="P1375" s="1" t="s">
        <v>718</v>
      </c>
    </row>
    <row r="1376" spans="1:16" ht="13" x14ac:dyDescent="0.15">
      <c r="A1376" s="1">
        <v>178797</v>
      </c>
      <c r="B1376" s="1">
        <v>0</v>
      </c>
      <c r="C1376" s="1" t="s">
        <v>26</v>
      </c>
      <c r="D1376" s="1" t="s">
        <v>27</v>
      </c>
      <c r="E1376" s="1" t="s">
        <v>3203</v>
      </c>
      <c r="F1376" s="1" t="s">
        <v>3204</v>
      </c>
      <c r="G1376" s="1" t="s">
        <v>23</v>
      </c>
      <c r="I1376" s="16">
        <v>41332.795532407406</v>
      </c>
      <c r="J1376" s="1" t="s">
        <v>40</v>
      </c>
      <c r="K1376" s="1" t="s">
        <v>18</v>
      </c>
      <c r="L1376" s="1" t="s">
        <v>19</v>
      </c>
    </row>
    <row r="1377" spans="1:20" ht="13" x14ac:dyDescent="0.15">
      <c r="A1377" s="1">
        <v>117588</v>
      </c>
      <c r="B1377" s="1">
        <v>2</v>
      </c>
      <c r="C1377" s="1" t="s">
        <v>514</v>
      </c>
      <c r="D1377" s="1" t="s">
        <v>27</v>
      </c>
      <c r="E1377" s="1" t="s">
        <v>3205</v>
      </c>
      <c r="F1377" s="1" t="s">
        <v>3206</v>
      </c>
      <c r="G1377" s="1" t="s">
        <v>23</v>
      </c>
      <c r="I1377" s="16">
        <v>40977.871874999997</v>
      </c>
      <c r="J1377" s="1" t="s">
        <v>3207</v>
      </c>
      <c r="K1377" s="1" t="s">
        <v>18</v>
      </c>
      <c r="L1377" s="1" t="s">
        <v>19</v>
      </c>
      <c r="M1377" s="1">
        <v>120013</v>
      </c>
      <c r="N1377" s="1" t="s">
        <v>3208</v>
      </c>
      <c r="O1377" s="16">
        <v>40993.469456018516</v>
      </c>
      <c r="P1377" s="1" t="s">
        <v>1965</v>
      </c>
      <c r="Q1377" s="1">
        <v>118352</v>
      </c>
      <c r="R1377" s="1" t="s">
        <v>3208</v>
      </c>
      <c r="S1377" s="2">
        <v>40983.248877314814</v>
      </c>
      <c r="T1377" s="1" t="s">
        <v>190</v>
      </c>
    </row>
    <row r="1378" spans="1:20" ht="13" x14ac:dyDescent="0.15">
      <c r="A1378" s="1">
        <v>368980</v>
      </c>
      <c r="B1378" s="1">
        <v>0</v>
      </c>
      <c r="C1378" s="1" t="s">
        <v>50</v>
      </c>
      <c r="D1378" s="1" t="s">
        <v>27</v>
      </c>
      <c r="E1378" s="1" t="s">
        <v>3209</v>
      </c>
      <c r="F1378" s="1" t="s">
        <v>3210</v>
      </c>
      <c r="G1378" s="1" t="s">
        <v>23</v>
      </c>
      <c r="I1378" s="16">
        <v>41760.186909722222</v>
      </c>
      <c r="J1378" s="1" t="s">
        <v>17</v>
      </c>
      <c r="K1378" s="1" t="s">
        <v>18</v>
      </c>
      <c r="L1378" s="1" t="s">
        <v>19</v>
      </c>
    </row>
    <row r="1379" spans="1:20" ht="13" x14ac:dyDescent="0.15">
      <c r="A1379" s="1">
        <v>294505</v>
      </c>
      <c r="B1379" s="1">
        <v>0</v>
      </c>
      <c r="C1379" s="1" t="s">
        <v>689</v>
      </c>
      <c r="D1379" s="1" t="s">
        <v>27</v>
      </c>
      <c r="E1379" s="1" t="s">
        <v>3211</v>
      </c>
      <c r="F1379" s="1" t="s">
        <v>3212</v>
      </c>
      <c r="G1379" s="1" t="s">
        <v>23</v>
      </c>
      <c r="I1379" s="16">
        <v>41536.098217592589</v>
      </c>
      <c r="J1379" s="1" t="s">
        <v>17</v>
      </c>
      <c r="K1379" s="1" t="s">
        <v>18</v>
      </c>
      <c r="L1379" s="1" t="s">
        <v>19</v>
      </c>
    </row>
    <row r="1380" spans="1:20" ht="13" x14ac:dyDescent="0.15">
      <c r="A1380" s="1">
        <v>415407</v>
      </c>
      <c r="B1380" s="1">
        <v>0</v>
      </c>
      <c r="C1380" s="1" t="s">
        <v>268</v>
      </c>
      <c r="D1380" s="1" t="s">
        <v>27</v>
      </c>
      <c r="E1380" s="1" t="s">
        <v>3213</v>
      </c>
      <c r="F1380" s="1" t="s">
        <v>3214</v>
      </c>
      <c r="G1380" s="1" t="s">
        <v>23</v>
      </c>
      <c r="I1380" s="16">
        <v>41900.042222222219</v>
      </c>
      <c r="J1380" s="1" t="s">
        <v>17</v>
      </c>
      <c r="K1380" s="1" t="s">
        <v>18</v>
      </c>
      <c r="L1380" s="1" t="s">
        <v>19</v>
      </c>
    </row>
    <row r="1381" spans="1:20" ht="13" x14ac:dyDescent="0.15">
      <c r="A1381" s="1">
        <v>482521</v>
      </c>
      <c r="B1381" s="1">
        <v>0</v>
      </c>
      <c r="C1381" s="1" t="s">
        <v>137</v>
      </c>
      <c r="D1381" s="1" t="s">
        <v>27</v>
      </c>
      <c r="E1381" s="1" t="s">
        <v>3215</v>
      </c>
      <c r="F1381" s="1" t="s">
        <v>3216</v>
      </c>
      <c r="I1381" s="16">
        <v>42123.668958333335</v>
      </c>
      <c r="J1381" s="1" t="s">
        <v>656</v>
      </c>
      <c r="K1381" s="1" t="s">
        <v>18</v>
      </c>
      <c r="L1381" s="1" t="s">
        <v>19</v>
      </c>
    </row>
    <row r="1382" spans="1:20" ht="13" x14ac:dyDescent="0.15">
      <c r="A1382" s="1">
        <v>676623</v>
      </c>
      <c r="B1382" s="1">
        <v>0</v>
      </c>
      <c r="C1382" s="1" t="s">
        <v>1824</v>
      </c>
      <c r="D1382" s="1" t="s">
        <v>27</v>
      </c>
      <c r="E1382" s="1" t="s">
        <v>3217</v>
      </c>
      <c r="F1382" s="1" t="s">
        <v>3218</v>
      </c>
      <c r="G1382" s="1" t="s">
        <v>23</v>
      </c>
      <c r="I1382" s="16">
        <v>42726.576597222222</v>
      </c>
      <c r="J1382" s="1" t="s">
        <v>3219</v>
      </c>
      <c r="K1382" s="1" t="s">
        <v>18</v>
      </c>
      <c r="L1382" s="1" t="s">
        <v>19</v>
      </c>
    </row>
    <row r="1383" spans="1:20" ht="13" x14ac:dyDescent="0.15">
      <c r="A1383" s="1">
        <v>133892</v>
      </c>
      <c r="B1383" s="1">
        <v>0</v>
      </c>
      <c r="C1383" s="1" t="s">
        <v>26</v>
      </c>
      <c r="D1383" s="1" t="s">
        <v>27</v>
      </c>
      <c r="E1383" s="1" t="s">
        <v>3220</v>
      </c>
      <c r="F1383" s="1" t="s">
        <v>3221</v>
      </c>
      <c r="G1383" s="1" t="s">
        <v>23</v>
      </c>
      <c r="I1383" s="16">
        <v>41081.191689814812</v>
      </c>
      <c r="J1383" s="1" t="s">
        <v>40</v>
      </c>
      <c r="K1383" s="1" t="s">
        <v>18</v>
      </c>
      <c r="L1383" s="1" t="s">
        <v>19</v>
      </c>
    </row>
    <row r="1384" spans="1:20" ht="13" x14ac:dyDescent="0.15">
      <c r="A1384" s="1">
        <v>143551</v>
      </c>
      <c r="B1384" s="1">
        <v>0</v>
      </c>
      <c r="C1384" s="1" t="s">
        <v>26</v>
      </c>
      <c r="D1384" s="1" t="s">
        <v>27</v>
      </c>
      <c r="E1384" s="1" t="s">
        <v>3222</v>
      </c>
      <c r="F1384" s="1" t="s">
        <v>162</v>
      </c>
      <c r="G1384" s="1" t="s">
        <v>23</v>
      </c>
      <c r="I1384" s="16">
        <v>41139.306018518517</v>
      </c>
      <c r="J1384" s="1" t="s">
        <v>40</v>
      </c>
      <c r="K1384" s="1" t="s">
        <v>18</v>
      </c>
      <c r="L1384" s="1" t="s">
        <v>19</v>
      </c>
    </row>
    <row r="1385" spans="1:20" ht="13" x14ac:dyDescent="0.15">
      <c r="A1385" s="1">
        <v>330660</v>
      </c>
      <c r="B1385" s="1">
        <v>0</v>
      </c>
      <c r="C1385" s="1" t="s">
        <v>73</v>
      </c>
      <c r="D1385" s="1" t="s">
        <v>27</v>
      </c>
      <c r="E1385" s="1" t="s">
        <v>3223</v>
      </c>
      <c r="F1385" s="1" t="s">
        <v>3224</v>
      </c>
      <c r="G1385" s="1" t="s">
        <v>159</v>
      </c>
      <c r="I1385" s="16">
        <v>41633.810104166667</v>
      </c>
      <c r="J1385" s="1" t="s">
        <v>98</v>
      </c>
      <c r="K1385" s="1" t="s">
        <v>18</v>
      </c>
      <c r="L1385" s="1" t="s">
        <v>19</v>
      </c>
    </row>
    <row r="1386" spans="1:20" ht="13" x14ac:dyDescent="0.15">
      <c r="A1386" s="1">
        <v>130723</v>
      </c>
      <c r="B1386" s="1">
        <v>0</v>
      </c>
      <c r="C1386" s="1" t="s">
        <v>26</v>
      </c>
      <c r="D1386" s="1" t="s">
        <v>27</v>
      </c>
      <c r="E1386" s="1" t="s">
        <v>3225</v>
      </c>
      <c r="F1386" s="1" t="s">
        <v>3226</v>
      </c>
      <c r="G1386" s="1" t="s">
        <v>23</v>
      </c>
      <c r="I1386" s="16">
        <v>41061.296782407408</v>
      </c>
      <c r="J1386" s="1" t="s">
        <v>40</v>
      </c>
      <c r="K1386" s="1" t="s">
        <v>18</v>
      </c>
      <c r="L1386" s="1" t="s">
        <v>19</v>
      </c>
    </row>
    <row r="1387" spans="1:20" ht="13" x14ac:dyDescent="0.15">
      <c r="A1387" s="1">
        <v>130722</v>
      </c>
      <c r="B1387" s="1">
        <v>0</v>
      </c>
      <c r="C1387" s="1" t="s">
        <v>26</v>
      </c>
      <c r="D1387" s="1" t="s">
        <v>27</v>
      </c>
      <c r="E1387" s="1" t="s">
        <v>875</v>
      </c>
      <c r="F1387" s="1" t="s">
        <v>3227</v>
      </c>
      <c r="G1387" s="1" t="s">
        <v>23</v>
      </c>
      <c r="I1387" s="16">
        <v>41061.291226851848</v>
      </c>
      <c r="J1387" s="1" t="s">
        <v>40</v>
      </c>
      <c r="K1387" s="1" t="s">
        <v>18</v>
      </c>
      <c r="L1387" s="1" t="s">
        <v>19</v>
      </c>
    </row>
    <row r="1388" spans="1:20" ht="13" x14ac:dyDescent="0.15">
      <c r="A1388" s="1">
        <v>121206</v>
      </c>
      <c r="B1388" s="1">
        <v>0</v>
      </c>
      <c r="C1388" s="1" t="s">
        <v>26</v>
      </c>
      <c r="D1388" s="1" t="s">
        <v>27</v>
      </c>
      <c r="E1388" s="1" t="s">
        <v>3228</v>
      </c>
      <c r="F1388" s="1" t="s">
        <v>3229</v>
      </c>
      <c r="G1388" s="1" t="s">
        <v>23</v>
      </c>
      <c r="I1388" s="16">
        <v>40998.909837962965</v>
      </c>
      <c r="J1388" s="1" t="s">
        <v>148</v>
      </c>
      <c r="K1388" s="1" t="s">
        <v>18</v>
      </c>
      <c r="L1388" s="1" t="s">
        <v>19</v>
      </c>
    </row>
    <row r="1389" spans="1:20" ht="13" x14ac:dyDescent="0.15">
      <c r="A1389" s="1">
        <v>162494</v>
      </c>
      <c r="B1389" s="1">
        <v>0</v>
      </c>
      <c r="C1389" s="1" t="s">
        <v>41</v>
      </c>
      <c r="D1389" s="1" t="s">
        <v>27</v>
      </c>
      <c r="E1389" s="1" t="s">
        <v>3230</v>
      </c>
      <c r="F1389" s="1" t="s">
        <v>3231</v>
      </c>
      <c r="G1389" s="1" t="s">
        <v>23</v>
      </c>
      <c r="I1389" s="16">
        <v>41236.814108796294</v>
      </c>
      <c r="J1389" s="1" t="s">
        <v>408</v>
      </c>
      <c r="K1389" s="1" t="s">
        <v>18</v>
      </c>
      <c r="L1389" s="1" t="s">
        <v>19</v>
      </c>
    </row>
    <row r="1390" spans="1:20" ht="13" x14ac:dyDescent="0.15">
      <c r="A1390" s="1">
        <v>444539</v>
      </c>
      <c r="B1390" s="1">
        <v>0</v>
      </c>
      <c r="D1390" s="1" t="s">
        <v>27</v>
      </c>
      <c r="E1390" s="1" t="s">
        <v>3232</v>
      </c>
      <c r="F1390" s="1" t="s">
        <v>3233</v>
      </c>
      <c r="G1390" s="1" t="s">
        <v>23</v>
      </c>
      <c r="I1390" s="16">
        <v>41995.501307870371</v>
      </c>
      <c r="J1390" s="1" t="s">
        <v>1151</v>
      </c>
      <c r="K1390" s="1" t="s">
        <v>18</v>
      </c>
      <c r="L1390" s="1" t="s">
        <v>19</v>
      </c>
    </row>
    <row r="1391" spans="1:20" ht="13" x14ac:dyDescent="0.15">
      <c r="A1391" s="1">
        <v>49964</v>
      </c>
      <c r="B1391" s="1">
        <v>0</v>
      </c>
      <c r="C1391" s="1" t="s">
        <v>26</v>
      </c>
      <c r="D1391" s="1" t="s">
        <v>27</v>
      </c>
      <c r="E1391" s="1" t="s">
        <v>3234</v>
      </c>
      <c r="F1391" s="1" t="s">
        <v>1479</v>
      </c>
      <c r="I1391" s="16">
        <v>40381.80914351852</v>
      </c>
      <c r="J1391" s="1" t="s">
        <v>3235</v>
      </c>
      <c r="K1391" s="1" t="s">
        <v>18</v>
      </c>
      <c r="L1391" s="1" t="s">
        <v>19</v>
      </c>
    </row>
    <row r="1392" spans="1:20" ht="13" x14ac:dyDescent="0.15">
      <c r="A1392" s="1">
        <v>86367</v>
      </c>
      <c r="B1392" s="1">
        <v>0</v>
      </c>
      <c r="C1392" s="1" t="s">
        <v>26</v>
      </c>
      <c r="D1392" s="1" t="s">
        <v>27</v>
      </c>
      <c r="E1392" s="1" t="s">
        <v>3236</v>
      </c>
      <c r="F1392" s="1" t="s">
        <v>3237</v>
      </c>
      <c r="G1392" s="1" t="s">
        <v>23</v>
      </c>
      <c r="I1392" s="16">
        <v>40710.850057870368</v>
      </c>
      <c r="J1392" s="1" t="s">
        <v>40</v>
      </c>
      <c r="K1392" s="1" t="s">
        <v>18</v>
      </c>
      <c r="L1392" s="1" t="s">
        <v>19</v>
      </c>
    </row>
    <row r="1393" spans="1:16" ht="13" x14ac:dyDescent="0.15">
      <c r="A1393" s="1">
        <v>450654</v>
      </c>
      <c r="B1393" s="1">
        <v>0</v>
      </c>
      <c r="C1393" s="1" t="s">
        <v>1593</v>
      </c>
      <c r="D1393" s="1" t="s">
        <v>27</v>
      </c>
      <c r="E1393" s="1" t="s">
        <v>3238</v>
      </c>
      <c r="F1393" s="1" t="s">
        <v>2320</v>
      </c>
      <c r="G1393" s="1" t="s">
        <v>23</v>
      </c>
      <c r="I1393" s="16">
        <v>42025.735937500001</v>
      </c>
      <c r="J1393" s="1" t="s">
        <v>17</v>
      </c>
      <c r="K1393" s="1" t="s">
        <v>18</v>
      </c>
      <c r="L1393" s="1" t="s">
        <v>19</v>
      </c>
    </row>
    <row r="1394" spans="1:16" ht="13" x14ac:dyDescent="0.15">
      <c r="A1394" s="1">
        <v>164565</v>
      </c>
      <c r="B1394" s="1">
        <v>0</v>
      </c>
      <c r="C1394" s="1" t="s">
        <v>26</v>
      </c>
      <c r="D1394" s="1" t="s">
        <v>27</v>
      </c>
      <c r="E1394" s="1" t="s">
        <v>3239</v>
      </c>
      <c r="F1394" s="1" t="s">
        <v>3240</v>
      </c>
      <c r="G1394" s="1" t="s">
        <v>23</v>
      </c>
      <c r="I1394" s="16">
        <v>41249.456400462965</v>
      </c>
      <c r="J1394" s="1" t="s">
        <v>3241</v>
      </c>
      <c r="K1394" s="1" t="s">
        <v>18</v>
      </c>
      <c r="L1394" s="1" t="s">
        <v>19</v>
      </c>
    </row>
    <row r="1395" spans="1:16" ht="13" x14ac:dyDescent="0.15">
      <c r="A1395" s="1">
        <v>421321</v>
      </c>
      <c r="B1395" s="1">
        <v>0</v>
      </c>
      <c r="C1395" s="1" t="s">
        <v>409</v>
      </c>
      <c r="D1395" s="1" t="s">
        <v>27</v>
      </c>
      <c r="E1395" s="1" t="s">
        <v>3242</v>
      </c>
      <c r="F1395" s="1" t="s">
        <v>3243</v>
      </c>
      <c r="G1395" s="1" t="s">
        <v>23</v>
      </c>
      <c r="I1395" s="16">
        <v>41920.250162037039</v>
      </c>
      <c r="J1395" s="1" t="s">
        <v>718</v>
      </c>
      <c r="K1395" s="1" t="s">
        <v>18</v>
      </c>
      <c r="L1395" s="1" t="s">
        <v>19</v>
      </c>
    </row>
    <row r="1396" spans="1:16" ht="13" x14ac:dyDescent="0.15">
      <c r="A1396" s="1">
        <v>119525</v>
      </c>
      <c r="B1396" s="1">
        <v>0</v>
      </c>
      <c r="C1396" s="1" t="s">
        <v>26</v>
      </c>
      <c r="D1396" s="1" t="s">
        <v>27</v>
      </c>
      <c r="E1396" s="1" t="s">
        <v>3244</v>
      </c>
      <c r="F1396" s="1" t="s">
        <v>3245</v>
      </c>
      <c r="G1396" s="1" t="s">
        <v>23</v>
      </c>
      <c r="I1396" s="16">
        <v>40990.773784722223</v>
      </c>
      <c r="J1396" s="1" t="s">
        <v>44</v>
      </c>
      <c r="K1396" s="1" t="s">
        <v>18</v>
      </c>
      <c r="L1396" s="1" t="s">
        <v>19</v>
      </c>
    </row>
    <row r="1397" spans="1:16" ht="13" x14ac:dyDescent="0.15">
      <c r="A1397" s="1">
        <v>236556</v>
      </c>
      <c r="B1397" s="1">
        <v>0</v>
      </c>
      <c r="C1397" s="1" t="s">
        <v>26</v>
      </c>
      <c r="D1397" s="1" t="s">
        <v>27</v>
      </c>
      <c r="E1397" s="1" t="s">
        <v>3246</v>
      </c>
      <c r="F1397" s="1" t="s">
        <v>3247</v>
      </c>
      <c r="G1397" s="1" t="s">
        <v>23</v>
      </c>
      <c r="I1397" s="16">
        <v>41393.845462962963</v>
      </c>
      <c r="J1397" s="1" t="s">
        <v>944</v>
      </c>
      <c r="K1397" s="1" t="s">
        <v>18</v>
      </c>
      <c r="L1397" s="1" t="s">
        <v>19</v>
      </c>
    </row>
    <row r="1398" spans="1:16" ht="13" x14ac:dyDescent="0.15">
      <c r="A1398" s="1">
        <v>226696</v>
      </c>
      <c r="B1398" s="1">
        <v>0</v>
      </c>
      <c r="C1398" s="1" t="s">
        <v>26</v>
      </c>
      <c r="D1398" s="1" t="s">
        <v>27</v>
      </c>
      <c r="E1398" s="1" t="s">
        <v>3248</v>
      </c>
      <c r="F1398" s="1" t="s">
        <v>3249</v>
      </c>
      <c r="G1398" s="1" t="s">
        <v>23</v>
      </c>
      <c r="I1398" s="16">
        <v>41368.83929398148</v>
      </c>
      <c r="J1398" s="1" t="s">
        <v>3250</v>
      </c>
      <c r="K1398" s="1" t="s">
        <v>18</v>
      </c>
      <c r="L1398" s="1" t="s">
        <v>19</v>
      </c>
    </row>
    <row r="1399" spans="1:16" ht="13" x14ac:dyDescent="0.15">
      <c r="A1399" s="1">
        <v>360214</v>
      </c>
      <c r="B1399" s="1">
        <v>0</v>
      </c>
      <c r="C1399" s="1" t="s">
        <v>923</v>
      </c>
      <c r="D1399" s="1" t="s">
        <v>27</v>
      </c>
      <c r="E1399" s="1" t="s">
        <v>3251</v>
      </c>
      <c r="F1399" s="1" t="s">
        <v>3252</v>
      </c>
      <c r="G1399" s="1" t="s">
        <v>23</v>
      </c>
      <c r="I1399" s="16">
        <v>41733.897268518522</v>
      </c>
      <c r="J1399" s="1" t="s">
        <v>17</v>
      </c>
      <c r="K1399" s="1" t="s">
        <v>18</v>
      </c>
      <c r="L1399" s="1" t="s">
        <v>19</v>
      </c>
    </row>
    <row r="1400" spans="1:16" ht="13" x14ac:dyDescent="0.15">
      <c r="A1400" s="1">
        <v>623378</v>
      </c>
      <c r="B1400" s="1">
        <v>0</v>
      </c>
      <c r="C1400" s="1" t="s">
        <v>1824</v>
      </c>
      <c r="D1400" s="1" t="s">
        <v>27</v>
      </c>
      <c r="E1400" s="1" t="s">
        <v>3253</v>
      </c>
      <c r="F1400" s="1" t="s">
        <v>3254</v>
      </c>
      <c r="G1400" s="1" t="s">
        <v>56</v>
      </c>
      <c r="I1400" s="16">
        <v>42547.583993055552</v>
      </c>
      <c r="J1400" s="1" t="s">
        <v>3255</v>
      </c>
      <c r="K1400" s="1" t="s">
        <v>18</v>
      </c>
      <c r="L1400" s="1" t="s">
        <v>19</v>
      </c>
    </row>
    <row r="1401" spans="1:16" ht="13" x14ac:dyDescent="0.15">
      <c r="A1401" s="1">
        <v>120977</v>
      </c>
      <c r="B1401" s="1">
        <v>0</v>
      </c>
      <c r="C1401" s="1" t="s">
        <v>3256</v>
      </c>
      <c r="D1401" s="1" t="s">
        <v>27</v>
      </c>
      <c r="E1401" s="1" t="s">
        <v>3257</v>
      </c>
      <c r="F1401" s="1" t="s">
        <v>3258</v>
      </c>
      <c r="I1401" s="16">
        <v>40997.907476851855</v>
      </c>
      <c r="J1401" s="1" t="s">
        <v>1255</v>
      </c>
      <c r="K1401" s="1" t="s">
        <v>18</v>
      </c>
      <c r="L1401" s="1" t="s">
        <v>19</v>
      </c>
    </row>
    <row r="1402" spans="1:16" ht="13" x14ac:dyDescent="0.15">
      <c r="A1402" s="1">
        <v>139679</v>
      </c>
      <c r="B1402" s="1">
        <v>0</v>
      </c>
      <c r="C1402" s="1" t="s">
        <v>26</v>
      </c>
      <c r="D1402" s="1" t="s">
        <v>27</v>
      </c>
      <c r="E1402" s="1" t="s">
        <v>3259</v>
      </c>
      <c r="F1402" s="1" t="s">
        <v>592</v>
      </c>
      <c r="G1402" s="1" t="s">
        <v>23</v>
      </c>
      <c r="I1402" s="16">
        <v>41120.833935185183</v>
      </c>
      <c r="J1402" s="1" t="s">
        <v>40</v>
      </c>
      <c r="K1402" s="1" t="s">
        <v>18</v>
      </c>
      <c r="L1402" s="1" t="s">
        <v>19</v>
      </c>
    </row>
    <row r="1403" spans="1:16" ht="13" x14ac:dyDescent="0.15">
      <c r="A1403" s="1">
        <v>460938</v>
      </c>
      <c r="B1403" s="1">
        <v>0</v>
      </c>
      <c r="D1403" s="1" t="s">
        <v>27</v>
      </c>
      <c r="E1403" s="1" t="s">
        <v>3238</v>
      </c>
      <c r="F1403" s="1" t="s">
        <v>3260</v>
      </c>
      <c r="G1403" s="1" t="s">
        <v>23</v>
      </c>
      <c r="I1403" s="16">
        <v>42058.67864583333</v>
      </c>
      <c r="J1403" s="1" t="s">
        <v>17</v>
      </c>
      <c r="K1403" s="1" t="s">
        <v>18</v>
      </c>
      <c r="L1403" s="1" t="s">
        <v>19</v>
      </c>
    </row>
    <row r="1404" spans="1:16" ht="13" x14ac:dyDescent="0.15">
      <c r="A1404" s="1">
        <v>95359</v>
      </c>
      <c r="B1404" s="1">
        <v>1</v>
      </c>
      <c r="C1404" s="1" t="s">
        <v>26</v>
      </c>
      <c r="D1404" s="1" t="s">
        <v>27</v>
      </c>
      <c r="E1404" s="1" t="s">
        <v>3261</v>
      </c>
      <c r="F1404" s="1" t="s">
        <v>888</v>
      </c>
      <c r="G1404" s="1" t="s">
        <v>23</v>
      </c>
      <c r="I1404" s="16">
        <v>40790.208854166667</v>
      </c>
      <c r="J1404" s="1" t="s">
        <v>40</v>
      </c>
      <c r="K1404" s="1" t="s">
        <v>18</v>
      </c>
      <c r="L1404" s="1" t="s">
        <v>19</v>
      </c>
      <c r="M1404" s="1">
        <v>95423</v>
      </c>
      <c r="N1404" s="1" t="s">
        <v>3262</v>
      </c>
      <c r="O1404" s="16">
        <v>40791.56391203704</v>
      </c>
      <c r="P1404" s="1" t="s">
        <v>3263</v>
      </c>
    </row>
    <row r="1405" spans="1:16" ht="13" x14ac:dyDescent="0.15">
      <c r="A1405" s="1">
        <v>296690</v>
      </c>
      <c r="B1405" s="1">
        <v>0</v>
      </c>
      <c r="C1405" s="1" t="s">
        <v>73</v>
      </c>
      <c r="D1405" s="1" t="s">
        <v>27</v>
      </c>
      <c r="E1405" s="1" t="s">
        <v>3264</v>
      </c>
      <c r="F1405" s="1" t="s">
        <v>3265</v>
      </c>
      <c r="G1405" s="1" t="s">
        <v>23</v>
      </c>
      <c r="I1405" s="16">
        <v>41539.968981481485</v>
      </c>
      <c r="J1405" s="1" t="s">
        <v>3266</v>
      </c>
      <c r="K1405" s="1" t="s">
        <v>18</v>
      </c>
      <c r="L1405" s="1" t="s">
        <v>19</v>
      </c>
    </row>
    <row r="1406" spans="1:16" ht="13" x14ac:dyDescent="0.15">
      <c r="A1406" s="1">
        <v>565967</v>
      </c>
      <c r="B1406" s="1">
        <v>0</v>
      </c>
      <c r="C1406" s="1" t="s">
        <v>829</v>
      </c>
      <c r="D1406" s="1" t="s">
        <v>27</v>
      </c>
      <c r="E1406" s="1" t="s">
        <v>3267</v>
      </c>
      <c r="F1406" s="1" t="s">
        <v>3268</v>
      </c>
      <c r="G1406" s="1" t="s">
        <v>16</v>
      </c>
      <c r="I1406" s="16">
        <v>42342.622650462959</v>
      </c>
      <c r="J1406" s="1" t="s">
        <v>17</v>
      </c>
      <c r="K1406" s="1" t="s">
        <v>18</v>
      </c>
      <c r="L1406" s="1" t="s">
        <v>19</v>
      </c>
    </row>
    <row r="1407" spans="1:16" ht="13" x14ac:dyDescent="0.15">
      <c r="A1407" s="1">
        <v>103126</v>
      </c>
      <c r="B1407" s="1">
        <v>0</v>
      </c>
      <c r="C1407" s="1" t="s">
        <v>26</v>
      </c>
      <c r="D1407" s="1" t="s">
        <v>27</v>
      </c>
      <c r="E1407" s="1" t="s">
        <v>3269</v>
      </c>
      <c r="F1407" s="1" t="s">
        <v>3270</v>
      </c>
      <c r="G1407" s="1" t="s">
        <v>23</v>
      </c>
      <c r="I1407" s="16">
        <v>40852.649560185186</v>
      </c>
      <c r="J1407" s="1" t="s">
        <v>398</v>
      </c>
      <c r="K1407" s="1" t="s">
        <v>18</v>
      </c>
      <c r="L1407" s="1" t="s">
        <v>19</v>
      </c>
    </row>
    <row r="1408" spans="1:16" ht="13" x14ac:dyDescent="0.15">
      <c r="A1408" s="1">
        <v>389734</v>
      </c>
      <c r="B1408" s="1">
        <v>0</v>
      </c>
      <c r="C1408" s="1" t="s">
        <v>3271</v>
      </c>
      <c r="D1408" s="1" t="s">
        <v>27</v>
      </c>
      <c r="E1408" s="1" t="s">
        <v>3272</v>
      </c>
      <c r="F1408" s="1" t="s">
        <v>3273</v>
      </c>
      <c r="G1408" s="1" t="s">
        <v>23</v>
      </c>
      <c r="I1408" s="16">
        <v>41817.999108796299</v>
      </c>
      <c r="J1408" s="1" t="s">
        <v>3274</v>
      </c>
      <c r="K1408" s="1" t="s">
        <v>18</v>
      </c>
      <c r="L1408" s="1" t="s">
        <v>19</v>
      </c>
    </row>
    <row r="1409" spans="1:16" ht="13" x14ac:dyDescent="0.15">
      <c r="A1409" s="1">
        <v>529530</v>
      </c>
      <c r="B1409" s="1">
        <v>0</v>
      </c>
      <c r="C1409" s="1" t="s">
        <v>369</v>
      </c>
      <c r="D1409" s="1" t="s">
        <v>27</v>
      </c>
      <c r="E1409" s="1" t="s">
        <v>3275</v>
      </c>
      <c r="F1409" s="1" t="s">
        <v>3276</v>
      </c>
      <c r="G1409" s="1" t="s">
        <v>16</v>
      </c>
      <c r="I1409" s="16">
        <v>42256.039629629631</v>
      </c>
      <c r="J1409" s="1" t="s">
        <v>17</v>
      </c>
      <c r="K1409" s="1" t="s">
        <v>18</v>
      </c>
      <c r="L1409" s="1" t="s">
        <v>19</v>
      </c>
    </row>
    <row r="1410" spans="1:16" ht="13" x14ac:dyDescent="0.15">
      <c r="A1410" s="1">
        <v>560291</v>
      </c>
      <c r="B1410" s="1">
        <v>1</v>
      </c>
      <c r="C1410" s="1" t="s">
        <v>170</v>
      </c>
      <c r="D1410" s="1" t="s">
        <v>27</v>
      </c>
      <c r="E1410" s="1" t="s">
        <v>3277</v>
      </c>
      <c r="F1410" s="1" t="s">
        <v>3278</v>
      </c>
      <c r="I1410" s="16">
        <v>42331.601851851854</v>
      </c>
      <c r="J1410" s="1" t="s">
        <v>3279</v>
      </c>
      <c r="K1410" s="1" t="s">
        <v>18</v>
      </c>
      <c r="L1410" s="1" t="s">
        <v>19</v>
      </c>
      <c r="M1410" s="1">
        <v>561979</v>
      </c>
      <c r="N1410" s="1" t="s">
        <v>3280</v>
      </c>
      <c r="O1410" s="16">
        <v>42334.416724537034</v>
      </c>
      <c r="P1410" s="1" t="s">
        <v>1301</v>
      </c>
    </row>
    <row r="1411" spans="1:16" ht="13" x14ac:dyDescent="0.15">
      <c r="A1411" s="1">
        <v>448082</v>
      </c>
      <c r="B1411" s="1">
        <v>0</v>
      </c>
      <c r="D1411" s="1" t="s">
        <v>27</v>
      </c>
      <c r="E1411" s="1" t="s">
        <v>3281</v>
      </c>
      <c r="F1411" s="1" t="s">
        <v>3282</v>
      </c>
      <c r="G1411" s="1" t="s">
        <v>23</v>
      </c>
      <c r="I1411" s="16">
        <v>42016.74423611111</v>
      </c>
      <c r="J1411" s="1" t="s">
        <v>17</v>
      </c>
      <c r="K1411" s="1" t="s">
        <v>18</v>
      </c>
      <c r="L1411" s="1" t="s">
        <v>19</v>
      </c>
    </row>
    <row r="1412" spans="1:16" ht="13" x14ac:dyDescent="0.15">
      <c r="A1412" s="1">
        <v>139690</v>
      </c>
      <c r="B1412" s="1">
        <v>0</v>
      </c>
      <c r="C1412" s="1" t="s">
        <v>26</v>
      </c>
      <c r="D1412" s="1" t="s">
        <v>27</v>
      </c>
      <c r="E1412" s="1" t="s">
        <v>3283</v>
      </c>
      <c r="F1412" s="1" t="s">
        <v>162</v>
      </c>
      <c r="G1412" s="1" t="s">
        <v>23</v>
      </c>
      <c r="I1412" s="16">
        <v>41120.853402777779</v>
      </c>
      <c r="J1412" s="1" t="s">
        <v>40</v>
      </c>
      <c r="K1412" s="1" t="s">
        <v>18</v>
      </c>
      <c r="L1412" s="1" t="s">
        <v>19</v>
      </c>
    </row>
    <row r="1413" spans="1:16" ht="13" x14ac:dyDescent="0.15">
      <c r="A1413" s="1">
        <v>344186</v>
      </c>
      <c r="B1413" s="1">
        <v>0</v>
      </c>
      <c r="C1413" s="1" t="s">
        <v>101</v>
      </c>
      <c r="D1413" s="1" t="s">
        <v>27</v>
      </c>
      <c r="E1413" s="1" t="s">
        <v>3284</v>
      </c>
      <c r="F1413" s="1" t="s">
        <v>590</v>
      </c>
      <c r="G1413" s="1" t="s">
        <v>23</v>
      </c>
      <c r="I1413" s="16">
        <v>41685.996296296296</v>
      </c>
      <c r="J1413" s="1" t="s">
        <v>17</v>
      </c>
      <c r="K1413" s="1" t="s">
        <v>18</v>
      </c>
      <c r="L1413" s="1" t="s">
        <v>19</v>
      </c>
    </row>
    <row r="1414" spans="1:16" ht="13" x14ac:dyDescent="0.15">
      <c r="A1414" s="1">
        <v>638166</v>
      </c>
      <c r="B1414" s="1">
        <v>0</v>
      </c>
      <c r="C1414" s="1" t="s">
        <v>3285</v>
      </c>
      <c r="D1414" s="1" t="s">
        <v>27</v>
      </c>
      <c r="E1414" s="1" t="s">
        <v>3286</v>
      </c>
      <c r="F1414" s="1" t="s">
        <v>3287</v>
      </c>
      <c r="G1414" s="1" t="s">
        <v>110</v>
      </c>
      <c r="H1414" s="1">
        <v>639688</v>
      </c>
      <c r="I1414" s="16">
        <v>42598.43204861111</v>
      </c>
      <c r="J1414" s="1" t="s">
        <v>17</v>
      </c>
      <c r="K1414" s="1" t="s">
        <v>18</v>
      </c>
      <c r="L1414" s="1" t="s">
        <v>19</v>
      </c>
    </row>
    <row r="1415" spans="1:16" ht="13" x14ac:dyDescent="0.15">
      <c r="A1415" s="1">
        <v>97006</v>
      </c>
      <c r="B1415" s="1">
        <v>0</v>
      </c>
      <c r="C1415" s="1" t="s">
        <v>26</v>
      </c>
      <c r="D1415" s="1" t="s">
        <v>27</v>
      </c>
      <c r="E1415" s="1" t="s">
        <v>3288</v>
      </c>
      <c r="F1415" s="1" t="s">
        <v>3289</v>
      </c>
      <c r="G1415" s="1" t="s">
        <v>23</v>
      </c>
      <c r="I1415" s="16">
        <v>40804.269791666666</v>
      </c>
      <c r="J1415" s="1" t="s">
        <v>40</v>
      </c>
      <c r="K1415" s="1" t="s">
        <v>18</v>
      </c>
      <c r="L1415" s="1" t="s">
        <v>19</v>
      </c>
    </row>
    <row r="1416" spans="1:16" ht="13" x14ac:dyDescent="0.15">
      <c r="A1416" s="1">
        <v>138302</v>
      </c>
      <c r="B1416" s="1">
        <v>0</v>
      </c>
      <c r="C1416" s="1" t="s">
        <v>26</v>
      </c>
      <c r="D1416" s="1" t="s">
        <v>27</v>
      </c>
      <c r="E1416" s="1" t="s">
        <v>3290</v>
      </c>
      <c r="F1416" s="1" t="s">
        <v>592</v>
      </c>
      <c r="G1416" s="1" t="s">
        <v>23</v>
      </c>
      <c r="I1416" s="16">
        <v>41110.831990740742</v>
      </c>
      <c r="J1416" s="1" t="s">
        <v>40</v>
      </c>
      <c r="K1416" s="1" t="s">
        <v>18</v>
      </c>
      <c r="L1416" s="1" t="s">
        <v>19</v>
      </c>
    </row>
    <row r="1417" spans="1:16" ht="13" x14ac:dyDescent="0.15">
      <c r="A1417" s="1">
        <v>139321</v>
      </c>
      <c r="B1417" s="1">
        <v>1</v>
      </c>
      <c r="C1417" s="1" t="s">
        <v>26</v>
      </c>
      <c r="D1417" s="1" t="s">
        <v>27</v>
      </c>
      <c r="E1417" s="1" t="s">
        <v>3291</v>
      </c>
      <c r="F1417" s="1" t="s">
        <v>3292</v>
      </c>
      <c r="G1417" s="1" t="s">
        <v>23</v>
      </c>
      <c r="I1417" s="16">
        <v>41117.540717592594</v>
      </c>
      <c r="J1417" s="1" t="s">
        <v>155</v>
      </c>
      <c r="K1417" s="1" t="s">
        <v>18</v>
      </c>
      <c r="L1417" s="1" t="s">
        <v>19</v>
      </c>
      <c r="M1417" s="1">
        <v>138389</v>
      </c>
      <c r="N1417" s="1" t="s">
        <v>3293</v>
      </c>
      <c r="O1417" s="16">
        <v>41111.294039351851</v>
      </c>
      <c r="P1417" s="1" t="s">
        <v>40</v>
      </c>
    </row>
    <row r="1418" spans="1:16" ht="13" x14ac:dyDescent="0.15">
      <c r="A1418" s="1">
        <v>352429</v>
      </c>
      <c r="B1418" s="1">
        <v>0</v>
      </c>
      <c r="C1418" s="1" t="s">
        <v>305</v>
      </c>
      <c r="D1418" s="1" t="s">
        <v>27</v>
      </c>
      <c r="E1418" s="1" t="s">
        <v>3294</v>
      </c>
      <c r="F1418" s="1" t="s">
        <v>3295</v>
      </c>
      <c r="G1418" s="1" t="s">
        <v>159</v>
      </c>
      <c r="I1418" s="16">
        <v>41712.002453703702</v>
      </c>
      <c r="J1418" s="1" t="s">
        <v>238</v>
      </c>
      <c r="K1418" s="1" t="s">
        <v>18</v>
      </c>
      <c r="L1418" s="1" t="s">
        <v>19</v>
      </c>
    </row>
    <row r="1419" spans="1:16" ht="13" x14ac:dyDescent="0.15">
      <c r="A1419" s="1">
        <v>169685</v>
      </c>
      <c r="B1419" s="1">
        <v>0</v>
      </c>
      <c r="C1419" s="1" t="s">
        <v>170</v>
      </c>
      <c r="D1419" s="1" t="s">
        <v>27</v>
      </c>
      <c r="E1419" s="1" t="s">
        <v>3296</v>
      </c>
      <c r="F1419" s="1" t="s">
        <v>3297</v>
      </c>
      <c r="G1419" s="1" t="s">
        <v>23</v>
      </c>
      <c r="I1419" s="16">
        <v>41286.735185185185</v>
      </c>
      <c r="J1419" s="1" t="s">
        <v>193</v>
      </c>
      <c r="K1419" s="1" t="s">
        <v>18</v>
      </c>
      <c r="L1419" s="1" t="s">
        <v>19</v>
      </c>
    </row>
    <row r="1420" spans="1:16" ht="13" x14ac:dyDescent="0.15">
      <c r="A1420" s="1">
        <v>302810</v>
      </c>
      <c r="B1420" s="1">
        <v>0</v>
      </c>
      <c r="C1420" s="1" t="s">
        <v>31</v>
      </c>
      <c r="D1420" s="1" t="s">
        <v>27</v>
      </c>
      <c r="E1420" s="1" t="s">
        <v>3298</v>
      </c>
      <c r="F1420" s="1" t="s">
        <v>33</v>
      </c>
      <c r="G1420" s="1" t="s">
        <v>23</v>
      </c>
      <c r="I1420" s="16">
        <v>41548.962870370371</v>
      </c>
      <c r="J1420" s="1" t="s">
        <v>17</v>
      </c>
      <c r="K1420" s="1" t="s">
        <v>18</v>
      </c>
      <c r="L1420" s="1" t="s">
        <v>19</v>
      </c>
    </row>
    <row r="1421" spans="1:16" ht="13" x14ac:dyDescent="0.15">
      <c r="A1421" s="1">
        <v>92959</v>
      </c>
      <c r="B1421" s="1">
        <v>0</v>
      </c>
      <c r="C1421" s="1" t="s">
        <v>26</v>
      </c>
      <c r="D1421" s="1" t="s">
        <v>27</v>
      </c>
      <c r="E1421" s="1" t="s">
        <v>3299</v>
      </c>
      <c r="F1421" s="1" t="s">
        <v>3300</v>
      </c>
      <c r="G1421" s="1" t="s">
        <v>23</v>
      </c>
      <c r="I1421" s="16">
        <v>40770.921747685185</v>
      </c>
      <c r="J1421" s="1" t="s">
        <v>544</v>
      </c>
      <c r="K1421" s="1" t="s">
        <v>18</v>
      </c>
      <c r="L1421" s="1" t="s">
        <v>19</v>
      </c>
    </row>
    <row r="1422" spans="1:16" ht="13" x14ac:dyDescent="0.15">
      <c r="A1422" s="1">
        <v>118642</v>
      </c>
      <c r="B1422" s="1">
        <v>0</v>
      </c>
      <c r="C1422" s="1" t="s">
        <v>145</v>
      </c>
      <c r="D1422" s="1" t="s">
        <v>27</v>
      </c>
      <c r="E1422" s="1" t="s">
        <v>3301</v>
      </c>
      <c r="F1422" s="1" t="s">
        <v>3302</v>
      </c>
      <c r="G1422" s="1" t="s">
        <v>23</v>
      </c>
      <c r="I1422" s="16">
        <v>40984.771157407406</v>
      </c>
      <c r="J1422" s="1" t="s">
        <v>544</v>
      </c>
      <c r="K1422" s="1" t="s">
        <v>18</v>
      </c>
      <c r="L1422" s="1" t="s">
        <v>19</v>
      </c>
    </row>
    <row r="1423" spans="1:16" ht="13" x14ac:dyDescent="0.15">
      <c r="A1423" s="1">
        <v>625404</v>
      </c>
      <c r="B1423" s="1">
        <v>0</v>
      </c>
      <c r="C1423" s="1" t="s">
        <v>2854</v>
      </c>
      <c r="D1423" s="1" t="s">
        <v>27</v>
      </c>
      <c r="E1423" s="1" t="s">
        <v>3303</v>
      </c>
      <c r="F1423" s="1" t="s">
        <v>3304</v>
      </c>
      <c r="G1423" s="1" t="s">
        <v>558</v>
      </c>
      <c r="I1423" s="16">
        <v>42553.654363425929</v>
      </c>
      <c r="J1423" s="1" t="s">
        <v>2151</v>
      </c>
      <c r="K1423" s="1" t="s">
        <v>18</v>
      </c>
      <c r="L1423" s="1" t="s">
        <v>19</v>
      </c>
    </row>
    <row r="1424" spans="1:16" ht="13" x14ac:dyDescent="0.15">
      <c r="A1424" s="1">
        <v>436022</v>
      </c>
      <c r="B1424" s="1">
        <v>0</v>
      </c>
      <c r="C1424" s="1" t="s">
        <v>137</v>
      </c>
      <c r="D1424" s="1" t="s">
        <v>27</v>
      </c>
      <c r="E1424" s="1" t="s">
        <v>3305</v>
      </c>
      <c r="F1424" s="1" t="s">
        <v>3306</v>
      </c>
      <c r="G1424" s="1" t="s">
        <v>23</v>
      </c>
      <c r="I1424" s="16">
        <v>41967.54277777778</v>
      </c>
      <c r="J1424" s="1" t="s">
        <v>656</v>
      </c>
      <c r="K1424" s="1" t="s">
        <v>18</v>
      </c>
      <c r="L1424" s="1" t="s">
        <v>19</v>
      </c>
    </row>
    <row r="1425" spans="1:12" ht="13" x14ac:dyDescent="0.15">
      <c r="A1425" s="1">
        <v>531891</v>
      </c>
      <c r="B1425" s="1">
        <v>0</v>
      </c>
      <c r="C1425" s="1" t="s">
        <v>3307</v>
      </c>
      <c r="D1425" s="1" t="s">
        <v>27</v>
      </c>
      <c r="E1425" s="1" t="s">
        <v>3308</v>
      </c>
      <c r="F1425" s="1" t="s">
        <v>3309</v>
      </c>
      <c r="G1425" s="1" t="s">
        <v>23</v>
      </c>
      <c r="I1425" s="16">
        <v>42262.351666666669</v>
      </c>
      <c r="J1425" s="1" t="s">
        <v>247</v>
      </c>
      <c r="K1425" s="1" t="s">
        <v>18</v>
      </c>
      <c r="L1425" s="1" t="s">
        <v>19</v>
      </c>
    </row>
    <row r="1426" spans="1:12" ht="13" x14ac:dyDescent="0.15">
      <c r="A1426" s="1">
        <v>147592</v>
      </c>
      <c r="B1426" s="1">
        <v>0</v>
      </c>
      <c r="C1426" s="1" t="s">
        <v>3310</v>
      </c>
      <c r="D1426" s="1" t="s">
        <v>27</v>
      </c>
      <c r="E1426" s="1" t="s">
        <v>3311</v>
      </c>
      <c r="F1426" s="1" t="s">
        <v>3312</v>
      </c>
      <c r="G1426" s="1" t="s">
        <v>23</v>
      </c>
      <c r="I1426" s="16">
        <v>41162.710601851853</v>
      </c>
      <c r="J1426" s="1" t="s">
        <v>1251</v>
      </c>
      <c r="K1426" s="1" t="s">
        <v>18</v>
      </c>
      <c r="L1426" s="1" t="s">
        <v>19</v>
      </c>
    </row>
    <row r="1427" spans="1:12" ht="13" x14ac:dyDescent="0.15">
      <c r="A1427" s="1">
        <v>136182</v>
      </c>
      <c r="B1427" s="1">
        <v>0</v>
      </c>
      <c r="C1427" s="1" t="s">
        <v>26</v>
      </c>
      <c r="D1427" s="1" t="s">
        <v>27</v>
      </c>
      <c r="E1427" s="1" t="s">
        <v>3313</v>
      </c>
      <c r="F1427" s="1" t="s">
        <v>3314</v>
      </c>
      <c r="G1427" s="1" t="s">
        <v>23</v>
      </c>
      <c r="I1427" s="16">
        <v>41096.726805555554</v>
      </c>
      <c r="J1427" s="1" t="s">
        <v>40</v>
      </c>
      <c r="K1427" s="1" t="s">
        <v>18</v>
      </c>
      <c r="L1427" s="1" t="s">
        <v>19</v>
      </c>
    </row>
    <row r="1428" spans="1:12" ht="13" x14ac:dyDescent="0.15">
      <c r="A1428" s="1">
        <v>139402</v>
      </c>
      <c r="B1428" s="1">
        <v>0</v>
      </c>
      <c r="C1428" s="1" t="s">
        <v>3315</v>
      </c>
      <c r="D1428" s="1" t="s">
        <v>27</v>
      </c>
      <c r="E1428" s="1" t="s">
        <v>3316</v>
      </c>
      <c r="F1428" s="1" t="s">
        <v>3317</v>
      </c>
      <c r="G1428" s="1" t="s">
        <v>23</v>
      </c>
      <c r="I1428" s="16">
        <v>41117.892280092594</v>
      </c>
      <c r="J1428" s="1" t="s">
        <v>40</v>
      </c>
      <c r="K1428" s="1" t="s">
        <v>18</v>
      </c>
      <c r="L1428" s="1" t="s">
        <v>19</v>
      </c>
    </row>
    <row r="1429" spans="1:12" ht="13" x14ac:dyDescent="0.15">
      <c r="A1429" s="1">
        <v>320313</v>
      </c>
      <c r="B1429" s="1">
        <v>0</v>
      </c>
      <c r="C1429" s="1" t="s">
        <v>829</v>
      </c>
      <c r="D1429" s="1" t="s">
        <v>27</v>
      </c>
      <c r="E1429" s="1" t="s">
        <v>3318</v>
      </c>
      <c r="F1429" s="1" t="s">
        <v>3319</v>
      </c>
      <c r="G1429" s="1" t="s">
        <v>23</v>
      </c>
      <c r="I1429" s="16">
        <v>41594.662152777775</v>
      </c>
      <c r="J1429" s="1" t="s">
        <v>17</v>
      </c>
      <c r="K1429" s="1" t="s">
        <v>18</v>
      </c>
      <c r="L1429" s="1" t="s">
        <v>19</v>
      </c>
    </row>
    <row r="1430" spans="1:12" ht="13" x14ac:dyDescent="0.15">
      <c r="A1430" s="1">
        <v>71115</v>
      </c>
      <c r="B1430" s="1">
        <v>0</v>
      </c>
      <c r="C1430" s="1" t="s">
        <v>133</v>
      </c>
      <c r="D1430" s="1" t="s">
        <v>27</v>
      </c>
      <c r="E1430" s="1" t="s">
        <v>3320</v>
      </c>
      <c r="F1430" s="1" t="s">
        <v>430</v>
      </c>
      <c r="G1430" s="1" t="s">
        <v>23</v>
      </c>
      <c r="I1430" s="16">
        <v>40570.935312499998</v>
      </c>
      <c r="J1430" s="1" t="s">
        <v>92</v>
      </c>
      <c r="K1430" s="1" t="s">
        <v>18</v>
      </c>
      <c r="L1430" s="1" t="s">
        <v>19</v>
      </c>
    </row>
    <row r="1431" spans="1:12" ht="13" x14ac:dyDescent="0.15">
      <c r="A1431" s="1">
        <v>71763</v>
      </c>
      <c r="B1431" s="1">
        <v>0</v>
      </c>
      <c r="C1431" s="1" t="s">
        <v>26</v>
      </c>
      <c r="D1431" s="1" t="s">
        <v>27</v>
      </c>
      <c r="E1431" s="1" t="s">
        <v>3321</v>
      </c>
      <c r="F1431" s="1" t="s">
        <v>3322</v>
      </c>
      <c r="G1431" s="1" t="s">
        <v>23</v>
      </c>
      <c r="I1431" s="16">
        <v>40577.439027777778</v>
      </c>
      <c r="J1431" s="1" t="s">
        <v>44</v>
      </c>
      <c r="K1431" s="1" t="s">
        <v>18</v>
      </c>
      <c r="L1431" s="1" t="s">
        <v>19</v>
      </c>
    </row>
    <row r="1432" spans="1:12" ht="13" x14ac:dyDescent="0.15">
      <c r="A1432" s="1">
        <v>492981</v>
      </c>
      <c r="B1432" s="1">
        <v>0</v>
      </c>
      <c r="C1432" s="1" t="s">
        <v>369</v>
      </c>
      <c r="D1432" s="1" t="s">
        <v>27</v>
      </c>
      <c r="E1432" s="1" t="s">
        <v>3323</v>
      </c>
      <c r="F1432" s="1" t="s">
        <v>3324</v>
      </c>
      <c r="G1432" s="1" t="s">
        <v>23</v>
      </c>
      <c r="I1432" s="16">
        <v>42152.236192129632</v>
      </c>
      <c r="J1432" s="1" t="s">
        <v>17</v>
      </c>
      <c r="K1432" s="1" t="s">
        <v>18</v>
      </c>
      <c r="L1432" s="1" t="s">
        <v>19</v>
      </c>
    </row>
    <row r="1433" spans="1:12" ht="13" x14ac:dyDescent="0.15">
      <c r="A1433" s="1">
        <v>507018</v>
      </c>
      <c r="B1433" s="1">
        <v>0</v>
      </c>
      <c r="C1433" s="1" t="s">
        <v>1545</v>
      </c>
      <c r="D1433" s="1" t="s">
        <v>27</v>
      </c>
      <c r="E1433" s="1" t="s">
        <v>3325</v>
      </c>
      <c r="F1433" s="1" t="s">
        <v>3326</v>
      </c>
      <c r="G1433" s="1" t="s">
        <v>23</v>
      </c>
      <c r="I1433" s="16">
        <v>42190.419699074075</v>
      </c>
      <c r="J1433" s="1" t="s">
        <v>17</v>
      </c>
      <c r="K1433" s="1" t="s">
        <v>18</v>
      </c>
      <c r="L1433" s="1" t="s">
        <v>19</v>
      </c>
    </row>
    <row r="1434" spans="1:12" ht="13" x14ac:dyDescent="0.15">
      <c r="A1434" s="1">
        <v>508540</v>
      </c>
      <c r="B1434" s="1">
        <v>0</v>
      </c>
      <c r="C1434" s="1" t="s">
        <v>101</v>
      </c>
      <c r="D1434" s="1" t="s">
        <v>27</v>
      </c>
      <c r="E1434" s="1" t="s">
        <v>3327</v>
      </c>
      <c r="F1434" s="1" t="s">
        <v>3328</v>
      </c>
      <c r="G1434" s="1" t="s">
        <v>23</v>
      </c>
      <c r="I1434" s="16">
        <v>42194.645543981482</v>
      </c>
      <c r="J1434" s="1" t="s">
        <v>40</v>
      </c>
      <c r="K1434" s="1" t="s">
        <v>18</v>
      </c>
      <c r="L1434" s="1" t="s">
        <v>19</v>
      </c>
    </row>
    <row r="1435" spans="1:12" ht="13" x14ac:dyDescent="0.15">
      <c r="A1435" s="1">
        <v>525330</v>
      </c>
      <c r="B1435" s="1">
        <v>0</v>
      </c>
      <c r="C1435" s="1" t="s">
        <v>522</v>
      </c>
      <c r="D1435" s="1" t="s">
        <v>27</v>
      </c>
      <c r="E1435" s="1" t="s">
        <v>3329</v>
      </c>
      <c r="F1435" s="1" t="s">
        <v>3330</v>
      </c>
      <c r="G1435" s="1" t="s">
        <v>23</v>
      </c>
      <c r="I1435" s="16">
        <v>42243.140081018515</v>
      </c>
      <c r="J1435" s="1" t="s">
        <v>24</v>
      </c>
      <c r="K1435" s="1" t="s">
        <v>18</v>
      </c>
      <c r="L1435" s="1" t="s">
        <v>19</v>
      </c>
    </row>
    <row r="1436" spans="1:12" ht="13" x14ac:dyDescent="0.15">
      <c r="A1436" s="1">
        <v>112775</v>
      </c>
      <c r="B1436" s="1">
        <v>0</v>
      </c>
      <c r="C1436" s="1" t="s">
        <v>26</v>
      </c>
      <c r="D1436" s="1" t="s">
        <v>27</v>
      </c>
      <c r="E1436" s="1" t="s">
        <v>3331</v>
      </c>
      <c r="F1436" s="1" t="s">
        <v>3332</v>
      </c>
      <c r="G1436" s="1" t="s">
        <v>23</v>
      </c>
      <c r="I1436" s="16">
        <v>40945.227766203701</v>
      </c>
      <c r="J1436" s="1" t="s">
        <v>40</v>
      </c>
      <c r="K1436" s="1" t="s">
        <v>18</v>
      </c>
      <c r="L1436" s="1" t="s">
        <v>19</v>
      </c>
    </row>
    <row r="1437" spans="1:12" ht="13" x14ac:dyDescent="0.15">
      <c r="A1437" s="1">
        <v>71855</v>
      </c>
      <c r="B1437" s="1">
        <v>0</v>
      </c>
      <c r="C1437" s="1" t="s">
        <v>26</v>
      </c>
      <c r="D1437" s="1" t="s">
        <v>27</v>
      </c>
      <c r="E1437" s="1" t="s">
        <v>3333</v>
      </c>
      <c r="F1437" s="1" t="s">
        <v>430</v>
      </c>
      <c r="G1437" s="1" t="s">
        <v>23</v>
      </c>
      <c r="I1437" s="16">
        <v>40577.951574074075</v>
      </c>
      <c r="J1437" s="1" t="s">
        <v>44</v>
      </c>
      <c r="K1437" s="1" t="s">
        <v>18</v>
      </c>
      <c r="L1437" s="1" t="s">
        <v>19</v>
      </c>
    </row>
    <row r="1438" spans="1:12" ht="13" x14ac:dyDescent="0.15">
      <c r="A1438" s="1">
        <v>472201</v>
      </c>
      <c r="B1438" s="1">
        <v>0</v>
      </c>
      <c r="C1438" s="1" t="s">
        <v>137</v>
      </c>
      <c r="D1438" s="1" t="s">
        <v>27</v>
      </c>
      <c r="E1438" s="1" t="s">
        <v>3334</v>
      </c>
      <c r="F1438" s="1" t="s">
        <v>3335</v>
      </c>
      <c r="I1438" s="16">
        <v>42094.804456018515</v>
      </c>
      <c r="J1438" s="1" t="s">
        <v>656</v>
      </c>
      <c r="K1438" s="1" t="s">
        <v>18</v>
      </c>
      <c r="L1438" s="1" t="s">
        <v>19</v>
      </c>
    </row>
    <row r="1439" spans="1:12" ht="13" x14ac:dyDescent="0.15">
      <c r="A1439" s="1">
        <v>410030</v>
      </c>
      <c r="B1439" s="1">
        <v>0</v>
      </c>
      <c r="C1439" s="1" t="s">
        <v>101</v>
      </c>
      <c r="D1439" s="1" t="s">
        <v>27</v>
      </c>
      <c r="E1439" s="1" t="s">
        <v>3336</v>
      </c>
      <c r="F1439" s="1" t="s">
        <v>3337</v>
      </c>
      <c r="G1439" s="1" t="s">
        <v>23</v>
      </c>
      <c r="I1439" s="16">
        <v>41884.89570601852</v>
      </c>
      <c r="J1439" s="1" t="s">
        <v>17</v>
      </c>
      <c r="K1439" s="1" t="s">
        <v>18</v>
      </c>
      <c r="L1439" s="1" t="s">
        <v>19</v>
      </c>
    </row>
    <row r="1440" spans="1:12" ht="13" x14ac:dyDescent="0.15">
      <c r="A1440" s="1">
        <v>84333</v>
      </c>
      <c r="B1440" s="1">
        <v>0</v>
      </c>
      <c r="C1440" s="1" t="s">
        <v>26</v>
      </c>
      <c r="D1440" s="1" t="s">
        <v>27</v>
      </c>
      <c r="E1440" s="1" t="s">
        <v>3338</v>
      </c>
      <c r="F1440" s="1" t="s">
        <v>3339</v>
      </c>
      <c r="G1440" s="1" t="s">
        <v>23</v>
      </c>
      <c r="I1440" s="16">
        <v>40691.751435185186</v>
      </c>
      <c r="J1440" s="1" t="s">
        <v>40</v>
      </c>
      <c r="K1440" s="1" t="s">
        <v>18</v>
      </c>
      <c r="L1440" s="1" t="s">
        <v>19</v>
      </c>
    </row>
    <row r="1441" spans="1:16" ht="13" x14ac:dyDescent="0.15">
      <c r="A1441" s="1">
        <v>445679</v>
      </c>
      <c r="B1441" s="1">
        <v>0</v>
      </c>
      <c r="C1441" s="1" t="s">
        <v>3340</v>
      </c>
      <c r="D1441" s="1" t="s">
        <v>27</v>
      </c>
      <c r="E1441" s="1" t="s">
        <v>3341</v>
      </c>
      <c r="F1441" s="1" t="s">
        <v>3342</v>
      </c>
      <c r="G1441" s="1" t="s">
        <v>23</v>
      </c>
      <c r="I1441" s="16">
        <v>42004.153287037036</v>
      </c>
      <c r="J1441" s="1" t="s">
        <v>3343</v>
      </c>
      <c r="K1441" s="1" t="s">
        <v>18</v>
      </c>
      <c r="L1441" s="1" t="s">
        <v>19</v>
      </c>
    </row>
    <row r="1442" spans="1:16" ht="13" x14ac:dyDescent="0.15">
      <c r="A1442" s="1">
        <v>116093</v>
      </c>
      <c r="B1442" s="1">
        <v>0</v>
      </c>
      <c r="C1442" s="1" t="s">
        <v>41</v>
      </c>
      <c r="D1442" s="1" t="s">
        <v>27</v>
      </c>
      <c r="E1442" s="1" t="s">
        <v>2733</v>
      </c>
      <c r="F1442" s="1" t="s">
        <v>3344</v>
      </c>
      <c r="G1442" s="1" t="s">
        <v>23</v>
      </c>
      <c r="I1442" s="16">
        <v>40967.750277777777</v>
      </c>
      <c r="J1442" s="1" t="s">
        <v>544</v>
      </c>
      <c r="K1442" s="1" t="s">
        <v>18</v>
      </c>
      <c r="L1442" s="1" t="s">
        <v>19</v>
      </c>
    </row>
    <row r="1443" spans="1:16" ht="13" x14ac:dyDescent="0.15">
      <c r="A1443" s="1">
        <v>138990</v>
      </c>
      <c r="B1443" s="1">
        <v>0</v>
      </c>
      <c r="C1443" s="1" t="s">
        <v>41</v>
      </c>
      <c r="D1443" s="1" t="s">
        <v>27</v>
      </c>
      <c r="E1443" s="1" t="s">
        <v>3345</v>
      </c>
      <c r="F1443" s="1" t="s">
        <v>3346</v>
      </c>
      <c r="G1443" s="1" t="s">
        <v>23</v>
      </c>
      <c r="I1443" s="16">
        <v>41115.757951388892</v>
      </c>
      <c r="J1443" s="1" t="s">
        <v>155</v>
      </c>
      <c r="K1443" s="1" t="s">
        <v>18</v>
      </c>
      <c r="L1443" s="1" t="s">
        <v>19</v>
      </c>
    </row>
    <row r="1444" spans="1:16" ht="13" x14ac:dyDescent="0.15">
      <c r="A1444" s="1">
        <v>295010</v>
      </c>
      <c r="B1444" s="1">
        <v>0</v>
      </c>
      <c r="C1444" s="1" t="s">
        <v>923</v>
      </c>
      <c r="D1444" s="1" t="s">
        <v>27</v>
      </c>
      <c r="E1444" s="1" t="s">
        <v>1893</v>
      </c>
      <c r="F1444" s="1" t="s">
        <v>3347</v>
      </c>
      <c r="G1444" s="1" t="s">
        <v>23</v>
      </c>
      <c r="I1444" s="16">
        <v>41536.787847222222</v>
      </c>
      <c r="J1444" s="1" t="s">
        <v>68</v>
      </c>
      <c r="K1444" s="1" t="s">
        <v>18</v>
      </c>
      <c r="L1444" s="1" t="s">
        <v>19</v>
      </c>
    </row>
    <row r="1445" spans="1:16" ht="13" x14ac:dyDescent="0.15">
      <c r="A1445" s="1">
        <v>144671</v>
      </c>
      <c r="B1445" s="1">
        <v>0</v>
      </c>
      <c r="C1445" s="1" t="s">
        <v>26</v>
      </c>
      <c r="D1445" s="1" t="s">
        <v>27</v>
      </c>
      <c r="E1445" s="1" t="s">
        <v>3348</v>
      </c>
      <c r="F1445" s="1" t="s">
        <v>3349</v>
      </c>
      <c r="G1445" s="1" t="s">
        <v>23</v>
      </c>
      <c r="I1445" s="16">
        <v>41145.732233796298</v>
      </c>
      <c r="J1445" s="1" t="s">
        <v>40</v>
      </c>
      <c r="K1445" s="1" t="s">
        <v>18</v>
      </c>
      <c r="L1445" s="1" t="s">
        <v>19</v>
      </c>
    </row>
    <row r="1446" spans="1:16" ht="13" x14ac:dyDescent="0.15">
      <c r="A1446" s="1">
        <v>10869</v>
      </c>
      <c r="B1446" s="1">
        <v>0</v>
      </c>
      <c r="C1446" s="1" t="s">
        <v>170</v>
      </c>
      <c r="D1446" s="1" t="s">
        <v>27</v>
      </c>
      <c r="E1446" s="1" t="s">
        <v>3350</v>
      </c>
      <c r="F1446" s="1" t="s">
        <v>3351</v>
      </c>
      <c r="G1446" s="1" t="s">
        <v>23</v>
      </c>
      <c r="I1446" s="16">
        <v>39926.053738425922</v>
      </c>
      <c r="J1446" s="1" t="s">
        <v>1241</v>
      </c>
      <c r="K1446" s="1" t="s">
        <v>18</v>
      </c>
      <c r="L1446" s="1" t="s">
        <v>19</v>
      </c>
    </row>
    <row r="1447" spans="1:16" ht="13" x14ac:dyDescent="0.15">
      <c r="A1447" s="1">
        <v>114068</v>
      </c>
      <c r="B1447" s="1">
        <v>0</v>
      </c>
      <c r="C1447" s="1" t="s">
        <v>26</v>
      </c>
      <c r="D1447" s="1" t="s">
        <v>27</v>
      </c>
      <c r="E1447" s="1" t="s">
        <v>3352</v>
      </c>
      <c r="F1447" s="1" t="s">
        <v>3353</v>
      </c>
      <c r="G1447" s="1" t="s">
        <v>23</v>
      </c>
      <c r="I1447" s="16">
        <v>40952.873495370368</v>
      </c>
      <c r="J1447" s="1" t="s">
        <v>44</v>
      </c>
      <c r="K1447" s="1" t="s">
        <v>18</v>
      </c>
      <c r="L1447" s="1" t="s">
        <v>19</v>
      </c>
    </row>
    <row r="1448" spans="1:16" ht="13" x14ac:dyDescent="0.15">
      <c r="A1448" s="1">
        <v>117400</v>
      </c>
      <c r="B1448" s="1">
        <v>0</v>
      </c>
      <c r="C1448" s="1" t="s">
        <v>26</v>
      </c>
      <c r="D1448" s="1" t="s">
        <v>27</v>
      </c>
      <c r="E1448" s="1" t="s">
        <v>3354</v>
      </c>
      <c r="F1448" s="1" t="s">
        <v>3355</v>
      </c>
      <c r="G1448" s="1" t="s">
        <v>23</v>
      </c>
      <c r="I1448" s="16">
        <v>40976.708437499998</v>
      </c>
      <c r="J1448" s="1" t="s">
        <v>40</v>
      </c>
      <c r="K1448" s="1" t="s">
        <v>18</v>
      </c>
      <c r="L1448" s="1" t="s">
        <v>19</v>
      </c>
    </row>
    <row r="1449" spans="1:16" ht="13" x14ac:dyDescent="0.15">
      <c r="A1449" s="1">
        <v>77940</v>
      </c>
      <c r="B1449" s="1">
        <v>0</v>
      </c>
      <c r="C1449" s="1" t="s">
        <v>26</v>
      </c>
      <c r="D1449" s="1" t="s">
        <v>27</v>
      </c>
      <c r="E1449" s="1" t="s">
        <v>3356</v>
      </c>
      <c r="F1449" s="1" t="s">
        <v>3357</v>
      </c>
      <c r="G1449" s="1" t="s">
        <v>23</v>
      </c>
      <c r="I1449" s="16">
        <v>40632.787627314814</v>
      </c>
      <c r="J1449" s="1" t="s">
        <v>40</v>
      </c>
      <c r="K1449" s="1" t="s">
        <v>18</v>
      </c>
      <c r="L1449" s="1" t="s">
        <v>19</v>
      </c>
    </row>
    <row r="1450" spans="1:16" ht="13" x14ac:dyDescent="0.15">
      <c r="A1450" s="1">
        <v>35079</v>
      </c>
      <c r="B1450" s="1">
        <v>0</v>
      </c>
      <c r="D1450" s="1" t="s">
        <v>27</v>
      </c>
      <c r="E1450" s="1" t="s">
        <v>3358</v>
      </c>
      <c r="F1450" s="1" t="s">
        <v>355</v>
      </c>
      <c r="I1450" s="16">
        <v>40218.09170138889</v>
      </c>
      <c r="J1450" s="1" t="s">
        <v>151</v>
      </c>
      <c r="K1450" s="1" t="s">
        <v>18</v>
      </c>
      <c r="L1450" s="1" t="s">
        <v>19</v>
      </c>
    </row>
    <row r="1451" spans="1:16" ht="13" x14ac:dyDescent="0.15">
      <c r="A1451" s="1">
        <v>454157</v>
      </c>
      <c r="B1451" s="1">
        <v>0</v>
      </c>
      <c r="C1451" s="1" t="s">
        <v>101</v>
      </c>
      <c r="D1451" s="1" t="s">
        <v>27</v>
      </c>
      <c r="E1451" s="1" t="s">
        <v>3359</v>
      </c>
      <c r="F1451" s="1" t="s">
        <v>3360</v>
      </c>
      <c r="G1451" s="1" t="s">
        <v>23</v>
      </c>
      <c r="I1451" s="16">
        <v>42036.291608796295</v>
      </c>
      <c r="J1451" s="1" t="s">
        <v>17</v>
      </c>
      <c r="K1451" s="1" t="s">
        <v>18</v>
      </c>
      <c r="L1451" s="1" t="s">
        <v>19</v>
      </c>
    </row>
    <row r="1452" spans="1:16" ht="13" x14ac:dyDescent="0.15">
      <c r="A1452" s="1">
        <v>469082</v>
      </c>
      <c r="B1452" s="1">
        <v>1</v>
      </c>
      <c r="D1452" s="1" t="s">
        <v>27</v>
      </c>
      <c r="E1452" s="1" t="s">
        <v>3361</v>
      </c>
      <c r="F1452" s="1" t="s">
        <v>3362</v>
      </c>
      <c r="G1452" s="1" t="s">
        <v>23</v>
      </c>
      <c r="I1452" s="16">
        <v>42083.359930555554</v>
      </c>
      <c r="J1452" s="1" t="s">
        <v>106</v>
      </c>
      <c r="K1452" s="1" t="s">
        <v>18</v>
      </c>
      <c r="L1452" s="1" t="s">
        <v>19</v>
      </c>
      <c r="M1452" s="1">
        <v>477340</v>
      </c>
      <c r="N1452" s="1" t="s">
        <v>3363</v>
      </c>
      <c r="O1452" s="16">
        <v>42109.616574074076</v>
      </c>
      <c r="P1452" s="1" t="s">
        <v>3364</v>
      </c>
    </row>
    <row r="1453" spans="1:16" ht="13" x14ac:dyDescent="0.15">
      <c r="A1453" s="1">
        <v>96150</v>
      </c>
      <c r="B1453" s="1">
        <v>0</v>
      </c>
      <c r="C1453" s="1" t="s">
        <v>26</v>
      </c>
      <c r="D1453" s="1" t="s">
        <v>27</v>
      </c>
      <c r="E1453" s="1" t="s">
        <v>3365</v>
      </c>
      <c r="F1453" s="1" t="s">
        <v>3366</v>
      </c>
      <c r="G1453" s="1" t="s">
        <v>23</v>
      </c>
      <c r="I1453" s="16">
        <v>40796.701111111113</v>
      </c>
      <c r="J1453" s="1" t="s">
        <v>40</v>
      </c>
      <c r="K1453" s="1" t="s">
        <v>18</v>
      </c>
      <c r="L1453" s="1" t="s">
        <v>19</v>
      </c>
    </row>
    <row r="1454" spans="1:16" ht="13" x14ac:dyDescent="0.15">
      <c r="A1454" s="1">
        <v>451684</v>
      </c>
      <c r="B1454" s="1">
        <v>0</v>
      </c>
      <c r="D1454" s="1" t="s">
        <v>27</v>
      </c>
      <c r="E1454" s="1" t="s">
        <v>3367</v>
      </c>
      <c r="F1454" s="1" t="s">
        <v>3368</v>
      </c>
      <c r="G1454" s="1" t="s">
        <v>23</v>
      </c>
      <c r="I1454" s="16">
        <v>42028.320381944446</v>
      </c>
      <c r="J1454" s="1" t="s">
        <v>17</v>
      </c>
      <c r="K1454" s="1" t="s">
        <v>18</v>
      </c>
      <c r="L1454" s="1" t="s">
        <v>19</v>
      </c>
    </row>
    <row r="1455" spans="1:16" ht="13" x14ac:dyDescent="0.15">
      <c r="A1455" s="1">
        <v>451685</v>
      </c>
      <c r="B1455" s="1">
        <v>0</v>
      </c>
      <c r="C1455" s="1" t="s">
        <v>3369</v>
      </c>
      <c r="D1455" s="1" t="s">
        <v>27</v>
      </c>
      <c r="E1455" s="1" t="s">
        <v>3370</v>
      </c>
      <c r="F1455" s="1" t="s">
        <v>250</v>
      </c>
      <c r="G1455" s="1" t="s">
        <v>23</v>
      </c>
      <c r="I1455" s="16">
        <v>42028.324432870373</v>
      </c>
      <c r="J1455" s="1" t="s">
        <v>17</v>
      </c>
      <c r="K1455" s="1" t="s">
        <v>18</v>
      </c>
      <c r="L1455" s="1" t="s">
        <v>19</v>
      </c>
    </row>
    <row r="1456" spans="1:16" ht="13" x14ac:dyDescent="0.15">
      <c r="A1456" s="1">
        <v>146882</v>
      </c>
      <c r="B1456" s="1">
        <v>0</v>
      </c>
      <c r="C1456" s="1" t="s">
        <v>26</v>
      </c>
      <c r="D1456" s="1" t="s">
        <v>27</v>
      </c>
      <c r="E1456" s="1" t="s">
        <v>3371</v>
      </c>
      <c r="F1456" s="1" t="s">
        <v>707</v>
      </c>
      <c r="G1456" s="1" t="s">
        <v>23</v>
      </c>
      <c r="I1456" s="16">
        <v>41158.838020833333</v>
      </c>
      <c r="J1456" s="1" t="s">
        <v>40</v>
      </c>
      <c r="K1456" s="1" t="s">
        <v>18</v>
      </c>
      <c r="L1456" s="1" t="s">
        <v>19</v>
      </c>
    </row>
    <row r="1457" spans="1:16" ht="13" x14ac:dyDescent="0.15">
      <c r="A1457" s="1">
        <v>142746</v>
      </c>
      <c r="B1457" s="1">
        <v>0</v>
      </c>
      <c r="C1457" s="1" t="s">
        <v>514</v>
      </c>
      <c r="D1457" s="1" t="s">
        <v>27</v>
      </c>
      <c r="E1457" s="1" t="s">
        <v>3372</v>
      </c>
      <c r="F1457" s="1" t="s">
        <v>3373</v>
      </c>
      <c r="G1457" s="1" t="s">
        <v>23</v>
      </c>
      <c r="I1457" s="16">
        <v>41135.926747685182</v>
      </c>
      <c r="J1457" s="1" t="s">
        <v>3374</v>
      </c>
      <c r="K1457" s="1" t="s">
        <v>18</v>
      </c>
      <c r="L1457" s="1" t="s">
        <v>19</v>
      </c>
    </row>
    <row r="1458" spans="1:16" ht="13" x14ac:dyDescent="0.15">
      <c r="A1458" s="1">
        <v>59554</v>
      </c>
      <c r="B1458" s="1">
        <v>0</v>
      </c>
      <c r="C1458" s="1" t="s">
        <v>26</v>
      </c>
      <c r="D1458" s="1" t="s">
        <v>27</v>
      </c>
      <c r="E1458" s="1" t="s">
        <v>3375</v>
      </c>
      <c r="F1458" s="1" t="s">
        <v>3376</v>
      </c>
      <c r="G1458" s="1" t="s">
        <v>23</v>
      </c>
      <c r="I1458" s="16">
        <v>40469.394155092596</v>
      </c>
      <c r="J1458" s="1" t="s">
        <v>1312</v>
      </c>
      <c r="K1458" s="1" t="s">
        <v>18</v>
      </c>
      <c r="L1458" s="1" t="s">
        <v>19</v>
      </c>
    </row>
    <row r="1459" spans="1:16" ht="13" x14ac:dyDescent="0.15">
      <c r="A1459" s="1">
        <v>180763</v>
      </c>
      <c r="B1459" s="1">
        <v>0</v>
      </c>
      <c r="C1459" s="1" t="s">
        <v>41</v>
      </c>
      <c r="D1459" s="1" t="s">
        <v>27</v>
      </c>
      <c r="E1459" s="1" t="s">
        <v>3377</v>
      </c>
      <c r="F1459" s="1" t="s">
        <v>3378</v>
      </c>
      <c r="G1459" s="1" t="s">
        <v>23</v>
      </c>
      <c r="I1459" s="16">
        <v>41340.04277777778</v>
      </c>
      <c r="J1459" s="1" t="s">
        <v>398</v>
      </c>
      <c r="K1459" s="1" t="s">
        <v>18</v>
      </c>
      <c r="L1459" s="1" t="s">
        <v>19</v>
      </c>
    </row>
    <row r="1460" spans="1:16" ht="13" x14ac:dyDescent="0.15">
      <c r="A1460" s="1">
        <v>299993</v>
      </c>
      <c r="B1460" s="1">
        <v>1</v>
      </c>
      <c r="C1460" s="1" t="s">
        <v>31</v>
      </c>
      <c r="D1460" s="1" t="s">
        <v>27</v>
      </c>
      <c r="E1460" s="1" t="s">
        <v>45</v>
      </c>
      <c r="F1460" s="1" t="s">
        <v>33</v>
      </c>
      <c r="G1460" s="1" t="s">
        <v>23</v>
      </c>
      <c r="I1460" s="16">
        <v>41544.834247685183</v>
      </c>
      <c r="J1460" s="1" t="s">
        <v>17</v>
      </c>
      <c r="K1460" s="1" t="s">
        <v>18</v>
      </c>
      <c r="L1460" s="1" t="s">
        <v>19</v>
      </c>
      <c r="M1460" s="1">
        <v>307032</v>
      </c>
      <c r="N1460" s="1" t="s">
        <v>3379</v>
      </c>
      <c r="O1460" s="16">
        <v>41561.594201388885</v>
      </c>
      <c r="P1460" s="1" t="s">
        <v>3380</v>
      </c>
    </row>
    <row r="1461" spans="1:16" ht="13" x14ac:dyDescent="0.15">
      <c r="A1461" s="1">
        <v>281256</v>
      </c>
      <c r="B1461" s="1">
        <v>0</v>
      </c>
      <c r="C1461" s="1" t="s">
        <v>927</v>
      </c>
      <c r="D1461" s="1" t="s">
        <v>27</v>
      </c>
      <c r="E1461" s="1" t="s">
        <v>3381</v>
      </c>
      <c r="F1461" s="1" t="s">
        <v>3382</v>
      </c>
      <c r="G1461" s="1" t="s">
        <v>23</v>
      </c>
      <c r="I1461" s="16">
        <v>41515.472986111112</v>
      </c>
      <c r="J1461" s="1" t="s">
        <v>485</v>
      </c>
      <c r="K1461" s="1" t="s">
        <v>18</v>
      </c>
      <c r="L1461" s="1" t="s">
        <v>19</v>
      </c>
    </row>
    <row r="1462" spans="1:16" ht="13" x14ac:dyDescent="0.15">
      <c r="A1462" s="1">
        <v>114960</v>
      </c>
      <c r="B1462" s="1">
        <v>0</v>
      </c>
      <c r="C1462" s="1" t="s">
        <v>41</v>
      </c>
      <c r="D1462" s="1" t="s">
        <v>27</v>
      </c>
      <c r="E1462" s="1" t="s">
        <v>1871</v>
      </c>
      <c r="F1462" s="1" t="s">
        <v>3383</v>
      </c>
      <c r="G1462" s="1" t="s">
        <v>23</v>
      </c>
      <c r="I1462" s="16">
        <v>40959.011620370373</v>
      </c>
      <c r="J1462" s="1" t="s">
        <v>40</v>
      </c>
      <c r="K1462" s="1" t="s">
        <v>18</v>
      </c>
      <c r="L1462" s="1" t="s">
        <v>19</v>
      </c>
    </row>
    <row r="1463" spans="1:16" ht="13" x14ac:dyDescent="0.15">
      <c r="A1463" s="1">
        <v>393833</v>
      </c>
      <c r="B1463" s="1">
        <v>0</v>
      </c>
      <c r="C1463" s="1" t="s">
        <v>3384</v>
      </c>
      <c r="D1463" s="1" t="s">
        <v>27</v>
      </c>
      <c r="E1463" s="1" t="s">
        <v>3385</v>
      </c>
      <c r="F1463" s="1" t="s">
        <v>3386</v>
      </c>
      <c r="G1463" s="1" t="s">
        <v>23</v>
      </c>
      <c r="I1463" s="16">
        <v>41835.128055555557</v>
      </c>
      <c r="J1463" s="1" t="s">
        <v>17</v>
      </c>
      <c r="K1463" s="1" t="s">
        <v>18</v>
      </c>
      <c r="L1463" s="1" t="s">
        <v>19</v>
      </c>
    </row>
    <row r="1464" spans="1:16" ht="13" x14ac:dyDescent="0.15">
      <c r="A1464" s="1">
        <v>484432</v>
      </c>
      <c r="B1464" s="1">
        <v>0</v>
      </c>
      <c r="D1464" s="1" t="s">
        <v>27</v>
      </c>
      <c r="E1464" s="1" t="s">
        <v>3387</v>
      </c>
      <c r="F1464" s="1" t="s">
        <v>3388</v>
      </c>
      <c r="G1464" s="1" t="s">
        <v>23</v>
      </c>
      <c r="I1464" s="16">
        <v>42128.993414351855</v>
      </c>
      <c r="J1464" s="1" t="s">
        <v>454</v>
      </c>
      <c r="K1464" s="1" t="s">
        <v>18</v>
      </c>
      <c r="L1464" s="1" t="s">
        <v>19</v>
      </c>
    </row>
    <row r="1465" spans="1:16" ht="13" x14ac:dyDescent="0.15">
      <c r="A1465" s="1">
        <v>179287</v>
      </c>
      <c r="B1465" s="1">
        <v>0</v>
      </c>
      <c r="C1465" s="1" t="s">
        <v>26</v>
      </c>
      <c r="D1465" s="1" t="s">
        <v>27</v>
      </c>
      <c r="E1465" s="1" t="s">
        <v>3389</v>
      </c>
      <c r="F1465" s="1" t="s">
        <v>3390</v>
      </c>
      <c r="G1465" s="1" t="s">
        <v>23</v>
      </c>
      <c r="I1465" s="16">
        <v>41334.235219907408</v>
      </c>
      <c r="J1465" s="1" t="s">
        <v>155</v>
      </c>
      <c r="K1465" s="1" t="s">
        <v>18</v>
      </c>
      <c r="L1465" s="1" t="s">
        <v>19</v>
      </c>
    </row>
    <row r="1466" spans="1:16" ht="13" x14ac:dyDescent="0.15">
      <c r="A1466" s="1">
        <v>136116</v>
      </c>
      <c r="B1466" s="1">
        <v>0</v>
      </c>
      <c r="C1466" s="1" t="s">
        <v>26</v>
      </c>
      <c r="D1466" s="1" t="s">
        <v>27</v>
      </c>
      <c r="E1466" s="1" t="s">
        <v>3391</v>
      </c>
      <c r="F1466" s="1" t="s">
        <v>3392</v>
      </c>
      <c r="G1466" s="1" t="s">
        <v>23</v>
      </c>
      <c r="I1466" s="16">
        <v>41095.819490740738</v>
      </c>
      <c r="J1466" s="1" t="s">
        <v>40</v>
      </c>
      <c r="K1466" s="1" t="s">
        <v>18</v>
      </c>
      <c r="L1466" s="1" t="s">
        <v>19</v>
      </c>
    </row>
    <row r="1467" spans="1:16" ht="13" x14ac:dyDescent="0.15">
      <c r="A1467" s="1">
        <v>155323</v>
      </c>
      <c r="B1467" s="1">
        <v>0</v>
      </c>
      <c r="C1467" s="1" t="s">
        <v>414</v>
      </c>
      <c r="D1467" s="1" t="s">
        <v>27</v>
      </c>
      <c r="E1467" s="1" t="s">
        <v>3393</v>
      </c>
      <c r="F1467" s="1" t="s">
        <v>3394</v>
      </c>
      <c r="G1467" s="1" t="s">
        <v>23</v>
      </c>
      <c r="I1467" s="16">
        <v>41193.780543981484</v>
      </c>
      <c r="J1467" s="1" t="s">
        <v>3395</v>
      </c>
      <c r="K1467" s="1" t="s">
        <v>18</v>
      </c>
      <c r="L1467" s="1" t="s">
        <v>19</v>
      </c>
    </row>
    <row r="1468" spans="1:16" ht="13" x14ac:dyDescent="0.15">
      <c r="A1468" s="1">
        <v>147700</v>
      </c>
      <c r="B1468" s="1">
        <v>0</v>
      </c>
      <c r="C1468" s="1" t="s">
        <v>26</v>
      </c>
      <c r="D1468" s="1" t="s">
        <v>27</v>
      </c>
      <c r="E1468" s="1" t="s">
        <v>3396</v>
      </c>
      <c r="F1468" s="1" t="s">
        <v>634</v>
      </c>
      <c r="G1468" s="1" t="s">
        <v>23</v>
      </c>
      <c r="I1468" s="16">
        <v>41163.005706018521</v>
      </c>
      <c r="J1468" s="1" t="s">
        <v>40</v>
      </c>
      <c r="K1468" s="1" t="s">
        <v>18</v>
      </c>
      <c r="L1468" s="1" t="s">
        <v>19</v>
      </c>
    </row>
    <row r="1469" spans="1:16" ht="13" x14ac:dyDescent="0.15">
      <c r="A1469" s="1">
        <v>301941</v>
      </c>
      <c r="B1469" s="1">
        <v>0</v>
      </c>
      <c r="C1469" s="1" t="s">
        <v>31</v>
      </c>
      <c r="D1469" s="1" t="s">
        <v>27</v>
      </c>
      <c r="E1469" s="1" t="s">
        <v>3397</v>
      </c>
      <c r="F1469" s="1" t="s">
        <v>3398</v>
      </c>
      <c r="G1469" s="1" t="s">
        <v>23</v>
      </c>
      <c r="I1469" s="16">
        <v>41547.805659722224</v>
      </c>
      <c r="J1469" s="1" t="s">
        <v>17</v>
      </c>
      <c r="K1469" s="1" t="s">
        <v>18</v>
      </c>
      <c r="L1469" s="1" t="s">
        <v>19</v>
      </c>
    </row>
    <row r="1470" spans="1:16" ht="13" x14ac:dyDescent="0.15">
      <c r="A1470" s="1">
        <v>130927</v>
      </c>
      <c r="B1470" s="1">
        <v>0</v>
      </c>
      <c r="C1470" s="1" t="s">
        <v>26</v>
      </c>
      <c r="D1470" s="1" t="s">
        <v>27</v>
      </c>
      <c r="E1470" s="1" t="s">
        <v>3399</v>
      </c>
      <c r="F1470" s="1" t="s">
        <v>3400</v>
      </c>
      <c r="G1470" s="1" t="s">
        <v>23</v>
      </c>
      <c r="I1470" s="16">
        <v>41063.666250000002</v>
      </c>
      <c r="J1470" s="1" t="s">
        <v>155</v>
      </c>
      <c r="K1470" s="1" t="s">
        <v>18</v>
      </c>
      <c r="L1470" s="1" t="s">
        <v>19</v>
      </c>
    </row>
    <row r="1471" spans="1:16" ht="13" x14ac:dyDescent="0.15">
      <c r="A1471" s="1">
        <v>404300</v>
      </c>
      <c r="B1471" s="1">
        <v>0</v>
      </c>
      <c r="C1471" s="1" t="s">
        <v>145</v>
      </c>
      <c r="D1471" s="1" t="s">
        <v>27</v>
      </c>
      <c r="E1471" s="1" t="s">
        <v>3401</v>
      </c>
      <c r="F1471" s="1" t="s">
        <v>3402</v>
      </c>
      <c r="G1471" s="1" t="s">
        <v>23</v>
      </c>
      <c r="I1471" s="16">
        <v>41866.981898148151</v>
      </c>
      <c r="J1471" s="1" t="s">
        <v>3403</v>
      </c>
      <c r="K1471" s="1" t="s">
        <v>18</v>
      </c>
      <c r="L1471" s="1" t="s">
        <v>19</v>
      </c>
    </row>
    <row r="1472" spans="1:16" ht="13" x14ac:dyDescent="0.15">
      <c r="A1472" s="1">
        <v>457493</v>
      </c>
      <c r="B1472" s="1">
        <v>0</v>
      </c>
      <c r="C1472" s="1" t="s">
        <v>12</v>
      </c>
      <c r="D1472" s="1" t="s">
        <v>27</v>
      </c>
      <c r="E1472" s="1" t="s">
        <v>3404</v>
      </c>
      <c r="F1472" s="1" t="s">
        <v>3405</v>
      </c>
      <c r="G1472" s="1" t="s">
        <v>23</v>
      </c>
      <c r="I1472" s="16">
        <v>42046.033368055556</v>
      </c>
      <c r="J1472" s="1" t="s">
        <v>569</v>
      </c>
      <c r="K1472" s="1" t="s">
        <v>18</v>
      </c>
      <c r="L1472" s="1" t="s">
        <v>19</v>
      </c>
    </row>
    <row r="1473" spans="1:12" ht="13" x14ac:dyDescent="0.15">
      <c r="A1473" s="1">
        <v>172243</v>
      </c>
      <c r="B1473" s="1">
        <v>0</v>
      </c>
      <c r="C1473" s="1" t="s">
        <v>1034</v>
      </c>
      <c r="D1473" s="1" t="s">
        <v>27</v>
      </c>
      <c r="E1473" s="1" t="s">
        <v>3406</v>
      </c>
      <c r="F1473" s="1" t="s">
        <v>3407</v>
      </c>
      <c r="I1473" s="16">
        <v>41299.625856481478</v>
      </c>
      <c r="J1473" s="1" t="s">
        <v>408</v>
      </c>
      <c r="K1473" s="1" t="s">
        <v>18</v>
      </c>
      <c r="L1473" s="1" t="s">
        <v>19</v>
      </c>
    </row>
    <row r="1474" spans="1:12" ht="13" x14ac:dyDescent="0.15">
      <c r="A1474" s="1">
        <v>694382</v>
      </c>
      <c r="B1474" s="1">
        <v>0</v>
      </c>
      <c r="C1474" s="1" t="s">
        <v>3408</v>
      </c>
      <c r="D1474" s="1" t="s">
        <v>27</v>
      </c>
      <c r="E1474" s="1" t="s">
        <v>3409</v>
      </c>
      <c r="F1474" s="1" t="s">
        <v>3410</v>
      </c>
      <c r="G1474" s="1" t="s">
        <v>159</v>
      </c>
      <c r="I1474" s="16">
        <v>42787.179571759261</v>
      </c>
      <c r="J1474" s="1" t="s">
        <v>98</v>
      </c>
      <c r="K1474" s="1" t="s">
        <v>18</v>
      </c>
      <c r="L1474" s="1" t="s">
        <v>19</v>
      </c>
    </row>
    <row r="1475" spans="1:12" ht="13" x14ac:dyDescent="0.15">
      <c r="A1475" s="1">
        <v>96444</v>
      </c>
      <c r="B1475" s="1">
        <v>0</v>
      </c>
      <c r="C1475" s="1" t="s">
        <v>26</v>
      </c>
      <c r="D1475" s="1" t="s">
        <v>27</v>
      </c>
      <c r="E1475" s="1" t="s">
        <v>3411</v>
      </c>
      <c r="F1475" s="1" t="s">
        <v>359</v>
      </c>
      <c r="G1475" s="1" t="s">
        <v>23</v>
      </c>
      <c r="I1475" s="16">
        <v>40799.698055555556</v>
      </c>
      <c r="J1475" s="1" t="s">
        <v>40</v>
      </c>
      <c r="K1475" s="1" t="s">
        <v>18</v>
      </c>
      <c r="L1475" s="1" t="s">
        <v>19</v>
      </c>
    </row>
    <row r="1476" spans="1:12" ht="13" x14ac:dyDescent="0.15">
      <c r="A1476" s="1">
        <v>639702</v>
      </c>
      <c r="B1476" s="1">
        <v>0</v>
      </c>
      <c r="C1476" s="1" t="s">
        <v>3412</v>
      </c>
      <c r="D1476" s="1" t="s">
        <v>27</v>
      </c>
      <c r="E1476" s="1" t="s">
        <v>3413</v>
      </c>
      <c r="F1476" s="1" t="s">
        <v>3414</v>
      </c>
      <c r="G1476" s="1" t="s">
        <v>353</v>
      </c>
      <c r="I1476" s="16">
        <v>42604.032222222224</v>
      </c>
      <c r="J1476" s="1" t="s">
        <v>3415</v>
      </c>
      <c r="K1476" s="1" t="s">
        <v>18</v>
      </c>
      <c r="L1476" s="1" t="s">
        <v>19</v>
      </c>
    </row>
    <row r="1477" spans="1:12" ht="13" x14ac:dyDescent="0.15">
      <c r="A1477" s="1">
        <v>424981</v>
      </c>
      <c r="B1477" s="1">
        <v>0</v>
      </c>
      <c r="C1477" s="1" t="s">
        <v>137</v>
      </c>
      <c r="D1477" s="1" t="s">
        <v>27</v>
      </c>
      <c r="E1477" s="1" t="s">
        <v>3416</v>
      </c>
      <c r="F1477" s="1" t="s">
        <v>3417</v>
      </c>
      <c r="I1477" s="16">
        <v>41932.072615740741</v>
      </c>
      <c r="J1477" s="1" t="s">
        <v>3418</v>
      </c>
      <c r="K1477" s="1" t="s">
        <v>18</v>
      </c>
      <c r="L1477" s="1" t="s">
        <v>19</v>
      </c>
    </row>
    <row r="1478" spans="1:12" ht="13" x14ac:dyDescent="0.15">
      <c r="A1478" s="1">
        <v>599081</v>
      </c>
      <c r="B1478" s="1">
        <v>0</v>
      </c>
      <c r="C1478" s="1" t="s">
        <v>470</v>
      </c>
      <c r="D1478" s="1" t="s">
        <v>27</v>
      </c>
      <c r="E1478" s="1" t="s">
        <v>3419</v>
      </c>
      <c r="F1478" s="1" t="s">
        <v>3420</v>
      </c>
      <c r="G1478" s="1" t="s">
        <v>23</v>
      </c>
      <c r="I1478" s="16">
        <v>42459.483773148146</v>
      </c>
      <c r="J1478" s="1" t="s">
        <v>1026</v>
      </c>
      <c r="K1478" s="1" t="s">
        <v>18</v>
      </c>
      <c r="L1478" s="1" t="s">
        <v>19</v>
      </c>
    </row>
    <row r="1479" spans="1:12" ht="13" x14ac:dyDescent="0.15">
      <c r="A1479" s="1">
        <v>139530</v>
      </c>
      <c r="B1479" s="1">
        <v>0</v>
      </c>
      <c r="C1479" s="1" t="s">
        <v>26</v>
      </c>
      <c r="D1479" s="1" t="s">
        <v>27</v>
      </c>
      <c r="E1479" s="1" t="s">
        <v>633</v>
      </c>
      <c r="F1479" s="1" t="s">
        <v>162</v>
      </c>
      <c r="G1479" s="1" t="s">
        <v>23</v>
      </c>
      <c r="I1479" s="16">
        <v>41119.561608796299</v>
      </c>
      <c r="J1479" s="1" t="s">
        <v>40</v>
      </c>
      <c r="K1479" s="1" t="s">
        <v>18</v>
      </c>
      <c r="L1479" s="1" t="s">
        <v>19</v>
      </c>
    </row>
    <row r="1480" spans="1:12" ht="13" x14ac:dyDescent="0.15">
      <c r="A1480" s="1">
        <v>557799</v>
      </c>
      <c r="B1480" s="1">
        <v>0</v>
      </c>
      <c r="C1480" s="1" t="s">
        <v>3421</v>
      </c>
      <c r="D1480" s="1" t="s">
        <v>27</v>
      </c>
      <c r="E1480" s="1" t="s">
        <v>3422</v>
      </c>
      <c r="F1480" s="1" t="s">
        <v>3423</v>
      </c>
      <c r="G1480" s="1" t="s">
        <v>16</v>
      </c>
      <c r="I1480" s="16">
        <v>42326.685972222222</v>
      </c>
      <c r="J1480" s="1" t="s">
        <v>17</v>
      </c>
      <c r="K1480" s="1" t="s">
        <v>18</v>
      </c>
      <c r="L1480" s="1" t="s">
        <v>19</v>
      </c>
    </row>
    <row r="1481" spans="1:12" ht="13" x14ac:dyDescent="0.15">
      <c r="A1481" s="1">
        <v>366683</v>
      </c>
      <c r="B1481" s="1">
        <v>0</v>
      </c>
      <c r="C1481" s="1" t="s">
        <v>12</v>
      </c>
      <c r="D1481" s="1" t="s">
        <v>27</v>
      </c>
      <c r="E1481" s="1" t="s">
        <v>2672</v>
      </c>
      <c r="F1481" s="1" t="s">
        <v>89</v>
      </c>
      <c r="G1481" s="1" t="s">
        <v>23</v>
      </c>
      <c r="I1481" s="16">
        <v>41753.664641203701</v>
      </c>
      <c r="J1481" s="1" t="s">
        <v>17</v>
      </c>
      <c r="K1481" s="1" t="s">
        <v>18</v>
      </c>
      <c r="L1481" s="1" t="s">
        <v>19</v>
      </c>
    </row>
    <row r="1482" spans="1:12" ht="13" x14ac:dyDescent="0.15">
      <c r="A1482" s="1">
        <v>494640</v>
      </c>
      <c r="B1482" s="1">
        <v>0</v>
      </c>
      <c r="C1482" s="1" t="s">
        <v>689</v>
      </c>
      <c r="D1482" s="1" t="s">
        <v>27</v>
      </c>
      <c r="E1482" s="1" t="s">
        <v>3424</v>
      </c>
      <c r="F1482" s="1" t="s">
        <v>3425</v>
      </c>
      <c r="G1482" s="1" t="s">
        <v>23</v>
      </c>
      <c r="I1482" s="16">
        <v>42155.727442129632</v>
      </c>
      <c r="J1482" s="1" t="s">
        <v>247</v>
      </c>
      <c r="K1482" s="1" t="s">
        <v>18</v>
      </c>
      <c r="L1482" s="1" t="s">
        <v>19</v>
      </c>
    </row>
    <row r="1483" spans="1:12" ht="13" x14ac:dyDescent="0.15">
      <c r="A1483" s="1">
        <v>371380</v>
      </c>
      <c r="B1483" s="1">
        <v>0</v>
      </c>
      <c r="C1483" s="1" t="s">
        <v>12</v>
      </c>
      <c r="D1483" s="1" t="s">
        <v>27</v>
      </c>
      <c r="E1483" s="1" t="s">
        <v>3426</v>
      </c>
      <c r="F1483" s="1" t="s">
        <v>3427</v>
      </c>
      <c r="G1483" s="1" t="s">
        <v>23</v>
      </c>
      <c r="I1483" s="16">
        <v>41767.63484953704</v>
      </c>
      <c r="J1483" s="1" t="s">
        <v>17</v>
      </c>
      <c r="K1483" s="1" t="s">
        <v>18</v>
      </c>
      <c r="L1483" s="1" t="s">
        <v>19</v>
      </c>
    </row>
    <row r="1484" spans="1:12" ht="13" x14ac:dyDescent="0.15">
      <c r="A1484" s="1">
        <v>260156</v>
      </c>
      <c r="B1484" s="1">
        <v>0</v>
      </c>
      <c r="D1484" s="1" t="s">
        <v>27</v>
      </c>
      <c r="E1484" s="1" t="s">
        <v>3428</v>
      </c>
      <c r="F1484" s="1" t="s">
        <v>3429</v>
      </c>
      <c r="G1484" s="1" t="s">
        <v>23</v>
      </c>
      <c r="I1484" s="16">
        <v>41469.579976851855</v>
      </c>
      <c r="J1484" s="1" t="s">
        <v>68</v>
      </c>
      <c r="K1484" s="1" t="s">
        <v>18</v>
      </c>
      <c r="L1484" s="1" t="s">
        <v>19</v>
      </c>
    </row>
    <row r="1485" spans="1:12" ht="13" x14ac:dyDescent="0.15">
      <c r="A1485" s="1">
        <v>152691</v>
      </c>
      <c r="B1485" s="1">
        <v>0</v>
      </c>
      <c r="C1485" s="1" t="s">
        <v>373</v>
      </c>
      <c r="D1485" s="1" t="s">
        <v>27</v>
      </c>
      <c r="E1485" s="1" t="s">
        <v>3430</v>
      </c>
      <c r="F1485" s="1" t="s">
        <v>3431</v>
      </c>
      <c r="G1485" s="1" t="s">
        <v>23</v>
      </c>
      <c r="I1485" s="16">
        <v>41179.638483796298</v>
      </c>
      <c r="J1485" s="1" t="s">
        <v>261</v>
      </c>
      <c r="K1485" s="1" t="s">
        <v>18</v>
      </c>
      <c r="L1485" s="1" t="s">
        <v>19</v>
      </c>
    </row>
    <row r="1486" spans="1:12" ht="13" x14ac:dyDescent="0.15">
      <c r="A1486" s="1">
        <v>467348</v>
      </c>
      <c r="B1486" s="1">
        <v>0</v>
      </c>
      <c r="D1486" s="1" t="s">
        <v>27</v>
      </c>
      <c r="E1486" s="1" t="s">
        <v>3432</v>
      </c>
      <c r="F1486" s="1" t="s">
        <v>3433</v>
      </c>
      <c r="G1486" s="1" t="s">
        <v>23</v>
      </c>
      <c r="I1486" s="16">
        <v>42077.897789351853</v>
      </c>
      <c r="J1486" s="1" t="s">
        <v>17</v>
      </c>
      <c r="K1486" s="1" t="s">
        <v>18</v>
      </c>
      <c r="L1486" s="1" t="s">
        <v>19</v>
      </c>
    </row>
    <row r="1487" spans="1:12" ht="13" x14ac:dyDescent="0.15">
      <c r="A1487" s="1">
        <v>158693</v>
      </c>
      <c r="B1487" s="1">
        <v>0</v>
      </c>
      <c r="C1487" s="1" t="s">
        <v>26</v>
      </c>
      <c r="D1487" s="1" t="s">
        <v>27</v>
      </c>
      <c r="E1487" s="1" t="s">
        <v>512</v>
      </c>
      <c r="F1487" s="1" t="s">
        <v>3434</v>
      </c>
      <c r="G1487" s="1" t="s">
        <v>23</v>
      </c>
      <c r="I1487" s="16">
        <v>41213.060185185182</v>
      </c>
      <c r="J1487" s="1" t="s">
        <v>40</v>
      </c>
      <c r="K1487" s="1" t="s">
        <v>18</v>
      </c>
      <c r="L1487" s="1" t="s">
        <v>19</v>
      </c>
    </row>
    <row r="1488" spans="1:12" ht="13" x14ac:dyDescent="0.15">
      <c r="A1488" s="1">
        <v>72028</v>
      </c>
      <c r="B1488" s="1">
        <v>0</v>
      </c>
      <c r="C1488" s="1" t="s">
        <v>26</v>
      </c>
      <c r="D1488" s="1" t="s">
        <v>27</v>
      </c>
      <c r="E1488" s="1" t="s">
        <v>3435</v>
      </c>
      <c r="F1488" s="1" t="s">
        <v>3436</v>
      </c>
      <c r="G1488" s="1" t="s">
        <v>23</v>
      </c>
      <c r="I1488" s="16">
        <v>40579.145810185182</v>
      </c>
      <c r="J1488" s="1" t="s">
        <v>92</v>
      </c>
      <c r="K1488" s="1" t="s">
        <v>18</v>
      </c>
      <c r="L1488" s="1" t="s">
        <v>19</v>
      </c>
    </row>
    <row r="1489" spans="1:16" ht="13" x14ac:dyDescent="0.15">
      <c r="A1489" s="1">
        <v>497357</v>
      </c>
      <c r="B1489" s="1">
        <v>1</v>
      </c>
      <c r="C1489" s="1" t="s">
        <v>12</v>
      </c>
      <c r="D1489" s="1" t="s">
        <v>27</v>
      </c>
      <c r="E1489" s="1" t="s">
        <v>3437</v>
      </c>
      <c r="F1489" s="1" t="s">
        <v>3438</v>
      </c>
      <c r="G1489" s="1" t="s">
        <v>23</v>
      </c>
      <c r="I1489" s="16">
        <v>42160.915046296293</v>
      </c>
      <c r="J1489" s="1" t="s">
        <v>68</v>
      </c>
      <c r="K1489" s="1" t="s">
        <v>18</v>
      </c>
      <c r="L1489" s="1" t="s">
        <v>19</v>
      </c>
      <c r="M1489" s="1">
        <v>541325</v>
      </c>
      <c r="N1489" s="1" t="s">
        <v>3439</v>
      </c>
      <c r="O1489" s="16">
        <v>42285.871828703705</v>
      </c>
      <c r="P1489" s="1" t="s">
        <v>17</v>
      </c>
    </row>
    <row r="1490" spans="1:16" ht="13" x14ac:dyDescent="0.15">
      <c r="A1490" s="1">
        <v>497355</v>
      </c>
      <c r="B1490" s="1">
        <v>1</v>
      </c>
      <c r="C1490" s="1" t="s">
        <v>12</v>
      </c>
      <c r="D1490" s="1" t="s">
        <v>27</v>
      </c>
      <c r="E1490" s="1" t="s">
        <v>3404</v>
      </c>
      <c r="F1490" s="1" t="s">
        <v>3440</v>
      </c>
      <c r="G1490" s="1" t="s">
        <v>23</v>
      </c>
      <c r="I1490" s="16">
        <v>42160.913738425923</v>
      </c>
      <c r="J1490" s="1" t="s">
        <v>68</v>
      </c>
      <c r="K1490" s="1" t="s">
        <v>18</v>
      </c>
      <c r="L1490" s="1" t="s">
        <v>19</v>
      </c>
      <c r="M1490" s="1">
        <v>506637</v>
      </c>
      <c r="N1490" s="1" t="s">
        <v>3441</v>
      </c>
      <c r="O1490" s="16">
        <v>42187.735520833332</v>
      </c>
      <c r="P1490" s="1" t="s">
        <v>571</v>
      </c>
    </row>
    <row r="1491" spans="1:16" ht="13" x14ac:dyDescent="0.15">
      <c r="A1491" s="1">
        <v>444927</v>
      </c>
      <c r="B1491" s="1">
        <v>0</v>
      </c>
      <c r="C1491" s="1" t="s">
        <v>3442</v>
      </c>
      <c r="D1491" s="1" t="s">
        <v>27</v>
      </c>
      <c r="E1491" s="1" t="s">
        <v>3443</v>
      </c>
      <c r="F1491" s="1" t="s">
        <v>3444</v>
      </c>
      <c r="G1491" s="1" t="s">
        <v>23</v>
      </c>
      <c r="I1491" s="16">
        <v>41996.903761574074</v>
      </c>
      <c r="J1491" s="1" t="s">
        <v>3445</v>
      </c>
      <c r="K1491" s="1" t="s">
        <v>18</v>
      </c>
      <c r="L1491" s="1" t="s">
        <v>19</v>
      </c>
    </row>
    <row r="1492" spans="1:16" ht="13" x14ac:dyDescent="0.15">
      <c r="A1492" s="1">
        <v>16535</v>
      </c>
      <c r="B1492" s="1">
        <v>0</v>
      </c>
      <c r="D1492" s="1" t="s">
        <v>27</v>
      </c>
      <c r="E1492" s="1" t="s">
        <v>3446</v>
      </c>
      <c r="F1492" s="1" t="s">
        <v>3447</v>
      </c>
      <c r="G1492" s="1" t="s">
        <v>23</v>
      </c>
      <c r="I1492" s="16">
        <v>40005.730671296296</v>
      </c>
      <c r="J1492" s="1" t="s">
        <v>366</v>
      </c>
      <c r="K1492" s="1" t="s">
        <v>18</v>
      </c>
      <c r="L1492" s="1" t="s">
        <v>19</v>
      </c>
    </row>
    <row r="1493" spans="1:16" ht="13" x14ac:dyDescent="0.15">
      <c r="A1493" s="1">
        <v>6264</v>
      </c>
      <c r="B1493" s="1">
        <v>0</v>
      </c>
      <c r="D1493" s="1" t="s">
        <v>27</v>
      </c>
      <c r="E1493" s="1" t="s">
        <v>3448</v>
      </c>
      <c r="F1493" s="1" t="s">
        <v>2155</v>
      </c>
      <c r="G1493" s="1" t="s">
        <v>23</v>
      </c>
      <c r="I1493" s="16">
        <v>39825.003842592596</v>
      </c>
      <c r="J1493" s="1" t="s">
        <v>366</v>
      </c>
      <c r="K1493" s="1" t="s">
        <v>18</v>
      </c>
      <c r="L1493" s="1" t="s">
        <v>19</v>
      </c>
    </row>
    <row r="1494" spans="1:16" ht="13" x14ac:dyDescent="0.15">
      <c r="A1494" s="1">
        <v>109716</v>
      </c>
      <c r="B1494" s="1">
        <v>0</v>
      </c>
      <c r="C1494" s="1" t="s">
        <v>26</v>
      </c>
      <c r="D1494" s="1" t="s">
        <v>27</v>
      </c>
      <c r="E1494" s="1" t="s">
        <v>3449</v>
      </c>
      <c r="F1494" s="1" t="s">
        <v>3450</v>
      </c>
      <c r="G1494" s="1" t="s">
        <v>23</v>
      </c>
      <c r="I1494" s="16">
        <v>40918.302511574075</v>
      </c>
      <c r="J1494" s="1" t="s">
        <v>190</v>
      </c>
      <c r="K1494" s="1" t="s">
        <v>18</v>
      </c>
      <c r="L1494" s="1" t="s">
        <v>19</v>
      </c>
    </row>
    <row r="1495" spans="1:16" ht="13" x14ac:dyDescent="0.15">
      <c r="A1495" s="1">
        <v>681306</v>
      </c>
      <c r="B1495" s="1">
        <v>0</v>
      </c>
      <c r="C1495" s="1" t="s">
        <v>1742</v>
      </c>
      <c r="D1495" s="1" t="s">
        <v>27</v>
      </c>
      <c r="E1495" s="1" t="s">
        <v>3451</v>
      </c>
      <c r="F1495" s="1" t="s">
        <v>3452</v>
      </c>
      <c r="G1495" s="1" t="s">
        <v>1056</v>
      </c>
      <c r="I1495" s="16">
        <v>42749.458518518521</v>
      </c>
      <c r="J1495" s="1" t="s">
        <v>1301</v>
      </c>
      <c r="K1495" s="1" t="s">
        <v>18</v>
      </c>
      <c r="L1495" s="1" t="s">
        <v>19</v>
      </c>
    </row>
    <row r="1496" spans="1:16" ht="13" x14ac:dyDescent="0.15">
      <c r="A1496" s="1">
        <v>427266</v>
      </c>
      <c r="B1496" s="1">
        <v>0</v>
      </c>
      <c r="C1496" s="1" t="s">
        <v>2969</v>
      </c>
      <c r="D1496" s="1" t="s">
        <v>27</v>
      </c>
      <c r="E1496" s="1" t="s">
        <v>3453</v>
      </c>
      <c r="F1496" s="1" t="s">
        <v>3454</v>
      </c>
      <c r="G1496" s="1" t="s">
        <v>16</v>
      </c>
      <c r="I1496" s="16">
        <v>41938.630798611113</v>
      </c>
      <c r="J1496" s="1" t="s">
        <v>190</v>
      </c>
      <c r="K1496" s="1" t="s">
        <v>18</v>
      </c>
      <c r="L1496" s="1" t="s">
        <v>19</v>
      </c>
    </row>
    <row r="1497" spans="1:16" ht="13" x14ac:dyDescent="0.15">
      <c r="A1497" s="1">
        <v>502794</v>
      </c>
      <c r="B1497" s="1">
        <v>1</v>
      </c>
      <c r="C1497" s="1" t="s">
        <v>12</v>
      </c>
      <c r="D1497" s="1" t="s">
        <v>27</v>
      </c>
      <c r="E1497" s="1" t="s">
        <v>2012</v>
      </c>
      <c r="F1497" s="1" t="s">
        <v>3455</v>
      </c>
      <c r="G1497" s="1" t="s">
        <v>23</v>
      </c>
      <c r="I1497" s="16">
        <v>42176.774606481478</v>
      </c>
      <c r="J1497" s="1" t="s">
        <v>17</v>
      </c>
      <c r="K1497" s="1" t="s">
        <v>18</v>
      </c>
      <c r="L1497" s="1" t="s">
        <v>19</v>
      </c>
      <c r="M1497" s="1">
        <v>509713</v>
      </c>
      <c r="N1497" s="1" t="s">
        <v>3456</v>
      </c>
      <c r="O1497" s="16">
        <v>42198.704976851855</v>
      </c>
      <c r="P1497" s="1" t="s">
        <v>76</v>
      </c>
    </row>
    <row r="1498" spans="1:16" ht="13" x14ac:dyDescent="0.15">
      <c r="A1498" s="1">
        <v>356540</v>
      </c>
      <c r="B1498" s="1">
        <v>0</v>
      </c>
      <c r="C1498" s="1" t="s">
        <v>50</v>
      </c>
      <c r="D1498" s="1" t="s">
        <v>27</v>
      </c>
      <c r="E1498" s="1" t="s">
        <v>3457</v>
      </c>
      <c r="F1498" s="1" t="s">
        <v>3458</v>
      </c>
      <c r="G1498" s="1" t="s">
        <v>23</v>
      </c>
      <c r="I1498" s="16">
        <v>41724.177164351851</v>
      </c>
      <c r="J1498" s="1" t="s">
        <v>17</v>
      </c>
      <c r="K1498" s="1" t="s">
        <v>18</v>
      </c>
      <c r="L1498" s="1" t="s">
        <v>19</v>
      </c>
    </row>
    <row r="1499" spans="1:16" ht="13" x14ac:dyDescent="0.15">
      <c r="A1499" s="1">
        <v>491216</v>
      </c>
      <c r="B1499" s="1">
        <v>0</v>
      </c>
      <c r="C1499" s="1" t="s">
        <v>1810</v>
      </c>
      <c r="D1499" s="1" t="s">
        <v>27</v>
      </c>
      <c r="E1499" s="1" t="s">
        <v>3459</v>
      </c>
      <c r="F1499" s="1" t="s">
        <v>3460</v>
      </c>
      <c r="G1499" s="1" t="s">
        <v>23</v>
      </c>
      <c r="I1499" s="16">
        <v>42146.691307870373</v>
      </c>
      <c r="J1499" s="1" t="s">
        <v>1026</v>
      </c>
      <c r="K1499" s="1" t="s">
        <v>18</v>
      </c>
      <c r="L1499" s="1" t="s">
        <v>19</v>
      </c>
    </row>
    <row r="1500" spans="1:16" ht="13" x14ac:dyDescent="0.15">
      <c r="A1500" s="1">
        <v>110112</v>
      </c>
      <c r="B1500" s="1">
        <v>0</v>
      </c>
      <c r="C1500" s="1" t="s">
        <v>26</v>
      </c>
      <c r="D1500" s="1" t="s">
        <v>27</v>
      </c>
      <c r="E1500" s="1" t="s">
        <v>3461</v>
      </c>
      <c r="F1500" s="1" t="s">
        <v>3462</v>
      </c>
      <c r="G1500" s="1" t="s">
        <v>23</v>
      </c>
      <c r="I1500" s="16">
        <v>40921.036736111113</v>
      </c>
      <c r="J1500" s="1" t="s">
        <v>544</v>
      </c>
      <c r="K1500" s="1" t="s">
        <v>18</v>
      </c>
      <c r="L1500" s="1" t="s">
        <v>19</v>
      </c>
    </row>
    <row r="1501" spans="1:16" ht="13" x14ac:dyDescent="0.15">
      <c r="A1501" s="1">
        <v>179653</v>
      </c>
      <c r="B1501" s="1">
        <v>0</v>
      </c>
      <c r="C1501" s="1" t="s">
        <v>470</v>
      </c>
      <c r="D1501" s="1" t="s">
        <v>27</v>
      </c>
      <c r="E1501" s="1" t="s">
        <v>3463</v>
      </c>
      <c r="F1501" s="1" t="s">
        <v>3464</v>
      </c>
      <c r="G1501" s="1" t="s">
        <v>23</v>
      </c>
      <c r="I1501" s="16">
        <v>41335.869293981479</v>
      </c>
      <c r="J1501" s="1" t="s">
        <v>193</v>
      </c>
      <c r="K1501" s="1" t="s">
        <v>18</v>
      </c>
      <c r="L1501" s="1" t="s">
        <v>19</v>
      </c>
    </row>
    <row r="1502" spans="1:16" ht="13" x14ac:dyDescent="0.15">
      <c r="A1502" s="1">
        <v>382242</v>
      </c>
      <c r="B1502" s="1">
        <v>0</v>
      </c>
      <c r="C1502" s="1" t="s">
        <v>12</v>
      </c>
      <c r="D1502" s="1" t="s">
        <v>27</v>
      </c>
      <c r="E1502" s="1" t="s">
        <v>3103</v>
      </c>
      <c r="F1502" s="1" t="s">
        <v>2907</v>
      </c>
      <c r="G1502" s="1" t="s">
        <v>23</v>
      </c>
      <c r="I1502" s="16">
        <v>41798.665532407409</v>
      </c>
      <c r="J1502" s="1" t="s">
        <v>17</v>
      </c>
      <c r="K1502" s="1" t="s">
        <v>18</v>
      </c>
      <c r="L1502" s="1" t="s">
        <v>19</v>
      </c>
    </row>
    <row r="1503" spans="1:16" ht="13" x14ac:dyDescent="0.15">
      <c r="A1503" s="1">
        <v>382241</v>
      </c>
      <c r="B1503" s="1">
        <v>0</v>
      </c>
      <c r="C1503" s="1" t="s">
        <v>12</v>
      </c>
      <c r="D1503" s="1" t="s">
        <v>27</v>
      </c>
      <c r="E1503" s="1" t="s">
        <v>3465</v>
      </c>
      <c r="F1503" s="1" t="s">
        <v>2907</v>
      </c>
      <c r="G1503" s="1" t="s">
        <v>23</v>
      </c>
      <c r="I1503" s="16">
        <v>41798.664930555555</v>
      </c>
      <c r="J1503" s="1" t="s">
        <v>17</v>
      </c>
      <c r="K1503" s="1" t="s">
        <v>18</v>
      </c>
      <c r="L1503" s="1" t="s">
        <v>19</v>
      </c>
    </row>
    <row r="1504" spans="1:16" ht="13" x14ac:dyDescent="0.15">
      <c r="A1504" s="1">
        <v>117698</v>
      </c>
      <c r="B1504" s="1">
        <v>0</v>
      </c>
      <c r="C1504" s="1" t="s">
        <v>26</v>
      </c>
      <c r="D1504" s="1" t="s">
        <v>27</v>
      </c>
      <c r="E1504" s="1" t="s">
        <v>3466</v>
      </c>
      <c r="F1504" s="1" t="s">
        <v>3467</v>
      </c>
      <c r="G1504" s="1" t="s">
        <v>23</v>
      </c>
      <c r="I1504" s="16">
        <v>40979.38962962963</v>
      </c>
      <c r="J1504" s="1" t="s">
        <v>44</v>
      </c>
      <c r="K1504" s="1" t="s">
        <v>18</v>
      </c>
      <c r="L1504" s="1" t="s">
        <v>19</v>
      </c>
    </row>
    <row r="1505" spans="1:12" ht="13" x14ac:dyDescent="0.15">
      <c r="A1505" s="1">
        <v>293534</v>
      </c>
      <c r="B1505" s="1">
        <v>0</v>
      </c>
      <c r="C1505" s="1" t="s">
        <v>522</v>
      </c>
      <c r="D1505" s="1" t="s">
        <v>27</v>
      </c>
      <c r="E1505" s="1" t="s">
        <v>1016</v>
      </c>
      <c r="F1505" s="1" t="s">
        <v>3468</v>
      </c>
      <c r="G1505" s="1" t="s">
        <v>23</v>
      </c>
      <c r="I1505" s="16">
        <v>41534.726886574077</v>
      </c>
      <c r="J1505" s="1" t="s">
        <v>68</v>
      </c>
      <c r="K1505" s="1" t="s">
        <v>18</v>
      </c>
      <c r="L1505" s="1" t="s">
        <v>19</v>
      </c>
    </row>
    <row r="1506" spans="1:12" ht="13" x14ac:dyDescent="0.15">
      <c r="A1506" s="1">
        <v>624011</v>
      </c>
      <c r="B1506" s="1">
        <v>0</v>
      </c>
      <c r="C1506" s="1" t="s">
        <v>1824</v>
      </c>
      <c r="D1506" s="1" t="s">
        <v>27</v>
      </c>
      <c r="E1506" s="1" t="s">
        <v>3469</v>
      </c>
      <c r="F1506" s="1" t="s">
        <v>3470</v>
      </c>
      <c r="G1506" s="1" t="s">
        <v>56</v>
      </c>
      <c r="I1506" s="16">
        <v>42549.721631944441</v>
      </c>
      <c r="J1506" s="1" t="s">
        <v>3255</v>
      </c>
      <c r="K1506" s="1" t="s">
        <v>18</v>
      </c>
      <c r="L1506" s="1" t="s">
        <v>19</v>
      </c>
    </row>
    <row r="1507" spans="1:12" ht="13" x14ac:dyDescent="0.15">
      <c r="A1507" s="1">
        <v>350533</v>
      </c>
      <c r="B1507" s="1">
        <v>0</v>
      </c>
      <c r="C1507" s="1" t="s">
        <v>399</v>
      </c>
      <c r="D1507" s="1" t="s">
        <v>27</v>
      </c>
      <c r="E1507" s="1" t="s">
        <v>3471</v>
      </c>
      <c r="F1507" s="1" t="s">
        <v>3472</v>
      </c>
      <c r="G1507" s="1" t="s">
        <v>23</v>
      </c>
      <c r="I1507" s="16">
        <v>41705.923437500001</v>
      </c>
      <c r="J1507" s="1" t="s">
        <v>402</v>
      </c>
      <c r="K1507" s="1" t="s">
        <v>18</v>
      </c>
      <c r="L1507" s="1" t="s">
        <v>19</v>
      </c>
    </row>
    <row r="1508" spans="1:12" ht="13" x14ac:dyDescent="0.15">
      <c r="A1508" s="1">
        <v>679646</v>
      </c>
      <c r="B1508" s="1">
        <v>0</v>
      </c>
      <c r="C1508" s="1" t="s">
        <v>462</v>
      </c>
      <c r="D1508" s="1" t="s">
        <v>27</v>
      </c>
      <c r="E1508" s="1" t="s">
        <v>3473</v>
      </c>
      <c r="F1508" s="1" t="s">
        <v>3474</v>
      </c>
      <c r="G1508" s="1" t="s">
        <v>23</v>
      </c>
      <c r="I1508" s="16">
        <v>42745.330775462964</v>
      </c>
      <c r="J1508" s="1" t="s">
        <v>465</v>
      </c>
      <c r="K1508" s="1" t="s">
        <v>18</v>
      </c>
      <c r="L1508" s="1" t="s">
        <v>19</v>
      </c>
    </row>
    <row r="1509" spans="1:12" ht="13" x14ac:dyDescent="0.15">
      <c r="A1509" s="1">
        <v>679647</v>
      </c>
      <c r="B1509" s="1">
        <v>0</v>
      </c>
      <c r="C1509" s="1" t="s">
        <v>462</v>
      </c>
      <c r="D1509" s="1" t="s">
        <v>27</v>
      </c>
      <c r="E1509" s="1" t="s">
        <v>3475</v>
      </c>
      <c r="F1509" s="1" t="s">
        <v>3476</v>
      </c>
      <c r="G1509" s="1" t="s">
        <v>23</v>
      </c>
      <c r="I1509" s="16">
        <v>42745.331689814811</v>
      </c>
      <c r="J1509" s="1" t="s">
        <v>465</v>
      </c>
      <c r="K1509" s="1" t="s">
        <v>18</v>
      </c>
      <c r="L1509" s="1" t="s">
        <v>19</v>
      </c>
    </row>
    <row r="1510" spans="1:12" ht="13" x14ac:dyDescent="0.15">
      <c r="A1510" s="1">
        <v>679645</v>
      </c>
      <c r="B1510" s="1">
        <v>0</v>
      </c>
      <c r="C1510" s="1" t="s">
        <v>462</v>
      </c>
      <c r="D1510" s="1" t="s">
        <v>27</v>
      </c>
      <c r="E1510" s="1" t="s">
        <v>3477</v>
      </c>
      <c r="F1510" s="1" t="s">
        <v>3478</v>
      </c>
      <c r="G1510" s="1" t="s">
        <v>23</v>
      </c>
      <c r="I1510" s="16">
        <v>42745.329236111109</v>
      </c>
      <c r="J1510" s="1" t="s">
        <v>465</v>
      </c>
      <c r="K1510" s="1" t="s">
        <v>18</v>
      </c>
      <c r="L1510" s="1" t="s">
        <v>19</v>
      </c>
    </row>
    <row r="1511" spans="1:12" ht="13" x14ac:dyDescent="0.15">
      <c r="A1511" s="1">
        <v>679640</v>
      </c>
      <c r="B1511" s="1">
        <v>0</v>
      </c>
      <c r="C1511" s="1" t="s">
        <v>462</v>
      </c>
      <c r="D1511" s="1" t="s">
        <v>27</v>
      </c>
      <c r="E1511" s="1" t="s">
        <v>3479</v>
      </c>
      <c r="F1511" s="1" t="s">
        <v>3480</v>
      </c>
      <c r="G1511" s="1" t="s">
        <v>23</v>
      </c>
      <c r="I1511" s="16">
        <v>42745.321747685186</v>
      </c>
      <c r="J1511" s="1" t="s">
        <v>465</v>
      </c>
      <c r="K1511" s="1" t="s">
        <v>18</v>
      </c>
      <c r="L1511" s="1" t="s">
        <v>19</v>
      </c>
    </row>
    <row r="1512" spans="1:12" ht="13" x14ac:dyDescent="0.15">
      <c r="A1512" s="1">
        <v>485413</v>
      </c>
      <c r="B1512" s="1">
        <v>0</v>
      </c>
      <c r="C1512" s="1" t="s">
        <v>305</v>
      </c>
      <c r="D1512" s="1" t="s">
        <v>27</v>
      </c>
      <c r="E1512" s="1" t="s">
        <v>3481</v>
      </c>
      <c r="F1512" s="1" t="s">
        <v>3482</v>
      </c>
      <c r="G1512" s="1" t="s">
        <v>23</v>
      </c>
      <c r="I1512" s="16">
        <v>42131.149039351854</v>
      </c>
      <c r="J1512" s="1" t="s">
        <v>17</v>
      </c>
      <c r="K1512" s="1" t="s">
        <v>18</v>
      </c>
      <c r="L1512" s="1" t="s">
        <v>19</v>
      </c>
    </row>
    <row r="1513" spans="1:12" ht="13" x14ac:dyDescent="0.15">
      <c r="A1513" s="1">
        <v>470864</v>
      </c>
      <c r="B1513" s="1">
        <v>0</v>
      </c>
      <c r="C1513" s="1" t="s">
        <v>137</v>
      </c>
      <c r="D1513" s="1" t="s">
        <v>27</v>
      </c>
      <c r="E1513" s="1" t="s">
        <v>3483</v>
      </c>
      <c r="F1513" s="1" t="s">
        <v>3484</v>
      </c>
      <c r="G1513" s="1" t="s">
        <v>23</v>
      </c>
      <c r="I1513" s="16">
        <v>42089.579675925925</v>
      </c>
      <c r="J1513" s="1" t="s">
        <v>656</v>
      </c>
      <c r="K1513" s="1" t="s">
        <v>18</v>
      </c>
      <c r="L1513" s="1" t="s">
        <v>19</v>
      </c>
    </row>
    <row r="1514" spans="1:12" ht="13" x14ac:dyDescent="0.15">
      <c r="A1514" s="1">
        <v>87227</v>
      </c>
      <c r="B1514" s="1">
        <v>0</v>
      </c>
      <c r="C1514" s="1" t="s">
        <v>26</v>
      </c>
      <c r="D1514" s="1" t="s">
        <v>27</v>
      </c>
      <c r="E1514" s="1" t="s">
        <v>3485</v>
      </c>
      <c r="F1514" s="1" t="s">
        <v>3486</v>
      </c>
      <c r="G1514" s="1" t="s">
        <v>23</v>
      </c>
      <c r="I1514" s="16">
        <v>40717.408449074072</v>
      </c>
      <c r="J1514" s="1" t="s">
        <v>44</v>
      </c>
      <c r="K1514" s="1" t="s">
        <v>18</v>
      </c>
      <c r="L1514" s="1" t="s">
        <v>19</v>
      </c>
    </row>
    <row r="1515" spans="1:12" ht="13" x14ac:dyDescent="0.15">
      <c r="A1515" s="1">
        <v>232389</v>
      </c>
      <c r="B1515" s="1">
        <v>0</v>
      </c>
      <c r="C1515" s="1" t="s">
        <v>31</v>
      </c>
      <c r="D1515" s="1" t="s">
        <v>27</v>
      </c>
      <c r="E1515" s="1" t="s">
        <v>3487</v>
      </c>
      <c r="F1515" s="1" t="s">
        <v>529</v>
      </c>
      <c r="G1515" s="1" t="s">
        <v>23</v>
      </c>
      <c r="I1515" s="16">
        <v>41381.611226851855</v>
      </c>
      <c r="J1515" s="1" t="s">
        <v>40</v>
      </c>
      <c r="K1515" s="1" t="s">
        <v>18</v>
      </c>
      <c r="L1515" s="1" t="s">
        <v>19</v>
      </c>
    </row>
    <row r="1516" spans="1:12" ht="13" x14ac:dyDescent="0.15">
      <c r="A1516" s="1">
        <v>583607</v>
      </c>
      <c r="B1516" s="1">
        <v>0</v>
      </c>
      <c r="C1516" s="1" t="s">
        <v>3488</v>
      </c>
      <c r="D1516" s="1" t="s">
        <v>27</v>
      </c>
      <c r="E1516" s="1" t="s">
        <v>3489</v>
      </c>
      <c r="F1516" s="1" t="s">
        <v>3490</v>
      </c>
      <c r="G1516" s="1" t="s">
        <v>23</v>
      </c>
      <c r="I1516" s="16">
        <v>42403.419652777775</v>
      </c>
      <c r="J1516" s="1" t="s">
        <v>3491</v>
      </c>
      <c r="K1516" s="1" t="s">
        <v>18</v>
      </c>
      <c r="L1516" s="1" t="s">
        <v>19</v>
      </c>
    </row>
    <row r="1517" spans="1:12" ht="13" x14ac:dyDescent="0.15">
      <c r="A1517" s="1">
        <v>113415</v>
      </c>
      <c r="B1517" s="1">
        <v>0</v>
      </c>
      <c r="C1517" s="1" t="s">
        <v>26</v>
      </c>
      <c r="D1517" s="1" t="s">
        <v>27</v>
      </c>
      <c r="E1517" s="1" t="s">
        <v>291</v>
      </c>
      <c r="F1517" s="1" t="s">
        <v>915</v>
      </c>
      <c r="G1517" s="1" t="s">
        <v>23</v>
      </c>
      <c r="I1517" s="16">
        <v>40948.739247685182</v>
      </c>
      <c r="J1517" s="1" t="s">
        <v>155</v>
      </c>
      <c r="K1517" s="1" t="s">
        <v>18</v>
      </c>
      <c r="L1517" s="1" t="s">
        <v>19</v>
      </c>
    </row>
    <row r="1518" spans="1:12" ht="13" x14ac:dyDescent="0.15">
      <c r="A1518" s="1">
        <v>72936</v>
      </c>
      <c r="B1518" s="1">
        <v>0</v>
      </c>
      <c r="C1518" s="1" t="s">
        <v>26</v>
      </c>
      <c r="D1518" s="1" t="s">
        <v>27</v>
      </c>
      <c r="E1518" s="1" t="s">
        <v>3492</v>
      </c>
      <c r="F1518" s="1" t="s">
        <v>989</v>
      </c>
      <c r="G1518" s="1" t="s">
        <v>23</v>
      </c>
      <c r="I1518" s="16">
        <v>40588.769571759258</v>
      </c>
      <c r="J1518" s="1" t="s">
        <v>40</v>
      </c>
      <c r="K1518" s="1" t="s">
        <v>18</v>
      </c>
      <c r="L1518" s="1" t="s">
        <v>19</v>
      </c>
    </row>
    <row r="1519" spans="1:12" ht="13" x14ac:dyDescent="0.15">
      <c r="A1519" s="1">
        <v>63732</v>
      </c>
      <c r="B1519" s="1">
        <v>0</v>
      </c>
      <c r="C1519" s="1" t="s">
        <v>3493</v>
      </c>
      <c r="D1519" s="1" t="s">
        <v>27</v>
      </c>
      <c r="E1519" s="1" t="s">
        <v>3494</v>
      </c>
      <c r="F1519" s="1" t="s">
        <v>3495</v>
      </c>
      <c r="I1519" s="16">
        <v>40501.384641203702</v>
      </c>
      <c r="J1519" s="1" t="s">
        <v>3496</v>
      </c>
      <c r="K1519" s="1" t="s">
        <v>18</v>
      </c>
      <c r="L1519" s="1" t="s">
        <v>19</v>
      </c>
    </row>
    <row r="1520" spans="1:12" ht="13" x14ac:dyDescent="0.15">
      <c r="A1520" s="1">
        <v>447906</v>
      </c>
      <c r="B1520" s="1">
        <v>0</v>
      </c>
      <c r="D1520" s="1" t="s">
        <v>27</v>
      </c>
      <c r="E1520" s="1" t="s">
        <v>3497</v>
      </c>
      <c r="F1520" s="1" t="s">
        <v>3498</v>
      </c>
      <c r="G1520" s="1" t="s">
        <v>23</v>
      </c>
      <c r="I1520" s="16">
        <v>42015.723078703704</v>
      </c>
      <c r="J1520" s="1" t="s">
        <v>2393</v>
      </c>
      <c r="K1520" s="1" t="s">
        <v>18</v>
      </c>
      <c r="L1520" s="1" t="s">
        <v>19</v>
      </c>
    </row>
    <row r="1521" spans="1:12" ht="13" x14ac:dyDescent="0.15">
      <c r="A1521" s="1">
        <v>126040</v>
      </c>
      <c r="B1521" s="1">
        <v>0</v>
      </c>
      <c r="C1521" s="1" t="s">
        <v>26</v>
      </c>
      <c r="D1521" s="1" t="s">
        <v>27</v>
      </c>
      <c r="E1521" s="1" t="s">
        <v>3499</v>
      </c>
      <c r="F1521" s="1" t="s">
        <v>3500</v>
      </c>
      <c r="G1521" s="1" t="s">
        <v>23</v>
      </c>
      <c r="I1521" s="16">
        <v>41032.024675925924</v>
      </c>
      <c r="J1521" s="1" t="s">
        <v>40</v>
      </c>
      <c r="K1521" s="1" t="s">
        <v>18</v>
      </c>
      <c r="L1521" s="1" t="s">
        <v>19</v>
      </c>
    </row>
    <row r="1522" spans="1:12" ht="13" x14ac:dyDescent="0.15">
      <c r="A1522" s="1">
        <v>168982</v>
      </c>
      <c r="B1522" s="1">
        <v>0</v>
      </c>
      <c r="C1522" s="1" t="s">
        <v>26</v>
      </c>
      <c r="D1522" s="1" t="s">
        <v>27</v>
      </c>
      <c r="E1522" s="1" t="s">
        <v>3501</v>
      </c>
      <c r="F1522" s="1" t="s">
        <v>3502</v>
      </c>
      <c r="G1522" s="1" t="s">
        <v>23</v>
      </c>
      <c r="I1522" s="16">
        <v>41283.403437499997</v>
      </c>
      <c r="J1522" s="1" t="s">
        <v>408</v>
      </c>
      <c r="K1522" s="1" t="s">
        <v>18</v>
      </c>
      <c r="L1522" s="1" t="s">
        <v>19</v>
      </c>
    </row>
    <row r="1523" spans="1:12" ht="13" x14ac:dyDescent="0.15">
      <c r="A1523" s="1">
        <v>643665</v>
      </c>
      <c r="B1523" s="1">
        <v>0</v>
      </c>
      <c r="C1523" s="1" t="s">
        <v>3503</v>
      </c>
      <c r="D1523" s="1" t="s">
        <v>27</v>
      </c>
      <c r="E1523" s="1" t="s">
        <v>3504</v>
      </c>
      <c r="F1523" s="1" t="s">
        <v>3505</v>
      </c>
      <c r="G1523" s="1" t="s">
        <v>16</v>
      </c>
      <c r="I1523" s="16">
        <v>42615.592766203707</v>
      </c>
      <c r="J1523" s="1" t="s">
        <v>17</v>
      </c>
      <c r="K1523" s="1" t="s">
        <v>18</v>
      </c>
      <c r="L1523" s="1" t="s">
        <v>19</v>
      </c>
    </row>
    <row r="1524" spans="1:12" ht="13" x14ac:dyDescent="0.15">
      <c r="A1524" s="1">
        <v>444522</v>
      </c>
      <c r="B1524" s="1">
        <v>0</v>
      </c>
      <c r="D1524" s="1" t="s">
        <v>27</v>
      </c>
      <c r="E1524" s="1" t="s">
        <v>3506</v>
      </c>
      <c r="F1524" s="1" t="s">
        <v>3507</v>
      </c>
      <c r="G1524" s="1" t="s">
        <v>23</v>
      </c>
      <c r="I1524" s="16">
        <v>41995.430092592593</v>
      </c>
      <c r="J1524" s="1" t="s">
        <v>1151</v>
      </c>
      <c r="K1524" s="1" t="s">
        <v>18</v>
      </c>
      <c r="L1524" s="1" t="s">
        <v>19</v>
      </c>
    </row>
    <row r="1525" spans="1:12" ht="13" x14ac:dyDescent="0.15">
      <c r="A1525" s="1">
        <v>55257</v>
      </c>
      <c r="B1525" s="1">
        <v>0</v>
      </c>
      <c r="C1525" s="1" t="s">
        <v>26</v>
      </c>
      <c r="D1525" s="1" t="s">
        <v>27</v>
      </c>
      <c r="E1525" s="1" t="s">
        <v>3508</v>
      </c>
      <c r="F1525" s="1" t="s">
        <v>3027</v>
      </c>
      <c r="G1525" s="1" t="s">
        <v>23</v>
      </c>
      <c r="I1525" s="16">
        <v>40432.634699074071</v>
      </c>
      <c r="J1525" s="1" t="s">
        <v>30</v>
      </c>
      <c r="K1525" s="1" t="s">
        <v>18</v>
      </c>
      <c r="L1525" s="1" t="s">
        <v>19</v>
      </c>
    </row>
    <row r="1526" spans="1:12" ht="13" x14ac:dyDescent="0.15">
      <c r="A1526" s="1">
        <v>171951</v>
      </c>
      <c r="B1526" s="1">
        <v>0</v>
      </c>
      <c r="C1526" s="1" t="s">
        <v>26</v>
      </c>
      <c r="D1526" s="1" t="s">
        <v>27</v>
      </c>
      <c r="E1526" s="1" t="s">
        <v>3509</v>
      </c>
      <c r="F1526" s="1" t="s">
        <v>3510</v>
      </c>
      <c r="I1526" s="16">
        <v>41298.671412037038</v>
      </c>
      <c r="J1526" s="1" t="s">
        <v>76</v>
      </c>
      <c r="K1526" s="1" t="s">
        <v>18</v>
      </c>
      <c r="L1526" s="1" t="s">
        <v>19</v>
      </c>
    </row>
    <row r="1527" spans="1:12" ht="13" x14ac:dyDescent="0.15">
      <c r="A1527" s="1">
        <v>68741</v>
      </c>
      <c r="B1527" s="1">
        <v>0</v>
      </c>
      <c r="C1527" s="1" t="s">
        <v>26</v>
      </c>
      <c r="D1527" s="1" t="s">
        <v>27</v>
      </c>
      <c r="E1527" s="1" t="s">
        <v>3511</v>
      </c>
      <c r="F1527" s="1" t="s">
        <v>430</v>
      </c>
      <c r="G1527" s="1" t="s">
        <v>23</v>
      </c>
      <c r="I1527" s="16">
        <v>40549.714872685188</v>
      </c>
      <c r="J1527" s="1" t="s">
        <v>40</v>
      </c>
      <c r="K1527" s="1" t="s">
        <v>18</v>
      </c>
      <c r="L1527" s="1" t="s">
        <v>19</v>
      </c>
    </row>
    <row r="1528" spans="1:12" ht="13" x14ac:dyDescent="0.15">
      <c r="A1528" s="1">
        <v>446076</v>
      </c>
      <c r="B1528" s="1">
        <v>0</v>
      </c>
      <c r="C1528" s="1" t="s">
        <v>1593</v>
      </c>
      <c r="D1528" s="1" t="s">
        <v>27</v>
      </c>
      <c r="E1528" s="1" t="s">
        <v>3512</v>
      </c>
      <c r="F1528" s="1" t="s">
        <v>761</v>
      </c>
      <c r="G1528" s="1" t="s">
        <v>23</v>
      </c>
      <c r="I1528" s="16">
        <v>42009.057037037041</v>
      </c>
      <c r="J1528" s="1" t="s">
        <v>17</v>
      </c>
      <c r="K1528" s="1" t="s">
        <v>18</v>
      </c>
      <c r="L1528" s="1" t="s">
        <v>19</v>
      </c>
    </row>
    <row r="1529" spans="1:12" ht="13" x14ac:dyDescent="0.15">
      <c r="A1529" s="1">
        <v>387389</v>
      </c>
      <c r="B1529" s="1">
        <v>0</v>
      </c>
      <c r="C1529" s="1" t="s">
        <v>77</v>
      </c>
      <c r="D1529" s="1" t="s">
        <v>27</v>
      </c>
      <c r="E1529" s="1" t="s">
        <v>3513</v>
      </c>
      <c r="F1529" s="1" t="s">
        <v>3514</v>
      </c>
      <c r="G1529" s="1" t="s">
        <v>16</v>
      </c>
      <c r="I1529" s="16">
        <v>41811.851261574076</v>
      </c>
      <c r="J1529" s="1" t="s">
        <v>1373</v>
      </c>
      <c r="K1529" s="1" t="s">
        <v>18</v>
      </c>
      <c r="L1529" s="1" t="s">
        <v>19</v>
      </c>
    </row>
    <row r="1530" spans="1:12" ht="13" x14ac:dyDescent="0.15">
      <c r="A1530" s="1">
        <v>294456</v>
      </c>
      <c r="B1530" s="1">
        <v>0</v>
      </c>
      <c r="C1530" s="1" t="s">
        <v>923</v>
      </c>
      <c r="D1530" s="1" t="s">
        <v>27</v>
      </c>
      <c r="E1530" s="1" t="s">
        <v>3515</v>
      </c>
      <c r="F1530" s="1" t="s">
        <v>3516</v>
      </c>
      <c r="G1530" s="1" t="s">
        <v>23</v>
      </c>
      <c r="I1530" s="16">
        <v>41535.989293981482</v>
      </c>
      <c r="J1530" s="1" t="s">
        <v>68</v>
      </c>
      <c r="K1530" s="1" t="s">
        <v>18</v>
      </c>
      <c r="L1530" s="1" t="s">
        <v>19</v>
      </c>
    </row>
    <row r="1531" spans="1:12" ht="13" x14ac:dyDescent="0.15">
      <c r="A1531" s="1">
        <v>679484</v>
      </c>
      <c r="B1531" s="1">
        <v>0</v>
      </c>
      <c r="C1531" s="1" t="s">
        <v>1742</v>
      </c>
      <c r="D1531" s="1" t="s">
        <v>27</v>
      </c>
      <c r="E1531" s="1" t="s">
        <v>3517</v>
      </c>
      <c r="F1531" s="1" t="s">
        <v>3518</v>
      </c>
      <c r="G1531" s="1" t="s">
        <v>16</v>
      </c>
      <c r="I1531" s="16">
        <v>42744.912662037037</v>
      </c>
      <c r="J1531" s="1" t="s">
        <v>3519</v>
      </c>
      <c r="K1531" s="1" t="s">
        <v>18</v>
      </c>
      <c r="L1531" s="1" t="s">
        <v>19</v>
      </c>
    </row>
    <row r="1532" spans="1:12" ht="13" x14ac:dyDescent="0.15">
      <c r="A1532" s="1">
        <v>60238</v>
      </c>
      <c r="B1532" s="1">
        <v>0</v>
      </c>
      <c r="C1532" s="1" t="s">
        <v>1990</v>
      </c>
      <c r="D1532" s="1" t="s">
        <v>27</v>
      </c>
      <c r="E1532" s="1" t="s">
        <v>3520</v>
      </c>
      <c r="F1532" s="1" t="s">
        <v>3521</v>
      </c>
      <c r="G1532" s="1" t="s">
        <v>23</v>
      </c>
      <c r="I1532" s="16">
        <v>40473.100555555553</v>
      </c>
      <c r="J1532" s="1" t="s">
        <v>3522</v>
      </c>
      <c r="K1532" s="1" t="s">
        <v>18</v>
      </c>
      <c r="L1532" s="1" t="s">
        <v>19</v>
      </c>
    </row>
    <row r="1533" spans="1:12" ht="13" x14ac:dyDescent="0.15">
      <c r="A1533" s="1">
        <v>617105</v>
      </c>
      <c r="B1533" s="1">
        <v>0</v>
      </c>
      <c r="C1533" s="1" t="s">
        <v>137</v>
      </c>
      <c r="D1533" s="1" t="s">
        <v>27</v>
      </c>
      <c r="E1533" s="1" t="s">
        <v>3523</v>
      </c>
      <c r="F1533" s="1" t="s">
        <v>3524</v>
      </c>
      <c r="I1533" s="16">
        <v>42524.430972222224</v>
      </c>
      <c r="J1533" s="1" t="s">
        <v>205</v>
      </c>
      <c r="K1533" s="1" t="s">
        <v>18</v>
      </c>
      <c r="L1533" s="1" t="s">
        <v>19</v>
      </c>
    </row>
    <row r="1534" spans="1:12" ht="13" x14ac:dyDescent="0.15">
      <c r="A1534" s="1">
        <v>442806</v>
      </c>
      <c r="B1534" s="1">
        <v>0</v>
      </c>
      <c r="C1534" s="1" t="s">
        <v>1593</v>
      </c>
      <c r="D1534" s="1" t="s">
        <v>27</v>
      </c>
      <c r="E1534" s="1" t="s">
        <v>3525</v>
      </c>
      <c r="F1534" s="1" t="s">
        <v>3526</v>
      </c>
      <c r="I1534" s="16">
        <v>41989.748391203706</v>
      </c>
      <c r="J1534" s="1" t="s">
        <v>68</v>
      </c>
      <c r="K1534" s="1" t="s">
        <v>18</v>
      </c>
      <c r="L1534" s="1" t="s">
        <v>19</v>
      </c>
    </row>
    <row r="1535" spans="1:12" ht="13" x14ac:dyDescent="0.15">
      <c r="A1535" s="1">
        <v>438364</v>
      </c>
      <c r="B1535" s="1">
        <v>0</v>
      </c>
      <c r="C1535" s="1" t="s">
        <v>759</v>
      </c>
      <c r="D1535" s="1" t="s">
        <v>27</v>
      </c>
      <c r="E1535" s="1" t="s">
        <v>3527</v>
      </c>
      <c r="F1535" s="1" t="s">
        <v>3528</v>
      </c>
      <c r="G1535" s="1" t="s">
        <v>23</v>
      </c>
      <c r="I1535" s="16">
        <v>41975.890729166669</v>
      </c>
      <c r="J1535" s="1" t="s">
        <v>17</v>
      </c>
      <c r="K1535" s="1" t="s">
        <v>18</v>
      </c>
      <c r="L1535" s="1" t="s">
        <v>19</v>
      </c>
    </row>
    <row r="1536" spans="1:12" ht="13" x14ac:dyDescent="0.15">
      <c r="A1536" s="1">
        <v>438365</v>
      </c>
      <c r="B1536" s="1">
        <v>0</v>
      </c>
      <c r="C1536" s="1" t="s">
        <v>3529</v>
      </c>
      <c r="D1536" s="1" t="s">
        <v>27</v>
      </c>
      <c r="E1536" s="1" t="s">
        <v>3530</v>
      </c>
      <c r="F1536" s="1" t="s">
        <v>3531</v>
      </c>
      <c r="G1536" s="1" t="s">
        <v>23</v>
      </c>
      <c r="I1536" s="16">
        <v>41975.893194444441</v>
      </c>
      <c r="J1536" s="1" t="s">
        <v>17</v>
      </c>
      <c r="K1536" s="1" t="s">
        <v>18</v>
      </c>
      <c r="L1536" s="1" t="s">
        <v>19</v>
      </c>
    </row>
    <row r="1537" spans="1:16" ht="13" x14ac:dyDescent="0.15">
      <c r="A1537" s="1">
        <v>54794</v>
      </c>
      <c r="B1537" s="1">
        <v>0</v>
      </c>
      <c r="C1537" s="1" t="s">
        <v>170</v>
      </c>
      <c r="D1537" s="1" t="s">
        <v>27</v>
      </c>
      <c r="E1537" s="1" t="s">
        <v>3532</v>
      </c>
      <c r="F1537" s="1" t="s">
        <v>3533</v>
      </c>
      <c r="G1537" s="1" t="s">
        <v>16</v>
      </c>
      <c r="I1537" s="16">
        <v>40429.355046296296</v>
      </c>
      <c r="J1537" s="1" t="s">
        <v>151</v>
      </c>
      <c r="K1537" s="1" t="s">
        <v>18</v>
      </c>
      <c r="L1537" s="1" t="s">
        <v>19</v>
      </c>
    </row>
    <row r="1538" spans="1:16" ht="13" x14ac:dyDescent="0.15">
      <c r="A1538" s="1">
        <v>351787</v>
      </c>
      <c r="B1538" s="1">
        <v>0</v>
      </c>
      <c r="C1538" s="1" t="s">
        <v>101</v>
      </c>
      <c r="D1538" s="1" t="s">
        <v>27</v>
      </c>
      <c r="E1538" s="1" t="s">
        <v>3534</v>
      </c>
      <c r="F1538" s="1" t="s">
        <v>3535</v>
      </c>
      <c r="G1538" s="1" t="s">
        <v>23</v>
      </c>
      <c r="I1538" s="16">
        <v>41710.747407407405</v>
      </c>
      <c r="J1538" s="1" t="s">
        <v>40</v>
      </c>
      <c r="K1538" s="1" t="s">
        <v>18</v>
      </c>
      <c r="L1538" s="1" t="s">
        <v>19</v>
      </c>
    </row>
    <row r="1539" spans="1:16" ht="13" x14ac:dyDescent="0.15">
      <c r="A1539" s="1">
        <v>487286</v>
      </c>
      <c r="B1539" s="1">
        <v>0</v>
      </c>
      <c r="D1539" s="1" t="s">
        <v>27</v>
      </c>
      <c r="E1539" s="1" t="s">
        <v>3536</v>
      </c>
      <c r="F1539" s="1" t="s">
        <v>1153</v>
      </c>
      <c r="G1539" s="1" t="s">
        <v>23</v>
      </c>
      <c r="I1539" s="16">
        <v>42136.684189814812</v>
      </c>
      <c r="J1539" s="1" t="s">
        <v>17</v>
      </c>
      <c r="K1539" s="1" t="s">
        <v>18</v>
      </c>
      <c r="L1539" s="1" t="s">
        <v>19</v>
      </c>
    </row>
    <row r="1540" spans="1:16" ht="13" x14ac:dyDescent="0.15">
      <c r="A1540" s="1">
        <v>344230</v>
      </c>
      <c r="B1540" s="1">
        <v>0</v>
      </c>
      <c r="C1540" s="1" t="s">
        <v>923</v>
      </c>
      <c r="D1540" s="1" t="s">
        <v>27</v>
      </c>
      <c r="E1540" s="1" t="s">
        <v>3537</v>
      </c>
      <c r="F1540" s="1" t="s">
        <v>3538</v>
      </c>
      <c r="G1540" s="1" t="s">
        <v>23</v>
      </c>
      <c r="I1540" s="16">
        <v>41686.946747685186</v>
      </c>
      <c r="J1540" s="1" t="s">
        <v>17</v>
      </c>
      <c r="K1540" s="1" t="s">
        <v>18</v>
      </c>
      <c r="L1540" s="1" t="s">
        <v>19</v>
      </c>
    </row>
    <row r="1541" spans="1:16" ht="13" x14ac:dyDescent="0.15">
      <c r="A1541" s="1">
        <v>374665</v>
      </c>
      <c r="B1541" s="1">
        <v>0</v>
      </c>
      <c r="C1541" s="1" t="s">
        <v>1391</v>
      </c>
      <c r="D1541" s="1" t="s">
        <v>27</v>
      </c>
      <c r="E1541" s="1" t="s">
        <v>3539</v>
      </c>
      <c r="F1541" s="1" t="s">
        <v>1428</v>
      </c>
      <c r="G1541" s="1" t="s">
        <v>23</v>
      </c>
      <c r="I1541" s="16">
        <v>41778.084710648145</v>
      </c>
      <c r="J1541" s="1" t="s">
        <v>17</v>
      </c>
      <c r="K1541" s="1" t="s">
        <v>18</v>
      </c>
      <c r="L1541" s="1" t="s">
        <v>19</v>
      </c>
    </row>
    <row r="1542" spans="1:16" ht="13" x14ac:dyDescent="0.15">
      <c r="A1542" s="1">
        <v>261171</v>
      </c>
      <c r="B1542" s="1">
        <v>0</v>
      </c>
      <c r="C1542" s="1" t="s">
        <v>31</v>
      </c>
      <c r="D1542" s="1" t="s">
        <v>27</v>
      </c>
      <c r="E1542" s="1" t="s">
        <v>1611</v>
      </c>
      <c r="F1542" s="1" t="s">
        <v>3540</v>
      </c>
      <c r="G1542" s="1" t="s">
        <v>23</v>
      </c>
      <c r="I1542" s="16">
        <v>41472.635659722226</v>
      </c>
      <c r="J1542" s="1" t="s">
        <v>17</v>
      </c>
      <c r="K1542" s="1" t="s">
        <v>18</v>
      </c>
      <c r="L1542" s="1" t="s">
        <v>19</v>
      </c>
    </row>
    <row r="1543" spans="1:16" ht="13" x14ac:dyDescent="0.15">
      <c r="A1543" s="1">
        <v>55350</v>
      </c>
      <c r="B1543" s="1">
        <v>0</v>
      </c>
      <c r="C1543" s="1" t="s">
        <v>26</v>
      </c>
      <c r="D1543" s="1" t="s">
        <v>27</v>
      </c>
      <c r="E1543" s="1" t="s">
        <v>3541</v>
      </c>
      <c r="F1543" s="1" t="s">
        <v>368</v>
      </c>
      <c r="G1543" s="1" t="s">
        <v>23</v>
      </c>
      <c r="I1543" s="16">
        <v>40434.226053240738</v>
      </c>
      <c r="J1543" s="1" t="s">
        <v>3542</v>
      </c>
      <c r="K1543" s="1" t="s">
        <v>18</v>
      </c>
      <c r="L1543" s="1" t="s">
        <v>19</v>
      </c>
    </row>
    <row r="1544" spans="1:16" ht="13" x14ac:dyDescent="0.15">
      <c r="A1544" s="1">
        <v>700330</v>
      </c>
      <c r="B1544" s="1">
        <v>0</v>
      </c>
      <c r="C1544" s="1" t="s">
        <v>1742</v>
      </c>
      <c r="D1544" s="1" t="s">
        <v>27</v>
      </c>
      <c r="E1544" s="1" t="s">
        <v>3451</v>
      </c>
      <c r="F1544" s="1" t="s">
        <v>3543</v>
      </c>
      <c r="G1544" s="1" t="s">
        <v>1056</v>
      </c>
      <c r="I1544" s="16">
        <v>42804.45888888889</v>
      </c>
      <c r="J1544" s="1" t="s">
        <v>1301</v>
      </c>
      <c r="K1544" s="1" t="s">
        <v>18</v>
      </c>
      <c r="L1544" s="1" t="s">
        <v>19</v>
      </c>
    </row>
    <row r="1545" spans="1:16" ht="13" x14ac:dyDescent="0.15">
      <c r="A1545" s="1">
        <v>481299</v>
      </c>
      <c r="B1545" s="1">
        <v>0</v>
      </c>
      <c r="D1545" s="1" t="s">
        <v>27</v>
      </c>
      <c r="E1545" s="1" t="s">
        <v>3544</v>
      </c>
      <c r="F1545" s="1" t="s">
        <v>1265</v>
      </c>
      <c r="G1545" s="1" t="s">
        <v>540</v>
      </c>
      <c r="I1545" s="16">
        <v>42119.100451388891</v>
      </c>
      <c r="J1545" s="1" t="s">
        <v>151</v>
      </c>
      <c r="K1545" s="1" t="s">
        <v>18</v>
      </c>
      <c r="L1545" s="1" t="s">
        <v>19</v>
      </c>
    </row>
    <row r="1546" spans="1:16" ht="13" x14ac:dyDescent="0.15">
      <c r="A1546" s="1">
        <v>570427</v>
      </c>
      <c r="B1546" s="1">
        <v>1</v>
      </c>
      <c r="C1546" s="1" t="s">
        <v>3545</v>
      </c>
      <c r="D1546" s="1" t="s">
        <v>27</v>
      </c>
      <c r="E1546" s="1" t="s">
        <v>3546</v>
      </c>
      <c r="F1546" s="1" t="s">
        <v>3547</v>
      </c>
      <c r="G1546" s="1" t="s">
        <v>23</v>
      </c>
      <c r="I1546" s="16">
        <v>42354.84270833333</v>
      </c>
      <c r="J1546" s="1" t="s">
        <v>454</v>
      </c>
      <c r="K1546" s="1" t="s">
        <v>18</v>
      </c>
      <c r="L1546" s="1" t="s">
        <v>19</v>
      </c>
      <c r="M1546" s="1">
        <v>570428</v>
      </c>
      <c r="N1546" s="1" t="s">
        <v>3548</v>
      </c>
      <c r="O1546" s="16">
        <v>42354.842893518522</v>
      </c>
      <c r="P1546" s="1" t="s">
        <v>17</v>
      </c>
    </row>
    <row r="1547" spans="1:16" ht="13" x14ac:dyDescent="0.15">
      <c r="A1547" s="1">
        <v>48282</v>
      </c>
      <c r="B1547" s="1">
        <v>0</v>
      </c>
      <c r="C1547" s="1" t="s">
        <v>26</v>
      </c>
      <c r="D1547" s="1" t="s">
        <v>27</v>
      </c>
      <c r="E1547" s="1" t="s">
        <v>3549</v>
      </c>
      <c r="F1547" s="1" t="s">
        <v>3550</v>
      </c>
      <c r="G1547" s="1" t="s">
        <v>23</v>
      </c>
      <c r="I1547" s="16">
        <v>40363.229988425926</v>
      </c>
      <c r="J1547" s="1" t="s">
        <v>435</v>
      </c>
      <c r="K1547" s="1" t="s">
        <v>18</v>
      </c>
      <c r="L1547" s="1" t="s">
        <v>19</v>
      </c>
    </row>
    <row r="1548" spans="1:16" ht="13" x14ac:dyDescent="0.15">
      <c r="A1548" s="1">
        <v>507272</v>
      </c>
      <c r="B1548" s="1">
        <v>1</v>
      </c>
      <c r="C1548" s="1" t="s">
        <v>137</v>
      </c>
      <c r="D1548" s="1" t="s">
        <v>27</v>
      </c>
      <c r="E1548" s="1" t="s">
        <v>3551</v>
      </c>
      <c r="F1548" s="1" t="s">
        <v>3552</v>
      </c>
      <c r="G1548" s="1" t="s">
        <v>23</v>
      </c>
      <c r="I1548" s="16">
        <v>42191.570254629631</v>
      </c>
      <c r="J1548" s="1" t="s">
        <v>3553</v>
      </c>
      <c r="K1548" s="1" t="s">
        <v>18</v>
      </c>
      <c r="L1548" s="1" t="s">
        <v>19</v>
      </c>
      <c r="M1548" s="1">
        <v>507465</v>
      </c>
      <c r="N1548" s="1" t="s">
        <v>3554</v>
      </c>
      <c r="O1548" s="16">
        <v>42191.94872685185</v>
      </c>
      <c r="P1548" s="1" t="s">
        <v>3555</v>
      </c>
    </row>
    <row r="1549" spans="1:16" ht="13" x14ac:dyDescent="0.15">
      <c r="A1549" s="1">
        <v>31880</v>
      </c>
      <c r="B1549" s="1">
        <v>0</v>
      </c>
      <c r="C1549" s="1" t="s">
        <v>170</v>
      </c>
      <c r="D1549" s="1" t="s">
        <v>27</v>
      </c>
      <c r="E1549" s="1" t="s">
        <v>3556</v>
      </c>
      <c r="F1549" s="1" t="s">
        <v>2520</v>
      </c>
      <c r="I1549" s="16">
        <v>40187.230208333334</v>
      </c>
      <c r="J1549" s="1" t="s">
        <v>398</v>
      </c>
      <c r="K1549" s="1" t="s">
        <v>18</v>
      </c>
      <c r="L1549" s="1" t="s">
        <v>19</v>
      </c>
    </row>
    <row r="1550" spans="1:16" ht="13" x14ac:dyDescent="0.15">
      <c r="A1550" s="1">
        <v>101235</v>
      </c>
      <c r="B1550" s="1">
        <v>0</v>
      </c>
      <c r="C1550" s="1" t="s">
        <v>3557</v>
      </c>
      <c r="D1550" s="1" t="s">
        <v>27</v>
      </c>
      <c r="E1550" s="1" t="s">
        <v>3558</v>
      </c>
      <c r="F1550" s="1" t="s">
        <v>3559</v>
      </c>
      <c r="G1550" s="1" t="s">
        <v>23</v>
      </c>
      <c r="I1550" s="16">
        <v>40838.072106481479</v>
      </c>
      <c r="J1550" s="1" t="s">
        <v>3560</v>
      </c>
      <c r="K1550" s="1" t="s">
        <v>18</v>
      </c>
      <c r="L1550" s="1" t="s">
        <v>19</v>
      </c>
    </row>
    <row r="1551" spans="1:16" ht="13" x14ac:dyDescent="0.15">
      <c r="A1551" s="1">
        <v>51739</v>
      </c>
      <c r="B1551" s="1">
        <v>0</v>
      </c>
      <c r="C1551" s="1" t="s">
        <v>26</v>
      </c>
      <c r="D1551" s="1" t="s">
        <v>27</v>
      </c>
      <c r="E1551" s="1" t="s">
        <v>3561</v>
      </c>
      <c r="F1551" s="1" t="s">
        <v>3562</v>
      </c>
      <c r="I1551" s="16">
        <v>40400.999050925922</v>
      </c>
      <c r="J1551" s="1" t="s">
        <v>98</v>
      </c>
      <c r="K1551" s="1" t="s">
        <v>18</v>
      </c>
      <c r="L1551" s="1" t="s">
        <v>19</v>
      </c>
    </row>
    <row r="1552" spans="1:16" ht="13" x14ac:dyDescent="0.15">
      <c r="A1552" s="1">
        <v>85211</v>
      </c>
      <c r="B1552" s="1">
        <v>0</v>
      </c>
      <c r="C1552" s="1" t="s">
        <v>26</v>
      </c>
      <c r="D1552" s="1" t="s">
        <v>27</v>
      </c>
      <c r="E1552" s="1" t="s">
        <v>2758</v>
      </c>
      <c r="F1552" s="1" t="s">
        <v>3563</v>
      </c>
      <c r="G1552" s="1" t="s">
        <v>23</v>
      </c>
      <c r="I1552" s="16">
        <v>40701.762615740743</v>
      </c>
      <c r="J1552" s="1" t="s">
        <v>44</v>
      </c>
      <c r="K1552" s="1" t="s">
        <v>18</v>
      </c>
      <c r="L1552" s="1" t="s">
        <v>19</v>
      </c>
    </row>
    <row r="1553" spans="1:16" ht="13" x14ac:dyDescent="0.15">
      <c r="A1553" s="1">
        <v>225979</v>
      </c>
      <c r="B1553" s="1">
        <v>0</v>
      </c>
      <c r="C1553" s="1" t="s">
        <v>26</v>
      </c>
      <c r="D1553" s="1" t="s">
        <v>27</v>
      </c>
      <c r="E1553" s="1" t="s">
        <v>3564</v>
      </c>
      <c r="F1553" s="1" t="s">
        <v>529</v>
      </c>
      <c r="G1553" s="1" t="s">
        <v>23</v>
      </c>
      <c r="I1553" s="16">
        <v>41367.092627314814</v>
      </c>
      <c r="J1553" s="1" t="s">
        <v>40</v>
      </c>
      <c r="K1553" s="1" t="s">
        <v>18</v>
      </c>
      <c r="L1553" s="1" t="s">
        <v>19</v>
      </c>
    </row>
    <row r="1554" spans="1:16" ht="13" x14ac:dyDescent="0.15">
      <c r="A1554" s="1">
        <v>84946</v>
      </c>
      <c r="B1554" s="1">
        <v>0</v>
      </c>
      <c r="C1554" s="1" t="s">
        <v>26</v>
      </c>
      <c r="D1554" s="1" t="s">
        <v>27</v>
      </c>
      <c r="E1554" s="1" t="s">
        <v>3565</v>
      </c>
      <c r="F1554" s="1" t="s">
        <v>3566</v>
      </c>
      <c r="G1554" s="1" t="s">
        <v>23</v>
      </c>
      <c r="I1554" s="16">
        <v>40698.704375000001</v>
      </c>
      <c r="J1554" s="1" t="s">
        <v>40</v>
      </c>
      <c r="K1554" s="1" t="s">
        <v>18</v>
      </c>
      <c r="L1554" s="1" t="s">
        <v>19</v>
      </c>
    </row>
    <row r="1555" spans="1:16" ht="13" x14ac:dyDescent="0.15">
      <c r="A1555" s="1">
        <v>629919</v>
      </c>
      <c r="B1555" s="1">
        <v>0</v>
      </c>
      <c r="C1555" s="1" t="s">
        <v>12</v>
      </c>
      <c r="D1555" s="1" t="s">
        <v>27</v>
      </c>
      <c r="E1555" s="1" t="s">
        <v>3567</v>
      </c>
      <c r="F1555" s="1" t="s">
        <v>3568</v>
      </c>
      <c r="G1555" s="1" t="s">
        <v>23</v>
      </c>
      <c r="I1555" s="16">
        <v>42571.788888888892</v>
      </c>
      <c r="J1555" s="1" t="s">
        <v>632</v>
      </c>
      <c r="K1555" s="1" t="s">
        <v>18</v>
      </c>
      <c r="L1555" s="1" t="s">
        <v>19</v>
      </c>
    </row>
    <row r="1556" spans="1:16" ht="13" x14ac:dyDescent="0.15">
      <c r="A1556" s="1">
        <v>121734</v>
      </c>
      <c r="B1556" s="1">
        <v>1</v>
      </c>
      <c r="C1556" s="1" t="s">
        <v>2454</v>
      </c>
      <c r="D1556" s="1" t="s">
        <v>27</v>
      </c>
      <c r="E1556" s="1" t="s">
        <v>3569</v>
      </c>
      <c r="F1556" s="1" t="s">
        <v>3570</v>
      </c>
      <c r="G1556" s="1" t="s">
        <v>23</v>
      </c>
      <c r="I1556" s="16">
        <v>41002.794328703705</v>
      </c>
      <c r="J1556" s="1" t="s">
        <v>40</v>
      </c>
      <c r="K1556" s="1" t="s">
        <v>18</v>
      </c>
      <c r="L1556" s="1" t="s">
        <v>19</v>
      </c>
      <c r="M1556" s="1">
        <v>122055</v>
      </c>
      <c r="N1556" s="1" t="s">
        <v>3571</v>
      </c>
      <c r="O1556" s="16">
        <v>41003.967812499999</v>
      </c>
      <c r="P1556" s="1" t="s">
        <v>85</v>
      </c>
    </row>
    <row r="1557" spans="1:16" ht="13" x14ac:dyDescent="0.15">
      <c r="A1557" s="1">
        <v>56144</v>
      </c>
      <c r="B1557" s="1">
        <v>0</v>
      </c>
      <c r="C1557" s="1" t="s">
        <v>26</v>
      </c>
      <c r="D1557" s="1" t="s">
        <v>27</v>
      </c>
      <c r="E1557" s="1" t="s">
        <v>3572</v>
      </c>
      <c r="F1557" s="1" t="s">
        <v>112</v>
      </c>
      <c r="G1557" s="1" t="s">
        <v>23</v>
      </c>
      <c r="I1557" s="16">
        <v>40439.843263888892</v>
      </c>
      <c r="J1557" s="1" t="s">
        <v>40</v>
      </c>
      <c r="K1557" s="1" t="s">
        <v>18</v>
      </c>
      <c r="L1557" s="1" t="s">
        <v>19</v>
      </c>
    </row>
    <row r="1558" spans="1:16" ht="13" x14ac:dyDescent="0.15">
      <c r="A1558" s="1">
        <v>492052</v>
      </c>
      <c r="B1558" s="1">
        <v>0</v>
      </c>
      <c r="C1558" s="1" t="s">
        <v>829</v>
      </c>
      <c r="D1558" s="1" t="s">
        <v>27</v>
      </c>
      <c r="E1558" s="1" t="s">
        <v>3573</v>
      </c>
      <c r="F1558" s="1" t="s">
        <v>3574</v>
      </c>
      <c r="I1558" s="16">
        <v>42150.296365740738</v>
      </c>
      <c r="J1558" s="1" t="s">
        <v>1457</v>
      </c>
      <c r="K1558" s="1" t="s">
        <v>18</v>
      </c>
      <c r="L1558" s="1" t="s">
        <v>19</v>
      </c>
    </row>
    <row r="1559" spans="1:16" ht="13" x14ac:dyDescent="0.15">
      <c r="A1559" s="1">
        <v>61158</v>
      </c>
      <c r="B1559" s="1">
        <v>0</v>
      </c>
      <c r="C1559" s="1" t="s">
        <v>26</v>
      </c>
      <c r="D1559" s="1" t="s">
        <v>27</v>
      </c>
      <c r="E1559" s="1" t="s">
        <v>3575</v>
      </c>
      <c r="F1559" s="1" t="s">
        <v>1173</v>
      </c>
      <c r="G1559" s="1" t="s">
        <v>23</v>
      </c>
      <c r="I1559" s="16">
        <v>40479.977685185186</v>
      </c>
      <c r="J1559" s="1" t="s">
        <v>40</v>
      </c>
      <c r="K1559" s="1" t="s">
        <v>18</v>
      </c>
      <c r="L1559" s="1" t="s">
        <v>19</v>
      </c>
    </row>
    <row r="1560" spans="1:16" ht="13" x14ac:dyDescent="0.15">
      <c r="A1560" s="1">
        <v>73962</v>
      </c>
      <c r="B1560" s="1">
        <v>0</v>
      </c>
      <c r="C1560" s="1" t="s">
        <v>133</v>
      </c>
      <c r="D1560" s="1" t="s">
        <v>27</v>
      </c>
      <c r="E1560" s="1" t="s">
        <v>3576</v>
      </c>
      <c r="F1560" s="1" t="s">
        <v>3577</v>
      </c>
      <c r="G1560" s="1" t="s">
        <v>23</v>
      </c>
      <c r="I1560" s="16">
        <v>40598.232974537037</v>
      </c>
      <c r="J1560" s="1" t="s">
        <v>44</v>
      </c>
      <c r="K1560" s="1" t="s">
        <v>18</v>
      </c>
      <c r="L1560" s="1" t="s">
        <v>19</v>
      </c>
    </row>
    <row r="1561" spans="1:16" ht="13" x14ac:dyDescent="0.15">
      <c r="A1561" s="1">
        <v>69275</v>
      </c>
      <c r="B1561" s="1">
        <v>0</v>
      </c>
      <c r="C1561" s="1" t="s">
        <v>26</v>
      </c>
      <c r="D1561" s="1" t="s">
        <v>27</v>
      </c>
      <c r="E1561" s="1" t="s">
        <v>3578</v>
      </c>
      <c r="F1561" s="1" t="s">
        <v>166</v>
      </c>
      <c r="G1561" s="1" t="s">
        <v>23</v>
      </c>
      <c r="I1561" s="16">
        <v>40554.815740740742</v>
      </c>
      <c r="J1561" s="1" t="s">
        <v>40</v>
      </c>
      <c r="K1561" s="1" t="s">
        <v>18</v>
      </c>
      <c r="L1561" s="1" t="s">
        <v>19</v>
      </c>
    </row>
    <row r="1562" spans="1:16" ht="13" x14ac:dyDescent="0.15">
      <c r="A1562" s="1">
        <v>527423</v>
      </c>
      <c r="B1562" s="1">
        <v>0</v>
      </c>
      <c r="C1562" s="1" t="s">
        <v>1551</v>
      </c>
      <c r="D1562" s="1" t="s">
        <v>27</v>
      </c>
      <c r="E1562" s="1" t="s">
        <v>3579</v>
      </c>
      <c r="F1562" s="1" t="s">
        <v>3580</v>
      </c>
      <c r="G1562" s="1" t="s">
        <v>23</v>
      </c>
      <c r="I1562" s="16">
        <v>42249.594201388885</v>
      </c>
      <c r="J1562" s="1" t="s">
        <v>1026</v>
      </c>
      <c r="K1562" s="1" t="s">
        <v>18</v>
      </c>
      <c r="L1562" s="1" t="s">
        <v>19</v>
      </c>
    </row>
    <row r="1563" spans="1:16" ht="13" x14ac:dyDescent="0.15">
      <c r="A1563" s="1">
        <v>465426</v>
      </c>
      <c r="B1563" s="1">
        <v>0</v>
      </c>
      <c r="D1563" s="1" t="s">
        <v>27</v>
      </c>
      <c r="E1563" s="1" t="s">
        <v>3581</v>
      </c>
      <c r="F1563" s="1" t="s">
        <v>3582</v>
      </c>
      <c r="G1563" s="1" t="s">
        <v>23</v>
      </c>
      <c r="I1563" s="16">
        <v>42072.782106481478</v>
      </c>
      <c r="J1563" s="1" t="s">
        <v>17</v>
      </c>
      <c r="K1563" s="1" t="s">
        <v>18</v>
      </c>
      <c r="L1563" s="1" t="s">
        <v>19</v>
      </c>
    </row>
    <row r="1564" spans="1:16" ht="13" x14ac:dyDescent="0.15">
      <c r="A1564" s="1">
        <v>465557</v>
      </c>
      <c r="B1564" s="1">
        <v>0</v>
      </c>
      <c r="D1564" s="1" t="s">
        <v>27</v>
      </c>
      <c r="E1564" s="1" t="s">
        <v>3583</v>
      </c>
      <c r="F1564" s="1" t="s">
        <v>3584</v>
      </c>
      <c r="G1564" s="1" t="s">
        <v>3585</v>
      </c>
      <c r="I1564" s="16">
        <v>42072.98542824074</v>
      </c>
      <c r="J1564" s="1" t="s">
        <v>2718</v>
      </c>
      <c r="K1564" s="1" t="s">
        <v>3586</v>
      </c>
      <c r="L1564" s="1" t="s">
        <v>19</v>
      </c>
    </row>
    <row r="1565" spans="1:16" ht="13" x14ac:dyDescent="0.15">
      <c r="A1565" s="1">
        <v>55119</v>
      </c>
      <c r="B1565" s="1">
        <v>0</v>
      </c>
      <c r="C1565" s="1" t="s">
        <v>170</v>
      </c>
      <c r="D1565" s="1" t="s">
        <v>27</v>
      </c>
      <c r="E1565" s="1" t="s">
        <v>3587</v>
      </c>
      <c r="F1565" s="1" t="s">
        <v>3588</v>
      </c>
      <c r="G1565" s="1" t="s">
        <v>23</v>
      </c>
      <c r="I1565" s="16">
        <v>40431.711192129631</v>
      </c>
      <c r="J1565" s="1" t="s">
        <v>702</v>
      </c>
      <c r="K1565" s="1" t="s">
        <v>3586</v>
      </c>
      <c r="L1565" s="1" t="s">
        <v>19</v>
      </c>
    </row>
    <row r="1566" spans="1:16" ht="13" x14ac:dyDescent="0.15">
      <c r="A1566" s="1">
        <v>46018</v>
      </c>
      <c r="B1566" s="1">
        <v>0</v>
      </c>
      <c r="C1566" s="1" t="s">
        <v>3589</v>
      </c>
      <c r="D1566" s="1" t="s">
        <v>27</v>
      </c>
      <c r="E1566" s="1" t="s">
        <v>3590</v>
      </c>
      <c r="F1566" s="1" t="s">
        <v>3591</v>
      </c>
      <c r="G1566" s="1" t="s">
        <v>23</v>
      </c>
      <c r="I1566" s="16">
        <v>40336.847094907411</v>
      </c>
      <c r="J1566" s="1" t="s">
        <v>2199</v>
      </c>
      <c r="K1566" s="1" t="s">
        <v>3586</v>
      </c>
      <c r="L1566" s="1" t="s">
        <v>19</v>
      </c>
    </row>
    <row r="1567" spans="1:16" ht="13" x14ac:dyDescent="0.15">
      <c r="A1567" s="1">
        <v>82873</v>
      </c>
      <c r="B1567" s="1">
        <v>1</v>
      </c>
      <c r="C1567" s="1" t="s">
        <v>537</v>
      </c>
      <c r="D1567" s="1" t="s">
        <v>27</v>
      </c>
      <c r="E1567" s="1" t="s">
        <v>3592</v>
      </c>
      <c r="F1567" s="1" t="s">
        <v>3593</v>
      </c>
      <c r="G1567" s="1" t="s">
        <v>23</v>
      </c>
      <c r="I1567" s="16">
        <v>40680.145810185182</v>
      </c>
      <c r="J1567" s="1" t="s">
        <v>40</v>
      </c>
      <c r="K1567" s="1" t="s">
        <v>3586</v>
      </c>
      <c r="L1567" s="1" t="s">
        <v>19</v>
      </c>
      <c r="M1567" s="1">
        <v>83297</v>
      </c>
      <c r="N1567" s="1" t="s">
        <v>3594</v>
      </c>
      <c r="O1567" s="16">
        <v>40682.912418981483</v>
      </c>
      <c r="P1567" s="1" t="s">
        <v>3395</v>
      </c>
    </row>
    <row r="1568" spans="1:16" ht="13" x14ac:dyDescent="0.15">
      <c r="A1568" s="1">
        <v>26179</v>
      </c>
      <c r="B1568" s="1">
        <v>0</v>
      </c>
      <c r="D1568" s="1" t="s">
        <v>27</v>
      </c>
      <c r="E1568" s="1" t="s">
        <v>3595</v>
      </c>
      <c r="F1568" s="1" t="s">
        <v>3596</v>
      </c>
      <c r="G1568" s="1" t="s">
        <v>23</v>
      </c>
      <c r="I1568" s="16">
        <v>40115.159143518518</v>
      </c>
      <c r="J1568" s="1" t="s">
        <v>151</v>
      </c>
      <c r="K1568" s="1" t="s">
        <v>3586</v>
      </c>
      <c r="L1568" s="1" t="s">
        <v>19</v>
      </c>
    </row>
    <row r="1569" spans="1:20" ht="13" x14ac:dyDescent="0.15">
      <c r="A1569" s="1">
        <v>698622</v>
      </c>
      <c r="B1569" s="1">
        <v>0</v>
      </c>
      <c r="C1569" s="1" t="s">
        <v>953</v>
      </c>
      <c r="D1569" s="1" t="s">
        <v>27</v>
      </c>
      <c r="E1569" s="1" t="s">
        <v>3597</v>
      </c>
      <c r="F1569" s="1" t="s">
        <v>3598</v>
      </c>
      <c r="G1569" s="1" t="s">
        <v>813</v>
      </c>
      <c r="I1569" s="16">
        <v>42800.086261574077</v>
      </c>
      <c r="J1569" s="1" t="s">
        <v>508</v>
      </c>
      <c r="K1569" s="1" t="s">
        <v>3586</v>
      </c>
      <c r="L1569" s="1" t="s">
        <v>19</v>
      </c>
    </row>
    <row r="1570" spans="1:20" ht="13" x14ac:dyDescent="0.15">
      <c r="A1570" s="1">
        <v>98089</v>
      </c>
      <c r="B1570" s="1">
        <v>0</v>
      </c>
      <c r="C1570" s="1" t="s">
        <v>3599</v>
      </c>
      <c r="D1570" s="1" t="s">
        <v>27</v>
      </c>
      <c r="E1570" s="1" t="s">
        <v>3600</v>
      </c>
      <c r="F1570" s="1" t="s">
        <v>3601</v>
      </c>
      <c r="G1570" s="1" t="s">
        <v>159</v>
      </c>
      <c r="I1570" s="16">
        <v>40812.886053240742</v>
      </c>
      <c r="J1570" s="1" t="s">
        <v>3602</v>
      </c>
      <c r="K1570" s="1" t="s">
        <v>3586</v>
      </c>
      <c r="L1570" s="1" t="s">
        <v>19</v>
      </c>
    </row>
    <row r="1571" spans="1:20" ht="13" x14ac:dyDescent="0.15">
      <c r="A1571" s="1">
        <v>664551</v>
      </c>
      <c r="B1571" s="1">
        <v>0</v>
      </c>
      <c r="D1571" s="1" t="s">
        <v>27</v>
      </c>
      <c r="E1571" s="1" t="s">
        <v>3603</v>
      </c>
      <c r="F1571" s="1" t="s">
        <v>3604</v>
      </c>
      <c r="G1571" s="1" t="s">
        <v>353</v>
      </c>
      <c r="I1571" s="16">
        <v>42685.734432870369</v>
      </c>
      <c r="J1571" s="1" t="s">
        <v>155</v>
      </c>
      <c r="K1571" s="1" t="s">
        <v>3586</v>
      </c>
      <c r="L1571" s="1" t="s">
        <v>19</v>
      </c>
    </row>
    <row r="1572" spans="1:20" ht="13" x14ac:dyDescent="0.15">
      <c r="A1572" s="1">
        <v>14508</v>
      </c>
      <c r="B1572" s="1">
        <v>0</v>
      </c>
      <c r="C1572" s="1" t="s">
        <v>170</v>
      </c>
      <c r="D1572" s="1" t="s">
        <v>27</v>
      </c>
      <c r="E1572" s="1" t="s">
        <v>3605</v>
      </c>
      <c r="F1572" s="1" t="s">
        <v>3606</v>
      </c>
      <c r="G1572" s="1" t="s">
        <v>23</v>
      </c>
      <c r="I1572" s="16">
        <v>39982.170439814814</v>
      </c>
      <c r="J1572" s="1" t="s">
        <v>151</v>
      </c>
      <c r="K1572" s="1" t="s">
        <v>3586</v>
      </c>
      <c r="L1572" s="1" t="s">
        <v>19</v>
      </c>
    </row>
    <row r="1573" spans="1:20" ht="13" x14ac:dyDescent="0.15">
      <c r="A1573" s="1">
        <v>659489</v>
      </c>
      <c r="B1573" s="1">
        <v>0</v>
      </c>
      <c r="C1573" s="1" t="s">
        <v>927</v>
      </c>
      <c r="D1573" s="1" t="s">
        <v>27</v>
      </c>
      <c r="E1573" s="1" t="s">
        <v>3607</v>
      </c>
      <c r="F1573" s="1" t="s">
        <v>3608</v>
      </c>
      <c r="G1573" s="1" t="s">
        <v>3609</v>
      </c>
      <c r="I1573" s="16">
        <v>42669.283946759257</v>
      </c>
      <c r="J1573" s="1" t="s">
        <v>24</v>
      </c>
      <c r="K1573" s="1" t="s">
        <v>3586</v>
      </c>
      <c r="L1573" s="1" t="s">
        <v>19</v>
      </c>
    </row>
    <row r="1574" spans="1:20" ht="13" x14ac:dyDescent="0.15">
      <c r="A1574" s="1">
        <v>50428</v>
      </c>
      <c r="B1574" s="1">
        <v>0</v>
      </c>
      <c r="C1574" s="1" t="s">
        <v>2709</v>
      </c>
      <c r="D1574" s="1" t="s">
        <v>27</v>
      </c>
      <c r="E1574" s="1" t="s">
        <v>3610</v>
      </c>
      <c r="F1574" s="1" t="s">
        <v>3591</v>
      </c>
      <c r="G1574" s="1" t="s">
        <v>23</v>
      </c>
      <c r="I1574" s="16">
        <v>40386.935208333336</v>
      </c>
      <c r="J1574" s="1" t="s">
        <v>1435</v>
      </c>
      <c r="K1574" s="1" t="s">
        <v>3586</v>
      </c>
      <c r="L1574" s="1" t="s">
        <v>19</v>
      </c>
    </row>
    <row r="1575" spans="1:20" ht="13" x14ac:dyDescent="0.15">
      <c r="A1575" s="1">
        <v>484270</v>
      </c>
      <c r="B1575" s="1">
        <v>0</v>
      </c>
      <c r="C1575" s="1" t="s">
        <v>1545</v>
      </c>
      <c r="D1575" s="1" t="s">
        <v>27</v>
      </c>
      <c r="E1575" s="1" t="s">
        <v>3611</v>
      </c>
      <c r="F1575" s="1" t="s">
        <v>3612</v>
      </c>
      <c r="I1575" s="16">
        <v>42128.735092592593</v>
      </c>
      <c r="J1575" s="1" t="s">
        <v>1026</v>
      </c>
      <c r="K1575" s="1" t="s">
        <v>3586</v>
      </c>
      <c r="L1575" s="1" t="s">
        <v>19</v>
      </c>
    </row>
    <row r="1576" spans="1:20" ht="13" x14ac:dyDescent="0.15">
      <c r="A1576" s="1">
        <v>352369</v>
      </c>
      <c r="B1576" s="1">
        <v>0</v>
      </c>
      <c r="D1576" s="1" t="s">
        <v>27</v>
      </c>
      <c r="E1576" s="1" t="s">
        <v>3613</v>
      </c>
      <c r="F1576" s="1" t="s">
        <v>3614</v>
      </c>
      <c r="G1576" s="1" t="s">
        <v>23</v>
      </c>
      <c r="I1576" s="16">
        <v>41711.933958333335</v>
      </c>
      <c r="J1576" s="1" t="s">
        <v>40</v>
      </c>
      <c r="K1576" s="1" t="s">
        <v>3586</v>
      </c>
      <c r="L1576" s="1" t="s">
        <v>19</v>
      </c>
    </row>
    <row r="1577" spans="1:20" ht="13" x14ac:dyDescent="0.15">
      <c r="A1577" s="1">
        <v>659474</v>
      </c>
      <c r="B1577" s="1">
        <v>0</v>
      </c>
      <c r="C1577" s="1" t="s">
        <v>101</v>
      </c>
      <c r="D1577" s="1" t="s">
        <v>27</v>
      </c>
      <c r="E1577" s="1" t="s">
        <v>3615</v>
      </c>
      <c r="F1577" s="1" t="s">
        <v>3616</v>
      </c>
      <c r="G1577" s="1" t="s">
        <v>2124</v>
      </c>
      <c r="I1577" s="16">
        <v>42669.221689814818</v>
      </c>
      <c r="J1577" s="1" t="s">
        <v>40</v>
      </c>
      <c r="K1577" s="1" t="s">
        <v>3586</v>
      </c>
      <c r="L1577" s="1" t="s">
        <v>19</v>
      </c>
    </row>
    <row r="1578" spans="1:20" ht="13" x14ac:dyDescent="0.15">
      <c r="A1578" s="1">
        <v>53142</v>
      </c>
      <c r="B1578" s="1">
        <v>0</v>
      </c>
      <c r="D1578" s="1" t="s">
        <v>27</v>
      </c>
      <c r="E1578" s="1" t="s">
        <v>3617</v>
      </c>
      <c r="F1578" s="1" t="s">
        <v>3618</v>
      </c>
      <c r="I1578" s="16">
        <v>40413.975925925923</v>
      </c>
      <c r="J1578" s="1" t="s">
        <v>151</v>
      </c>
      <c r="K1578" s="1" t="s">
        <v>3586</v>
      </c>
      <c r="L1578" s="1" t="s">
        <v>19</v>
      </c>
    </row>
    <row r="1579" spans="1:20" ht="13" x14ac:dyDescent="0.15">
      <c r="A1579" s="1">
        <v>460145</v>
      </c>
      <c r="B1579" s="1">
        <v>0</v>
      </c>
      <c r="D1579" s="1" t="s">
        <v>27</v>
      </c>
      <c r="E1579" s="1" t="s">
        <v>3619</v>
      </c>
      <c r="F1579" s="1" t="s">
        <v>3620</v>
      </c>
      <c r="I1579" s="16">
        <v>42054.787534722222</v>
      </c>
      <c r="J1579" s="1" t="s">
        <v>3621</v>
      </c>
      <c r="K1579" s="1" t="s">
        <v>3586</v>
      </c>
      <c r="L1579" s="1" t="s">
        <v>19</v>
      </c>
    </row>
    <row r="1580" spans="1:20" ht="13" x14ac:dyDescent="0.15">
      <c r="A1580" s="1">
        <v>108871</v>
      </c>
      <c r="B1580" s="1">
        <v>1</v>
      </c>
      <c r="C1580" s="1" t="s">
        <v>2454</v>
      </c>
      <c r="D1580" s="1" t="s">
        <v>27</v>
      </c>
      <c r="E1580" s="1" t="s">
        <v>3622</v>
      </c>
      <c r="F1580" s="1" t="s">
        <v>3623</v>
      </c>
      <c r="G1580" s="1" t="s">
        <v>23</v>
      </c>
      <c r="I1580" s="16">
        <v>40907.795567129629</v>
      </c>
      <c r="J1580" s="1" t="s">
        <v>3624</v>
      </c>
      <c r="K1580" s="1" t="s">
        <v>3586</v>
      </c>
      <c r="L1580" s="1" t="s">
        <v>19</v>
      </c>
      <c r="M1580" s="1">
        <v>110372</v>
      </c>
      <c r="N1580" s="1" t="s">
        <v>3625</v>
      </c>
      <c r="O1580" s="16">
        <v>40924.564826388887</v>
      </c>
      <c r="P1580" s="1" t="s">
        <v>3626</v>
      </c>
    </row>
    <row r="1581" spans="1:20" ht="13" x14ac:dyDescent="0.15">
      <c r="A1581" s="1">
        <v>122654</v>
      </c>
      <c r="B1581" s="1">
        <v>2</v>
      </c>
      <c r="C1581" s="1" t="s">
        <v>170</v>
      </c>
      <c r="D1581" s="1" t="s">
        <v>27</v>
      </c>
      <c r="E1581" s="1" t="s">
        <v>3627</v>
      </c>
      <c r="F1581" s="1" t="s">
        <v>3628</v>
      </c>
      <c r="G1581" s="1" t="s">
        <v>23</v>
      </c>
      <c r="I1581" s="16">
        <v>41008.759004629632</v>
      </c>
      <c r="J1581" s="1" t="s">
        <v>641</v>
      </c>
      <c r="K1581" s="1" t="s">
        <v>3586</v>
      </c>
      <c r="L1581" s="1" t="s">
        <v>19</v>
      </c>
      <c r="M1581" s="1">
        <v>128339</v>
      </c>
      <c r="N1581" s="1" t="s">
        <v>3629</v>
      </c>
      <c r="O1581" s="16">
        <v>41045.534791666665</v>
      </c>
      <c r="P1581" s="1" t="s">
        <v>3630</v>
      </c>
      <c r="Q1581" s="1">
        <v>124242</v>
      </c>
      <c r="R1581" s="1" t="s">
        <v>3629</v>
      </c>
      <c r="S1581" s="2">
        <v>41018.735821759263</v>
      </c>
      <c r="T1581" s="1" t="s">
        <v>3631</v>
      </c>
    </row>
    <row r="1582" spans="1:20" ht="13" x14ac:dyDescent="0.15">
      <c r="A1582" s="1">
        <v>125159</v>
      </c>
      <c r="B1582" s="1">
        <v>0</v>
      </c>
      <c r="C1582" s="1" t="s">
        <v>3632</v>
      </c>
      <c r="D1582" s="1" t="s">
        <v>27</v>
      </c>
      <c r="E1582" s="1" t="s">
        <v>3633</v>
      </c>
      <c r="F1582" s="1" t="s">
        <v>3634</v>
      </c>
      <c r="G1582" s="1" t="s">
        <v>23</v>
      </c>
      <c r="I1582" s="16">
        <v>41025.40929398148</v>
      </c>
      <c r="J1582" s="1" t="s">
        <v>3635</v>
      </c>
      <c r="K1582" s="1" t="s">
        <v>3586</v>
      </c>
      <c r="L1582" s="1" t="s">
        <v>19</v>
      </c>
    </row>
    <row r="1583" spans="1:20" ht="13" x14ac:dyDescent="0.15">
      <c r="A1583" s="1">
        <v>319117</v>
      </c>
      <c r="B1583" s="1">
        <v>0</v>
      </c>
      <c r="C1583" s="1" t="s">
        <v>170</v>
      </c>
      <c r="D1583" s="1" t="s">
        <v>27</v>
      </c>
      <c r="E1583" s="1" t="s">
        <v>3636</v>
      </c>
      <c r="F1583" s="1" t="s">
        <v>3637</v>
      </c>
      <c r="G1583" s="1" t="s">
        <v>23</v>
      </c>
      <c r="I1583" s="16">
        <v>41592.204629629632</v>
      </c>
      <c r="J1583" s="1" t="s">
        <v>151</v>
      </c>
      <c r="K1583" s="1" t="s">
        <v>3586</v>
      </c>
      <c r="L1583" s="1" t="s">
        <v>19</v>
      </c>
    </row>
    <row r="1584" spans="1:20" ht="13" x14ac:dyDescent="0.15">
      <c r="A1584" s="1">
        <v>558589</v>
      </c>
      <c r="B1584" s="1">
        <v>0</v>
      </c>
      <c r="C1584" s="1" t="s">
        <v>2032</v>
      </c>
      <c r="D1584" s="1" t="s">
        <v>27</v>
      </c>
      <c r="E1584" s="1" t="s">
        <v>3638</v>
      </c>
      <c r="F1584" s="1" t="s">
        <v>3639</v>
      </c>
      <c r="G1584" s="1" t="s">
        <v>23</v>
      </c>
      <c r="I1584" s="16">
        <v>42327.845671296294</v>
      </c>
      <c r="J1584" s="1" t="s">
        <v>469</v>
      </c>
      <c r="K1584" s="1" t="s">
        <v>3586</v>
      </c>
      <c r="L1584" s="1" t="s">
        <v>19</v>
      </c>
    </row>
    <row r="1585" spans="1:16" ht="13" x14ac:dyDescent="0.15">
      <c r="A1585" s="1">
        <v>160803</v>
      </c>
      <c r="B1585" s="1">
        <v>0</v>
      </c>
      <c r="C1585" s="1" t="s">
        <v>170</v>
      </c>
      <c r="D1585" s="1" t="s">
        <v>27</v>
      </c>
      <c r="E1585" s="1" t="s">
        <v>3640</v>
      </c>
      <c r="F1585" s="1" t="s">
        <v>3641</v>
      </c>
      <c r="G1585" s="1" t="s">
        <v>23</v>
      </c>
      <c r="I1585" s="16">
        <v>41226.891828703701</v>
      </c>
      <c r="J1585" s="1" t="s">
        <v>106</v>
      </c>
      <c r="K1585" s="1" t="s">
        <v>3586</v>
      </c>
      <c r="L1585" s="1" t="s">
        <v>19</v>
      </c>
    </row>
    <row r="1586" spans="1:16" ht="13" x14ac:dyDescent="0.15">
      <c r="A1586" s="1">
        <v>75629</v>
      </c>
      <c r="B1586" s="1">
        <v>0</v>
      </c>
      <c r="C1586" s="1" t="s">
        <v>1682</v>
      </c>
      <c r="D1586" s="1" t="s">
        <v>27</v>
      </c>
      <c r="E1586" s="1" t="s">
        <v>3642</v>
      </c>
      <c r="F1586" s="1" t="s">
        <v>3643</v>
      </c>
      <c r="I1586" s="16">
        <v>40612.686157407406</v>
      </c>
      <c r="J1586" s="1" t="s">
        <v>40</v>
      </c>
      <c r="K1586" s="1" t="s">
        <v>3586</v>
      </c>
      <c r="L1586" s="1" t="s">
        <v>19</v>
      </c>
    </row>
    <row r="1587" spans="1:16" ht="13" x14ac:dyDescent="0.15">
      <c r="A1587" s="1">
        <v>147499</v>
      </c>
      <c r="B1587" s="1">
        <v>0</v>
      </c>
      <c r="C1587" s="1" t="s">
        <v>3644</v>
      </c>
      <c r="D1587" s="1" t="s">
        <v>27</v>
      </c>
      <c r="E1587" s="1" t="s">
        <v>3645</v>
      </c>
      <c r="F1587" s="1" t="s">
        <v>3646</v>
      </c>
      <c r="G1587" s="1" t="s">
        <v>23</v>
      </c>
      <c r="I1587" s="16">
        <v>41161.884930555556</v>
      </c>
      <c r="J1587" s="1" t="s">
        <v>408</v>
      </c>
      <c r="K1587" s="1" t="s">
        <v>3586</v>
      </c>
      <c r="L1587" s="1" t="s">
        <v>19</v>
      </c>
    </row>
    <row r="1588" spans="1:16" ht="13" x14ac:dyDescent="0.15">
      <c r="A1588" s="1">
        <v>576383</v>
      </c>
      <c r="B1588" s="1">
        <v>0</v>
      </c>
      <c r="C1588" s="1" t="s">
        <v>50</v>
      </c>
      <c r="D1588" s="1" t="s">
        <v>27</v>
      </c>
      <c r="E1588" s="1" t="s">
        <v>3647</v>
      </c>
      <c r="F1588" s="1" t="s">
        <v>3648</v>
      </c>
      <c r="G1588" s="1" t="s">
        <v>16</v>
      </c>
      <c r="I1588" s="16">
        <v>42380.872071759259</v>
      </c>
      <c r="J1588" s="1" t="s">
        <v>454</v>
      </c>
      <c r="K1588" s="1" t="s">
        <v>3586</v>
      </c>
      <c r="L1588" s="1" t="s">
        <v>19</v>
      </c>
    </row>
    <row r="1589" spans="1:16" ht="13" x14ac:dyDescent="0.15">
      <c r="A1589" s="1">
        <v>441834</v>
      </c>
      <c r="B1589" s="1">
        <v>0</v>
      </c>
      <c r="C1589" s="1" t="s">
        <v>3649</v>
      </c>
      <c r="D1589" s="1" t="s">
        <v>27</v>
      </c>
      <c r="E1589" s="1" t="s">
        <v>3650</v>
      </c>
      <c r="F1589" s="1" t="s">
        <v>3651</v>
      </c>
      <c r="G1589" s="1" t="s">
        <v>159</v>
      </c>
      <c r="I1589" s="16">
        <v>41985.773564814815</v>
      </c>
      <c r="J1589" s="1" t="s">
        <v>3652</v>
      </c>
      <c r="K1589" s="1" t="s">
        <v>3586</v>
      </c>
      <c r="L1589" s="1" t="s">
        <v>19</v>
      </c>
    </row>
    <row r="1590" spans="1:16" ht="13" x14ac:dyDescent="0.15">
      <c r="A1590" s="1">
        <v>78524</v>
      </c>
      <c r="B1590" s="1">
        <v>0</v>
      </c>
      <c r="C1590" s="1" t="s">
        <v>537</v>
      </c>
      <c r="D1590" s="1" t="s">
        <v>27</v>
      </c>
      <c r="E1590" s="1" t="s">
        <v>3653</v>
      </c>
      <c r="F1590" s="1" t="s">
        <v>3654</v>
      </c>
      <c r="I1590" s="16">
        <v>40639.015462962961</v>
      </c>
      <c r="J1590" s="1" t="s">
        <v>151</v>
      </c>
      <c r="K1590" s="1" t="s">
        <v>3586</v>
      </c>
      <c r="L1590" s="1" t="s">
        <v>19</v>
      </c>
    </row>
    <row r="1591" spans="1:16" ht="13" x14ac:dyDescent="0.15">
      <c r="A1591" s="1">
        <v>70070</v>
      </c>
      <c r="B1591" s="1">
        <v>0</v>
      </c>
      <c r="C1591" s="1" t="s">
        <v>3256</v>
      </c>
      <c r="D1591" s="1" t="s">
        <v>27</v>
      </c>
      <c r="E1591" s="1" t="s">
        <v>3655</v>
      </c>
      <c r="F1591" s="1" t="s">
        <v>3656</v>
      </c>
      <c r="I1591" s="16">
        <v>40562.288599537038</v>
      </c>
      <c r="J1591" s="1" t="s">
        <v>3657</v>
      </c>
      <c r="K1591" s="1" t="s">
        <v>3586</v>
      </c>
      <c r="L1591" s="1" t="s">
        <v>19</v>
      </c>
    </row>
    <row r="1592" spans="1:16" ht="13" x14ac:dyDescent="0.15">
      <c r="A1592" s="1">
        <v>232633</v>
      </c>
      <c r="B1592" s="1">
        <v>1</v>
      </c>
      <c r="C1592" s="1" t="s">
        <v>3658</v>
      </c>
      <c r="D1592" s="1" t="s">
        <v>27</v>
      </c>
      <c r="E1592" s="1" t="s">
        <v>3659</v>
      </c>
      <c r="F1592" s="1" t="s">
        <v>3660</v>
      </c>
      <c r="G1592" s="1" t="s">
        <v>3661</v>
      </c>
      <c r="I1592" s="16">
        <v>41381.779942129629</v>
      </c>
      <c r="J1592" s="1" t="s">
        <v>944</v>
      </c>
      <c r="K1592" s="1" t="s">
        <v>3586</v>
      </c>
      <c r="L1592" s="1" t="s">
        <v>19</v>
      </c>
      <c r="M1592" s="1">
        <v>88108</v>
      </c>
      <c r="N1592" s="1" t="s">
        <v>3662</v>
      </c>
      <c r="O1592" s="16">
        <v>40724.954155092593</v>
      </c>
      <c r="P1592" s="1" t="s">
        <v>3663</v>
      </c>
    </row>
    <row r="1593" spans="1:16" ht="13" x14ac:dyDescent="0.15">
      <c r="A1593" s="1">
        <v>589186</v>
      </c>
      <c r="B1593" s="1">
        <v>0</v>
      </c>
      <c r="C1593" s="1" t="s">
        <v>3664</v>
      </c>
      <c r="D1593" s="1" t="s">
        <v>27</v>
      </c>
      <c r="E1593" s="1" t="s">
        <v>3665</v>
      </c>
      <c r="F1593" s="1" t="s">
        <v>3666</v>
      </c>
      <c r="G1593" s="1" t="s">
        <v>23</v>
      </c>
      <c r="I1593" s="16">
        <v>42423.827291666668</v>
      </c>
      <c r="J1593" s="1" t="s">
        <v>3667</v>
      </c>
      <c r="K1593" s="1" t="s">
        <v>3586</v>
      </c>
      <c r="L1593" s="1" t="s">
        <v>19</v>
      </c>
    </row>
    <row r="1594" spans="1:16" ht="13" x14ac:dyDescent="0.15">
      <c r="A1594" s="1">
        <v>89836</v>
      </c>
      <c r="B1594" s="1">
        <v>0</v>
      </c>
      <c r="D1594" s="1" t="s">
        <v>27</v>
      </c>
      <c r="E1594" s="1" t="s">
        <v>3668</v>
      </c>
      <c r="F1594" s="1" t="s">
        <v>3669</v>
      </c>
      <c r="G1594" s="1" t="s">
        <v>159</v>
      </c>
      <c r="I1594" s="16">
        <v>40744.16337962963</v>
      </c>
      <c r="J1594" s="1" t="s">
        <v>151</v>
      </c>
      <c r="K1594" s="1" t="s">
        <v>3586</v>
      </c>
      <c r="L1594" s="1" t="s">
        <v>19</v>
      </c>
    </row>
    <row r="1595" spans="1:16" ht="13" x14ac:dyDescent="0.15">
      <c r="A1595" s="1">
        <v>78038</v>
      </c>
      <c r="B1595" s="1">
        <v>0</v>
      </c>
      <c r="C1595" s="1" t="s">
        <v>3670</v>
      </c>
      <c r="D1595" s="1" t="s">
        <v>27</v>
      </c>
      <c r="E1595" s="1" t="s">
        <v>3671</v>
      </c>
      <c r="F1595" s="1" t="s">
        <v>3672</v>
      </c>
      <c r="G1595" s="1" t="s">
        <v>16</v>
      </c>
      <c r="I1595" s="16">
        <v>40633.593032407407</v>
      </c>
      <c r="J1595" s="1" t="s">
        <v>2424</v>
      </c>
      <c r="K1595" s="1" t="s">
        <v>3586</v>
      </c>
      <c r="L1595" s="1" t="s">
        <v>19</v>
      </c>
    </row>
    <row r="1596" spans="1:16" ht="13" x14ac:dyDescent="0.15">
      <c r="A1596" s="1">
        <v>107182</v>
      </c>
      <c r="B1596" s="1">
        <v>0</v>
      </c>
      <c r="C1596" s="1" t="s">
        <v>3673</v>
      </c>
      <c r="D1596" s="1" t="s">
        <v>27</v>
      </c>
      <c r="E1596" s="1" t="s">
        <v>3674</v>
      </c>
      <c r="F1596" s="1" t="s">
        <v>3675</v>
      </c>
      <c r="G1596" s="1" t="s">
        <v>23</v>
      </c>
      <c r="I1596" s="16">
        <v>40889.297835648147</v>
      </c>
      <c r="J1596" s="1" t="s">
        <v>76</v>
      </c>
      <c r="K1596" s="1" t="s">
        <v>3586</v>
      </c>
      <c r="L1596" s="1" t="s">
        <v>19</v>
      </c>
    </row>
    <row r="1597" spans="1:16" ht="13" x14ac:dyDescent="0.15">
      <c r="A1597" s="1">
        <v>82903</v>
      </c>
      <c r="B1597" s="1">
        <v>0</v>
      </c>
      <c r="C1597" s="1" t="s">
        <v>26</v>
      </c>
      <c r="D1597" s="1" t="s">
        <v>27</v>
      </c>
      <c r="E1597" s="1" t="s">
        <v>3676</v>
      </c>
      <c r="F1597" s="1" t="s">
        <v>3677</v>
      </c>
      <c r="G1597" s="1" t="s">
        <v>23</v>
      </c>
      <c r="I1597" s="16">
        <v>40680.522488425922</v>
      </c>
      <c r="J1597" s="1" t="s">
        <v>40</v>
      </c>
      <c r="K1597" s="1" t="s">
        <v>3586</v>
      </c>
      <c r="L1597" s="1" t="s">
        <v>19</v>
      </c>
    </row>
    <row r="1598" spans="1:16" ht="13" x14ac:dyDescent="0.15">
      <c r="A1598" s="1">
        <v>414124</v>
      </c>
      <c r="B1598" s="1">
        <v>0</v>
      </c>
      <c r="C1598" s="1" t="s">
        <v>1545</v>
      </c>
      <c r="D1598" s="1" t="s">
        <v>27</v>
      </c>
      <c r="E1598" s="1" t="s">
        <v>3678</v>
      </c>
      <c r="F1598" s="1" t="s">
        <v>3679</v>
      </c>
      <c r="I1598" s="16">
        <v>41896.934108796297</v>
      </c>
      <c r="J1598" s="1" t="s">
        <v>3680</v>
      </c>
      <c r="K1598" s="1" t="s">
        <v>3586</v>
      </c>
      <c r="L1598" s="1" t="s">
        <v>19</v>
      </c>
    </row>
    <row r="1599" spans="1:16" ht="13" x14ac:dyDescent="0.15">
      <c r="A1599" s="1">
        <v>595834</v>
      </c>
      <c r="B1599" s="1">
        <v>0</v>
      </c>
      <c r="C1599" s="1" t="s">
        <v>2227</v>
      </c>
      <c r="D1599" s="1" t="s">
        <v>27</v>
      </c>
      <c r="E1599" s="1" t="s">
        <v>3681</v>
      </c>
      <c r="F1599" s="1" t="s">
        <v>3682</v>
      </c>
      <c r="G1599" s="1" t="s">
        <v>159</v>
      </c>
      <c r="I1599" s="16">
        <v>42446.823460648149</v>
      </c>
      <c r="J1599" s="1" t="s">
        <v>758</v>
      </c>
      <c r="K1599" s="1" t="s">
        <v>3586</v>
      </c>
      <c r="L1599" s="1" t="s">
        <v>19</v>
      </c>
    </row>
    <row r="1600" spans="1:16" ht="13" x14ac:dyDescent="0.15">
      <c r="A1600" s="1">
        <v>242762</v>
      </c>
      <c r="B1600" s="1">
        <v>0</v>
      </c>
      <c r="C1600" s="1" t="s">
        <v>3683</v>
      </c>
      <c r="D1600" s="1" t="s">
        <v>27</v>
      </c>
      <c r="E1600" s="1" t="s">
        <v>3684</v>
      </c>
      <c r="F1600" s="1" t="s">
        <v>3685</v>
      </c>
      <c r="G1600" s="1" t="s">
        <v>23</v>
      </c>
      <c r="I1600" s="16">
        <v>41416.086851851855</v>
      </c>
      <c r="J1600" s="1" t="s">
        <v>3686</v>
      </c>
      <c r="K1600" s="1" t="s">
        <v>3586</v>
      </c>
      <c r="L1600" s="1" t="s">
        <v>19</v>
      </c>
    </row>
    <row r="1601" spans="1:12" ht="13" x14ac:dyDescent="0.15">
      <c r="A1601" s="1">
        <v>314225</v>
      </c>
      <c r="B1601" s="1">
        <v>0</v>
      </c>
      <c r="C1601" s="1" t="s">
        <v>1545</v>
      </c>
      <c r="D1601" s="1" t="s">
        <v>27</v>
      </c>
      <c r="E1601" s="1" t="s">
        <v>3687</v>
      </c>
      <c r="F1601" s="1" t="s">
        <v>3688</v>
      </c>
      <c r="G1601" s="1" t="s">
        <v>23</v>
      </c>
      <c r="I1601" s="16">
        <v>41579.908020833333</v>
      </c>
      <c r="J1601" s="1" t="s">
        <v>17</v>
      </c>
      <c r="K1601" s="1" t="s">
        <v>3586</v>
      </c>
      <c r="L1601" s="1" t="s">
        <v>19</v>
      </c>
    </row>
    <row r="1602" spans="1:12" ht="13" x14ac:dyDescent="0.15">
      <c r="A1602" s="1">
        <v>48733</v>
      </c>
      <c r="B1602" s="1">
        <v>0</v>
      </c>
      <c r="C1602" s="1" t="s">
        <v>170</v>
      </c>
      <c r="D1602" s="1" t="s">
        <v>27</v>
      </c>
      <c r="E1602" s="1" t="s">
        <v>3689</v>
      </c>
      <c r="F1602" s="1" t="s">
        <v>3690</v>
      </c>
      <c r="G1602" s="1" t="s">
        <v>16</v>
      </c>
      <c r="I1602" s="16">
        <v>40368.932789351849</v>
      </c>
      <c r="J1602" s="1" t="s">
        <v>3691</v>
      </c>
      <c r="K1602" s="1" t="s">
        <v>3586</v>
      </c>
      <c r="L1602" s="1" t="s">
        <v>19</v>
      </c>
    </row>
    <row r="1603" spans="1:12" ht="13" x14ac:dyDescent="0.15">
      <c r="A1603" s="1">
        <v>564501</v>
      </c>
      <c r="B1603" s="1">
        <v>0</v>
      </c>
      <c r="C1603" s="1" t="s">
        <v>50</v>
      </c>
      <c r="D1603" s="1" t="s">
        <v>27</v>
      </c>
      <c r="E1603" s="1" t="s">
        <v>3692</v>
      </c>
      <c r="F1603" s="1" t="s">
        <v>3693</v>
      </c>
      <c r="G1603" s="1" t="s">
        <v>3694</v>
      </c>
      <c r="I1603" s="16">
        <v>42340.380636574075</v>
      </c>
      <c r="J1603" s="1" t="s">
        <v>454</v>
      </c>
      <c r="K1603" s="1" t="s">
        <v>3586</v>
      </c>
      <c r="L1603" s="1" t="s">
        <v>19</v>
      </c>
    </row>
    <row r="1604" spans="1:12" ht="13" x14ac:dyDescent="0.15">
      <c r="A1604" s="1">
        <v>48283</v>
      </c>
      <c r="B1604" s="1">
        <v>0</v>
      </c>
      <c r="C1604" s="1" t="s">
        <v>170</v>
      </c>
      <c r="D1604" s="1" t="s">
        <v>27</v>
      </c>
      <c r="E1604" s="1" t="s">
        <v>3695</v>
      </c>
      <c r="F1604" s="1" t="s">
        <v>3696</v>
      </c>
      <c r="G1604" s="1" t="s">
        <v>159</v>
      </c>
      <c r="I1604" s="16">
        <v>40363.308483796296</v>
      </c>
      <c r="J1604" s="1" t="s">
        <v>3697</v>
      </c>
      <c r="K1604" s="1" t="s">
        <v>3586</v>
      </c>
      <c r="L1604" s="1" t="s">
        <v>19</v>
      </c>
    </row>
    <row r="1605" spans="1:12" ht="13" x14ac:dyDescent="0.15">
      <c r="A1605" s="1">
        <v>51070</v>
      </c>
      <c r="B1605" s="1">
        <v>0</v>
      </c>
      <c r="C1605" s="1" t="s">
        <v>170</v>
      </c>
      <c r="D1605" s="1" t="s">
        <v>27</v>
      </c>
      <c r="E1605" s="1" t="s">
        <v>3698</v>
      </c>
      <c r="F1605" s="1" t="s">
        <v>3699</v>
      </c>
      <c r="I1605" s="16">
        <v>40393.697187500002</v>
      </c>
      <c r="J1605" s="1" t="s">
        <v>151</v>
      </c>
      <c r="K1605" s="1" t="s">
        <v>3586</v>
      </c>
      <c r="L1605" s="1" t="s">
        <v>19</v>
      </c>
    </row>
    <row r="1606" spans="1:12" ht="13" x14ac:dyDescent="0.15">
      <c r="A1606" s="1">
        <v>649040</v>
      </c>
      <c r="B1606" s="1">
        <v>0</v>
      </c>
      <c r="C1606" s="1" t="s">
        <v>3700</v>
      </c>
      <c r="D1606" s="1" t="s">
        <v>27</v>
      </c>
      <c r="E1606" s="1" t="s">
        <v>3701</v>
      </c>
      <c r="F1606" s="1" t="s">
        <v>3702</v>
      </c>
      <c r="G1606" s="1" t="s">
        <v>1056</v>
      </c>
      <c r="I1606" s="16">
        <v>42634.740706018521</v>
      </c>
      <c r="J1606" s="1" t="s">
        <v>1057</v>
      </c>
      <c r="K1606" s="1" t="s">
        <v>3586</v>
      </c>
      <c r="L1606" s="1" t="s">
        <v>19</v>
      </c>
    </row>
    <row r="1607" spans="1:12" ht="13" x14ac:dyDescent="0.15">
      <c r="A1607" s="1">
        <v>137541</v>
      </c>
      <c r="B1607" s="1">
        <v>0</v>
      </c>
      <c r="C1607" s="1" t="s">
        <v>3493</v>
      </c>
      <c r="D1607" s="1" t="s">
        <v>27</v>
      </c>
      <c r="E1607" s="1" t="s">
        <v>3703</v>
      </c>
      <c r="F1607" s="1" t="s">
        <v>3704</v>
      </c>
      <c r="G1607" s="1" t="s">
        <v>16</v>
      </c>
      <c r="I1607" s="16">
        <v>41106.79346064815</v>
      </c>
      <c r="J1607" s="1" t="s">
        <v>3705</v>
      </c>
      <c r="K1607" s="1" t="s">
        <v>3586</v>
      </c>
      <c r="L1607" s="1" t="s">
        <v>19</v>
      </c>
    </row>
    <row r="1608" spans="1:12" ht="13" x14ac:dyDescent="0.15">
      <c r="A1608" s="1">
        <v>659492</v>
      </c>
      <c r="B1608" s="1">
        <v>0</v>
      </c>
      <c r="C1608" s="1" t="s">
        <v>927</v>
      </c>
      <c r="D1608" s="1" t="s">
        <v>27</v>
      </c>
      <c r="E1608" s="1" t="s">
        <v>3706</v>
      </c>
      <c r="F1608" s="1" t="s">
        <v>3707</v>
      </c>
      <c r="G1608" s="1" t="s">
        <v>353</v>
      </c>
      <c r="I1608" s="16">
        <v>42669.288206018522</v>
      </c>
      <c r="J1608" s="1" t="s">
        <v>24</v>
      </c>
      <c r="K1608" s="1" t="s">
        <v>3586</v>
      </c>
      <c r="L1608" s="1" t="s">
        <v>19</v>
      </c>
    </row>
    <row r="1609" spans="1:12" ht="13" x14ac:dyDescent="0.15">
      <c r="A1609" s="1">
        <v>74650</v>
      </c>
      <c r="B1609" s="1">
        <v>0</v>
      </c>
      <c r="D1609" s="1" t="s">
        <v>3708</v>
      </c>
      <c r="E1609" s="1" t="s">
        <v>3709</v>
      </c>
      <c r="F1609" s="1" t="s">
        <v>3710</v>
      </c>
      <c r="I1609" s="16">
        <v>40604.282986111109</v>
      </c>
      <c r="J1609" s="1" t="s">
        <v>151</v>
      </c>
      <c r="K1609" s="1" t="s">
        <v>18</v>
      </c>
      <c r="L1609" s="1" t="s">
        <v>19</v>
      </c>
    </row>
    <row r="1610" spans="1:12" ht="13" x14ac:dyDescent="0.15">
      <c r="A1610" s="1">
        <v>611961</v>
      </c>
      <c r="B1610" s="1">
        <v>0</v>
      </c>
      <c r="C1610" s="1" t="s">
        <v>20</v>
      </c>
      <c r="D1610" s="1" t="s">
        <v>3711</v>
      </c>
      <c r="E1610" s="1" t="s">
        <v>3712</v>
      </c>
      <c r="F1610" s="1" t="s">
        <v>22</v>
      </c>
      <c r="G1610" s="1" t="s">
        <v>23</v>
      </c>
      <c r="I1610" s="16">
        <v>42504.303935185184</v>
      </c>
      <c r="J1610" s="1" t="s">
        <v>24</v>
      </c>
      <c r="K1610" s="1" t="s">
        <v>18</v>
      </c>
      <c r="L1610" s="1" t="s">
        <v>19</v>
      </c>
    </row>
    <row r="1611" spans="1:12" ht="13" x14ac:dyDescent="0.15">
      <c r="A1611" s="1">
        <v>601801</v>
      </c>
      <c r="B1611" s="1">
        <v>0</v>
      </c>
      <c r="C1611" s="1" t="s">
        <v>3713</v>
      </c>
      <c r="D1611" s="1" t="s">
        <v>3714</v>
      </c>
      <c r="E1611" s="1" t="s">
        <v>3715</v>
      </c>
      <c r="F1611" s="1" t="s">
        <v>3716</v>
      </c>
      <c r="G1611" s="1" t="s">
        <v>668</v>
      </c>
      <c r="I1611" s="16">
        <v>42468.657581018517</v>
      </c>
      <c r="J1611" s="1" t="s">
        <v>2558</v>
      </c>
      <c r="K1611" s="1" t="s">
        <v>18</v>
      </c>
      <c r="L1611" s="1" t="s">
        <v>19</v>
      </c>
    </row>
    <row r="1612" spans="1:12" ht="13" x14ac:dyDescent="0.15">
      <c r="A1612" s="1">
        <v>622183</v>
      </c>
      <c r="B1612" s="1">
        <v>0</v>
      </c>
      <c r="D1612" s="1" t="s">
        <v>3714</v>
      </c>
      <c r="E1612" s="1" t="s">
        <v>3717</v>
      </c>
      <c r="F1612" s="1" t="s">
        <v>3718</v>
      </c>
      <c r="G1612" s="1" t="s">
        <v>1577</v>
      </c>
      <c r="I1612" s="16">
        <v>42543.230868055558</v>
      </c>
      <c r="J1612" s="1" t="s">
        <v>3719</v>
      </c>
      <c r="K1612" s="1" t="s">
        <v>18</v>
      </c>
      <c r="L1612" s="1" t="s">
        <v>19</v>
      </c>
    </row>
    <row r="1613" spans="1:12" ht="13" x14ac:dyDescent="0.15">
      <c r="A1613" s="1">
        <v>620766</v>
      </c>
      <c r="B1613" s="1">
        <v>0</v>
      </c>
      <c r="C1613" s="1" t="s">
        <v>3720</v>
      </c>
      <c r="D1613" s="1" t="s">
        <v>3714</v>
      </c>
      <c r="E1613" s="1" t="s">
        <v>3721</v>
      </c>
      <c r="F1613" s="1" t="s">
        <v>3722</v>
      </c>
      <c r="G1613" s="1" t="s">
        <v>16</v>
      </c>
      <c r="I1613" s="16">
        <v>42537.681655092594</v>
      </c>
      <c r="J1613" s="1" t="s">
        <v>17</v>
      </c>
      <c r="K1613" s="1" t="s">
        <v>18</v>
      </c>
      <c r="L1613" s="1" t="s">
        <v>19</v>
      </c>
    </row>
    <row r="1614" spans="1:12" ht="13" x14ac:dyDescent="0.15">
      <c r="A1614" s="1">
        <v>28811</v>
      </c>
      <c r="B1614" s="1">
        <v>0</v>
      </c>
      <c r="C1614" s="1" t="s">
        <v>3723</v>
      </c>
      <c r="D1614" s="1" t="s">
        <v>3714</v>
      </c>
      <c r="E1614" s="1" t="s">
        <v>3724</v>
      </c>
      <c r="F1614" s="1" t="s">
        <v>2828</v>
      </c>
      <c r="G1614" s="1" t="s">
        <v>23</v>
      </c>
      <c r="I1614" s="16">
        <v>40142.870185185187</v>
      </c>
      <c r="J1614" s="1" t="s">
        <v>148</v>
      </c>
      <c r="K1614" s="1" t="s">
        <v>18</v>
      </c>
      <c r="L1614" s="1" t="s">
        <v>19</v>
      </c>
    </row>
    <row r="1615" spans="1:12" ht="13" x14ac:dyDescent="0.15">
      <c r="A1615" s="1">
        <v>711068</v>
      </c>
      <c r="B1615" s="1">
        <v>0</v>
      </c>
      <c r="C1615" s="1" t="s">
        <v>3725</v>
      </c>
      <c r="D1615" s="1" t="s">
        <v>3714</v>
      </c>
      <c r="E1615" s="1" t="s">
        <v>3726</v>
      </c>
      <c r="F1615" s="1" t="s">
        <v>3727</v>
      </c>
      <c r="G1615" s="1" t="s">
        <v>16</v>
      </c>
      <c r="I1615" s="16">
        <v>42837.954837962963</v>
      </c>
      <c r="J1615" s="1" t="s">
        <v>17</v>
      </c>
      <c r="K1615" s="1" t="s">
        <v>18</v>
      </c>
      <c r="L1615" s="1" t="s">
        <v>19</v>
      </c>
    </row>
    <row r="1616" spans="1:12" ht="13" x14ac:dyDescent="0.15">
      <c r="A1616" s="1">
        <v>667504</v>
      </c>
      <c r="B1616" s="1">
        <v>0</v>
      </c>
      <c r="C1616" s="1" t="s">
        <v>3728</v>
      </c>
      <c r="D1616" s="1" t="s">
        <v>3714</v>
      </c>
      <c r="E1616" s="1" t="s">
        <v>3729</v>
      </c>
      <c r="F1616" s="1" t="s">
        <v>3730</v>
      </c>
      <c r="G1616" s="1" t="s">
        <v>159</v>
      </c>
      <c r="I1616" s="16">
        <v>42695.931863425925</v>
      </c>
      <c r="J1616" s="1" t="s">
        <v>3731</v>
      </c>
      <c r="K1616" s="1" t="s">
        <v>18</v>
      </c>
      <c r="L1616" s="1" t="s">
        <v>19</v>
      </c>
    </row>
    <row r="1617" spans="1:20" ht="13" x14ac:dyDescent="0.15">
      <c r="A1617" s="1">
        <v>623185</v>
      </c>
      <c r="B1617" s="1">
        <v>0</v>
      </c>
      <c r="D1617" s="1" t="s">
        <v>3714</v>
      </c>
      <c r="E1617" s="1" t="s">
        <v>3732</v>
      </c>
      <c r="F1617" s="1" t="s">
        <v>3733</v>
      </c>
      <c r="G1617" s="1" t="s">
        <v>16</v>
      </c>
      <c r="I1617" s="16">
        <v>42545.87300925926</v>
      </c>
      <c r="J1617" s="1" t="s">
        <v>17</v>
      </c>
      <c r="K1617" s="1" t="s">
        <v>18</v>
      </c>
      <c r="L1617" s="1" t="s">
        <v>19</v>
      </c>
    </row>
    <row r="1618" spans="1:20" ht="13" x14ac:dyDescent="0.15">
      <c r="A1618" s="1">
        <v>497632</v>
      </c>
      <c r="B1618" s="1">
        <v>0</v>
      </c>
      <c r="C1618" s="1" t="s">
        <v>522</v>
      </c>
      <c r="D1618" s="1" t="s">
        <v>3714</v>
      </c>
      <c r="E1618" s="1" t="s">
        <v>3734</v>
      </c>
      <c r="F1618" s="1" t="s">
        <v>3735</v>
      </c>
      <c r="I1618" s="16">
        <v>42163.34883101852</v>
      </c>
      <c r="J1618" s="1" t="s">
        <v>68</v>
      </c>
      <c r="K1618" s="1" t="s">
        <v>18</v>
      </c>
      <c r="L1618" s="1" t="s">
        <v>19</v>
      </c>
    </row>
    <row r="1619" spans="1:20" ht="13" x14ac:dyDescent="0.15">
      <c r="A1619" s="1">
        <v>399783</v>
      </c>
      <c r="B1619" s="1">
        <v>2</v>
      </c>
      <c r="C1619" s="1" t="s">
        <v>3736</v>
      </c>
      <c r="D1619" s="1" t="s">
        <v>3714</v>
      </c>
      <c r="E1619" s="1" t="s">
        <v>3737</v>
      </c>
      <c r="F1619" s="1" t="s">
        <v>3738</v>
      </c>
      <c r="G1619" s="1" t="s">
        <v>1056</v>
      </c>
      <c r="I1619" s="16">
        <v>41852.912962962961</v>
      </c>
      <c r="J1619" s="1" t="s">
        <v>639</v>
      </c>
      <c r="K1619" s="1" t="s">
        <v>18</v>
      </c>
      <c r="L1619" s="1" t="s">
        <v>19</v>
      </c>
      <c r="M1619" s="1">
        <v>403682</v>
      </c>
      <c r="N1619" s="1" t="s">
        <v>3739</v>
      </c>
      <c r="O1619" s="16">
        <v>41865.303229166668</v>
      </c>
      <c r="P1619" s="1" t="s">
        <v>3740</v>
      </c>
      <c r="Q1619" s="1">
        <v>402897</v>
      </c>
      <c r="R1619" s="1" t="s">
        <v>3739</v>
      </c>
      <c r="S1619" s="2">
        <v>41863.64508101852</v>
      </c>
      <c r="T1619" s="1" t="s">
        <v>17</v>
      </c>
    </row>
    <row r="1620" spans="1:20" ht="13" x14ac:dyDescent="0.15">
      <c r="A1620" s="1">
        <v>662859</v>
      </c>
      <c r="B1620" s="1">
        <v>0</v>
      </c>
      <c r="C1620" s="1" t="s">
        <v>576</v>
      </c>
      <c r="D1620" s="1" t="s">
        <v>3714</v>
      </c>
      <c r="E1620" s="1" t="s">
        <v>2919</v>
      </c>
      <c r="F1620" s="1" t="s">
        <v>3741</v>
      </c>
      <c r="G1620" s="1" t="s">
        <v>159</v>
      </c>
      <c r="I1620" s="16">
        <v>42681.445486111108</v>
      </c>
      <c r="J1620" s="1" t="s">
        <v>98</v>
      </c>
      <c r="K1620" s="1" t="s">
        <v>18</v>
      </c>
      <c r="L1620" s="1" t="s">
        <v>19</v>
      </c>
    </row>
    <row r="1621" spans="1:20" ht="13" x14ac:dyDescent="0.15">
      <c r="A1621" s="1">
        <v>10736</v>
      </c>
      <c r="B1621" s="1">
        <v>0</v>
      </c>
      <c r="D1621" s="1" t="s">
        <v>3714</v>
      </c>
      <c r="E1621" s="1" t="s">
        <v>3742</v>
      </c>
      <c r="F1621" s="1" t="s">
        <v>3743</v>
      </c>
      <c r="G1621" s="1" t="s">
        <v>23</v>
      </c>
      <c r="I1621" s="16">
        <v>39922.820115740738</v>
      </c>
      <c r="J1621" s="1" t="s">
        <v>148</v>
      </c>
      <c r="K1621" s="1" t="s">
        <v>18</v>
      </c>
      <c r="L1621" s="1" t="s">
        <v>19</v>
      </c>
    </row>
    <row r="1622" spans="1:20" ht="13" x14ac:dyDescent="0.15">
      <c r="A1622" s="1">
        <v>626792</v>
      </c>
      <c r="B1622" s="1">
        <v>0</v>
      </c>
      <c r="D1622" s="1" t="s">
        <v>3714</v>
      </c>
      <c r="E1622" s="1" t="s">
        <v>3744</v>
      </c>
      <c r="F1622" s="1" t="s">
        <v>3745</v>
      </c>
      <c r="G1622" s="1" t="s">
        <v>16</v>
      </c>
      <c r="I1622" s="16">
        <v>42559.885891203703</v>
      </c>
      <c r="J1622" s="1" t="s">
        <v>17</v>
      </c>
      <c r="K1622" s="1" t="s">
        <v>18</v>
      </c>
      <c r="L1622" s="1" t="s">
        <v>19</v>
      </c>
    </row>
    <row r="1623" spans="1:20" ht="13" x14ac:dyDescent="0.15">
      <c r="A1623" s="1">
        <v>351811</v>
      </c>
      <c r="B1623" s="1">
        <v>0</v>
      </c>
      <c r="C1623" s="1" t="s">
        <v>1053</v>
      </c>
      <c r="D1623" s="1" t="s">
        <v>3714</v>
      </c>
      <c r="E1623" s="1" t="s">
        <v>3746</v>
      </c>
      <c r="F1623" s="1" t="s">
        <v>3747</v>
      </c>
      <c r="G1623" s="1" t="s">
        <v>1056</v>
      </c>
      <c r="I1623" s="16">
        <v>41710.775821759256</v>
      </c>
      <c r="J1623" s="1" t="s">
        <v>609</v>
      </c>
      <c r="K1623" s="1" t="s">
        <v>18</v>
      </c>
      <c r="L1623" s="1" t="s">
        <v>19</v>
      </c>
    </row>
    <row r="1624" spans="1:20" ht="13" x14ac:dyDescent="0.15">
      <c r="A1624" s="1">
        <v>351815</v>
      </c>
      <c r="B1624" s="1">
        <v>0</v>
      </c>
      <c r="C1624" s="1" t="s">
        <v>305</v>
      </c>
      <c r="D1624" s="1" t="s">
        <v>3714</v>
      </c>
      <c r="E1624" s="1" t="s">
        <v>3748</v>
      </c>
      <c r="F1624" s="1" t="s">
        <v>3749</v>
      </c>
      <c r="G1624" s="1" t="s">
        <v>3750</v>
      </c>
      <c r="I1624" s="16">
        <v>41710.782511574071</v>
      </c>
      <c r="J1624" s="1" t="s">
        <v>241</v>
      </c>
      <c r="K1624" s="1" t="s">
        <v>18</v>
      </c>
      <c r="L1624" s="1" t="s">
        <v>19</v>
      </c>
    </row>
    <row r="1625" spans="1:20" ht="13" x14ac:dyDescent="0.15">
      <c r="A1625" s="1">
        <v>117656</v>
      </c>
      <c r="B1625" s="1">
        <v>0</v>
      </c>
      <c r="D1625" s="1" t="s">
        <v>3714</v>
      </c>
      <c r="E1625" s="1" t="s">
        <v>3751</v>
      </c>
      <c r="F1625" s="1" t="s">
        <v>3752</v>
      </c>
      <c r="I1625" s="16">
        <v>40978.296226851853</v>
      </c>
      <c r="J1625" s="1" t="s">
        <v>151</v>
      </c>
      <c r="K1625" s="1" t="s">
        <v>18</v>
      </c>
      <c r="L1625" s="1" t="s">
        <v>19</v>
      </c>
    </row>
    <row r="1626" spans="1:20" ht="13" x14ac:dyDescent="0.15">
      <c r="A1626" s="1">
        <v>51919</v>
      </c>
      <c r="B1626" s="1">
        <v>0</v>
      </c>
      <c r="C1626" s="1" t="s">
        <v>3753</v>
      </c>
      <c r="D1626" s="1" t="s">
        <v>3714</v>
      </c>
      <c r="E1626" s="1" t="s">
        <v>3754</v>
      </c>
      <c r="F1626" s="1" t="s">
        <v>3755</v>
      </c>
      <c r="I1626" s="16">
        <v>40402.645810185182</v>
      </c>
      <c r="J1626" s="1" t="s">
        <v>263</v>
      </c>
      <c r="K1626" s="1" t="s">
        <v>18</v>
      </c>
      <c r="L1626" s="1" t="s">
        <v>19</v>
      </c>
    </row>
    <row r="1627" spans="1:20" ht="13" x14ac:dyDescent="0.15">
      <c r="A1627" s="1">
        <v>24646</v>
      </c>
      <c r="B1627" s="1">
        <v>0</v>
      </c>
      <c r="C1627" s="1" t="s">
        <v>26</v>
      </c>
      <c r="D1627" s="1" t="s">
        <v>3714</v>
      </c>
      <c r="E1627" s="1" t="s">
        <v>3756</v>
      </c>
      <c r="F1627" s="1" t="s">
        <v>3757</v>
      </c>
      <c r="G1627" s="1" t="s">
        <v>23</v>
      </c>
      <c r="I1627" s="16">
        <v>40098.795590277776</v>
      </c>
      <c r="J1627" s="1" t="s">
        <v>2848</v>
      </c>
      <c r="K1627" s="1" t="s">
        <v>18</v>
      </c>
      <c r="L1627" s="1" t="s">
        <v>19</v>
      </c>
    </row>
    <row r="1628" spans="1:20" ht="13" x14ac:dyDescent="0.15">
      <c r="A1628" s="1">
        <v>167840</v>
      </c>
      <c r="B1628" s="1">
        <v>0</v>
      </c>
      <c r="C1628" s="1" t="s">
        <v>170</v>
      </c>
      <c r="D1628" s="1" t="s">
        <v>3714</v>
      </c>
      <c r="E1628" s="1" t="s">
        <v>3758</v>
      </c>
      <c r="F1628" s="1" t="s">
        <v>3759</v>
      </c>
      <c r="G1628" s="1" t="s">
        <v>3760</v>
      </c>
      <c r="I1628" s="16">
        <v>41272.709791666668</v>
      </c>
      <c r="J1628" s="1" t="s">
        <v>193</v>
      </c>
      <c r="K1628" s="1" t="s">
        <v>18</v>
      </c>
      <c r="L1628" s="1" t="s">
        <v>19</v>
      </c>
    </row>
    <row r="1629" spans="1:20" ht="13" x14ac:dyDescent="0.15">
      <c r="A1629" s="1">
        <v>460917</v>
      </c>
      <c r="B1629" s="1">
        <v>0</v>
      </c>
      <c r="C1629" s="1" t="s">
        <v>101</v>
      </c>
      <c r="D1629" s="1" t="s">
        <v>3714</v>
      </c>
      <c r="E1629" s="1" t="s">
        <v>3761</v>
      </c>
      <c r="F1629" s="1" t="s">
        <v>3762</v>
      </c>
      <c r="G1629" s="1" t="s">
        <v>23</v>
      </c>
      <c r="I1629" s="16">
        <v>42058.631493055553</v>
      </c>
      <c r="J1629" s="1" t="s">
        <v>3763</v>
      </c>
      <c r="K1629" s="1" t="s">
        <v>18</v>
      </c>
      <c r="L1629" s="1" t="s">
        <v>19</v>
      </c>
    </row>
    <row r="1630" spans="1:20" ht="13" x14ac:dyDescent="0.15">
      <c r="A1630" s="1">
        <v>6869</v>
      </c>
      <c r="B1630" s="1">
        <v>0</v>
      </c>
      <c r="C1630" s="1" t="s">
        <v>26</v>
      </c>
      <c r="D1630" s="1" t="s">
        <v>3714</v>
      </c>
      <c r="E1630" s="1" t="s">
        <v>3764</v>
      </c>
      <c r="F1630" s="1" t="s">
        <v>3765</v>
      </c>
      <c r="G1630" s="1" t="s">
        <v>23</v>
      </c>
      <c r="I1630" s="16">
        <v>39835.817245370374</v>
      </c>
      <c r="J1630" s="1" t="s">
        <v>151</v>
      </c>
      <c r="K1630" s="1" t="s">
        <v>18</v>
      </c>
      <c r="L1630" s="1" t="s">
        <v>19</v>
      </c>
    </row>
    <row r="1631" spans="1:20" ht="13" x14ac:dyDescent="0.15">
      <c r="A1631" s="1">
        <v>646178</v>
      </c>
      <c r="B1631" s="1">
        <v>0</v>
      </c>
      <c r="C1631" s="1" t="s">
        <v>268</v>
      </c>
      <c r="D1631" s="1" t="s">
        <v>3714</v>
      </c>
      <c r="E1631" s="1" t="s">
        <v>2674</v>
      </c>
      <c r="F1631" s="1" t="s">
        <v>3766</v>
      </c>
      <c r="G1631" s="1" t="s">
        <v>16</v>
      </c>
      <c r="I1631" s="16">
        <v>42625.971666666665</v>
      </c>
      <c r="J1631" s="1" t="s">
        <v>17</v>
      </c>
      <c r="K1631" s="1" t="s">
        <v>18</v>
      </c>
      <c r="L1631" s="1" t="s">
        <v>19</v>
      </c>
    </row>
    <row r="1632" spans="1:20" ht="13" x14ac:dyDescent="0.15">
      <c r="A1632" s="1">
        <v>658440</v>
      </c>
      <c r="B1632" s="1">
        <v>0</v>
      </c>
      <c r="C1632" s="1" t="s">
        <v>50</v>
      </c>
      <c r="D1632" s="1" t="s">
        <v>3714</v>
      </c>
      <c r="E1632" s="1" t="s">
        <v>3767</v>
      </c>
      <c r="F1632" s="1" t="s">
        <v>3768</v>
      </c>
      <c r="G1632" s="1" t="s">
        <v>23</v>
      </c>
      <c r="I1632" s="16">
        <v>42664.959062499998</v>
      </c>
      <c r="J1632" s="1" t="s">
        <v>17</v>
      </c>
      <c r="K1632" s="1" t="s">
        <v>18</v>
      </c>
      <c r="L1632" s="1" t="s">
        <v>19</v>
      </c>
    </row>
    <row r="1633" spans="1:16" ht="13" x14ac:dyDescent="0.15">
      <c r="A1633" s="1">
        <v>227181</v>
      </c>
      <c r="B1633" s="1">
        <v>0</v>
      </c>
      <c r="D1633" s="1" t="s">
        <v>3714</v>
      </c>
      <c r="E1633" s="1" t="s">
        <v>3769</v>
      </c>
      <c r="F1633" s="1" t="s">
        <v>3770</v>
      </c>
      <c r="G1633" s="1" t="s">
        <v>1056</v>
      </c>
      <c r="I1633" s="16">
        <v>41369.903564814813</v>
      </c>
      <c r="J1633" s="1" t="s">
        <v>609</v>
      </c>
      <c r="K1633" s="1" t="s">
        <v>18</v>
      </c>
      <c r="L1633" s="1" t="s">
        <v>19</v>
      </c>
    </row>
    <row r="1634" spans="1:16" ht="13" x14ac:dyDescent="0.15">
      <c r="A1634" s="1">
        <v>26585</v>
      </c>
      <c r="B1634" s="1">
        <v>0</v>
      </c>
      <c r="C1634" s="1" t="s">
        <v>170</v>
      </c>
      <c r="D1634" s="1" t="s">
        <v>3714</v>
      </c>
      <c r="E1634" s="1" t="s">
        <v>3771</v>
      </c>
      <c r="F1634" s="1" t="s">
        <v>3772</v>
      </c>
      <c r="G1634" s="1" t="s">
        <v>540</v>
      </c>
      <c r="I1634" s="16">
        <v>40120.60083333333</v>
      </c>
      <c r="J1634" s="1" t="s">
        <v>3773</v>
      </c>
      <c r="K1634" s="1" t="s">
        <v>18</v>
      </c>
      <c r="L1634" s="1" t="s">
        <v>19</v>
      </c>
    </row>
    <row r="1635" spans="1:16" ht="13" x14ac:dyDescent="0.15">
      <c r="A1635" s="1">
        <v>526378</v>
      </c>
      <c r="B1635" s="1">
        <v>0</v>
      </c>
      <c r="C1635" s="1" t="s">
        <v>1199</v>
      </c>
      <c r="D1635" s="1" t="s">
        <v>3714</v>
      </c>
      <c r="E1635" s="1" t="s">
        <v>3774</v>
      </c>
      <c r="F1635" s="1" t="s">
        <v>3775</v>
      </c>
      <c r="G1635" s="1" t="s">
        <v>159</v>
      </c>
      <c r="I1635" s="16">
        <v>42245.5546875</v>
      </c>
      <c r="J1635" s="1" t="s">
        <v>3776</v>
      </c>
      <c r="K1635" s="1" t="s">
        <v>18</v>
      </c>
      <c r="L1635" s="1" t="s">
        <v>19</v>
      </c>
    </row>
    <row r="1636" spans="1:16" ht="13" x14ac:dyDescent="0.15">
      <c r="A1636" s="1">
        <v>544981</v>
      </c>
      <c r="B1636" s="1">
        <v>0</v>
      </c>
      <c r="C1636" s="1" t="s">
        <v>3777</v>
      </c>
      <c r="D1636" s="1" t="s">
        <v>3714</v>
      </c>
      <c r="E1636" s="1" t="s">
        <v>3778</v>
      </c>
      <c r="F1636" s="1" t="s">
        <v>3779</v>
      </c>
      <c r="G1636" s="1" t="s">
        <v>159</v>
      </c>
      <c r="I1636" s="16">
        <v>42296.626701388886</v>
      </c>
      <c r="J1636" s="1" t="s">
        <v>3780</v>
      </c>
      <c r="K1636" s="1" t="s">
        <v>18</v>
      </c>
      <c r="L1636" s="1" t="s">
        <v>19</v>
      </c>
    </row>
    <row r="1637" spans="1:16" ht="13" x14ac:dyDescent="0.15">
      <c r="A1637" s="1">
        <v>322195</v>
      </c>
      <c r="B1637" s="1">
        <v>0</v>
      </c>
      <c r="C1637" s="1" t="s">
        <v>829</v>
      </c>
      <c r="D1637" s="1" t="s">
        <v>3714</v>
      </c>
      <c r="E1637" s="1" t="s">
        <v>3781</v>
      </c>
      <c r="F1637" s="1" t="s">
        <v>3782</v>
      </c>
      <c r="G1637" s="1" t="s">
        <v>23</v>
      </c>
      <c r="I1637" s="16">
        <v>41599.909317129626</v>
      </c>
      <c r="J1637" s="1" t="s">
        <v>17</v>
      </c>
      <c r="K1637" s="1" t="s">
        <v>18</v>
      </c>
      <c r="L1637" s="1" t="s">
        <v>19</v>
      </c>
    </row>
    <row r="1638" spans="1:16" ht="13" x14ac:dyDescent="0.15">
      <c r="A1638" s="1">
        <v>390709</v>
      </c>
      <c r="B1638" s="1">
        <v>0</v>
      </c>
      <c r="D1638" s="1" t="s">
        <v>3714</v>
      </c>
      <c r="E1638" s="1" t="s">
        <v>3783</v>
      </c>
      <c r="F1638" s="1" t="s">
        <v>3784</v>
      </c>
      <c r="G1638" s="1" t="s">
        <v>1056</v>
      </c>
      <c r="I1638" s="16">
        <v>41821.939236111109</v>
      </c>
      <c r="J1638" s="1" t="s">
        <v>3785</v>
      </c>
      <c r="K1638" s="1" t="s">
        <v>18</v>
      </c>
      <c r="L1638" s="1" t="s">
        <v>19</v>
      </c>
    </row>
    <row r="1639" spans="1:16" ht="13" x14ac:dyDescent="0.15">
      <c r="A1639" s="1">
        <v>401362</v>
      </c>
      <c r="B1639" s="1">
        <v>0</v>
      </c>
      <c r="C1639" s="1" t="s">
        <v>268</v>
      </c>
      <c r="D1639" s="1" t="s">
        <v>3714</v>
      </c>
      <c r="E1639" s="1" t="s">
        <v>3786</v>
      </c>
      <c r="F1639" s="1" t="s">
        <v>3787</v>
      </c>
      <c r="G1639" s="1" t="s">
        <v>23</v>
      </c>
      <c r="I1639" s="16">
        <v>41858.181712962964</v>
      </c>
      <c r="J1639" s="1" t="s">
        <v>17</v>
      </c>
      <c r="K1639" s="1" t="s">
        <v>18</v>
      </c>
      <c r="L1639" s="1" t="s">
        <v>19</v>
      </c>
    </row>
    <row r="1640" spans="1:16" ht="13" x14ac:dyDescent="0.15">
      <c r="A1640" s="1">
        <v>656752</v>
      </c>
      <c r="B1640" s="1">
        <v>0</v>
      </c>
      <c r="C1640" s="1" t="s">
        <v>3788</v>
      </c>
      <c r="D1640" s="1" t="s">
        <v>3714</v>
      </c>
      <c r="E1640" s="1" t="s">
        <v>3789</v>
      </c>
      <c r="F1640" s="1" t="s">
        <v>3790</v>
      </c>
      <c r="G1640" s="1" t="s">
        <v>558</v>
      </c>
      <c r="I1640" s="16">
        <v>42660.786956018521</v>
      </c>
      <c r="J1640" s="1" t="s">
        <v>1420</v>
      </c>
      <c r="K1640" s="1" t="s">
        <v>18</v>
      </c>
      <c r="L1640" s="1" t="s">
        <v>19</v>
      </c>
    </row>
    <row r="1641" spans="1:16" ht="13" x14ac:dyDescent="0.15">
      <c r="A1641" s="1">
        <v>625541</v>
      </c>
      <c r="B1641" s="1">
        <v>0</v>
      </c>
      <c r="C1641" s="1" t="s">
        <v>12</v>
      </c>
      <c r="D1641" s="1" t="s">
        <v>3714</v>
      </c>
      <c r="E1641" s="1" t="s">
        <v>3791</v>
      </c>
      <c r="F1641" s="1" t="s">
        <v>3792</v>
      </c>
      <c r="G1641" s="1" t="s">
        <v>56</v>
      </c>
      <c r="I1641" s="16">
        <v>42555.278854166667</v>
      </c>
      <c r="J1641" s="1" t="s">
        <v>632</v>
      </c>
      <c r="K1641" s="1" t="s">
        <v>18</v>
      </c>
      <c r="L1641" s="1" t="s">
        <v>19</v>
      </c>
    </row>
    <row r="1642" spans="1:16" ht="13" x14ac:dyDescent="0.15">
      <c r="A1642" s="1">
        <v>570618</v>
      </c>
      <c r="B1642" s="1">
        <v>0</v>
      </c>
      <c r="C1642" s="1" t="s">
        <v>1824</v>
      </c>
      <c r="D1642" s="1" t="s">
        <v>3714</v>
      </c>
      <c r="E1642" s="1" t="s">
        <v>3793</v>
      </c>
      <c r="F1642" s="1" t="s">
        <v>3794</v>
      </c>
      <c r="G1642" s="1" t="s">
        <v>1056</v>
      </c>
      <c r="I1642" s="16">
        <v>42355.416817129626</v>
      </c>
      <c r="J1642" s="1" t="s">
        <v>1301</v>
      </c>
      <c r="K1642" s="1" t="s">
        <v>18</v>
      </c>
      <c r="L1642" s="1" t="s">
        <v>19</v>
      </c>
    </row>
    <row r="1643" spans="1:16" ht="13" x14ac:dyDescent="0.15">
      <c r="A1643" s="1">
        <v>28566</v>
      </c>
      <c r="B1643" s="1">
        <v>0</v>
      </c>
      <c r="C1643" s="1" t="s">
        <v>26</v>
      </c>
      <c r="D1643" s="1" t="s">
        <v>3714</v>
      </c>
      <c r="E1643" s="1" t="s">
        <v>3795</v>
      </c>
      <c r="F1643" s="1" t="s">
        <v>3757</v>
      </c>
      <c r="G1643" s="1" t="s">
        <v>23</v>
      </c>
      <c r="I1643" s="16">
        <v>40140.614571759259</v>
      </c>
      <c r="J1643" s="1" t="s">
        <v>870</v>
      </c>
      <c r="K1643" s="1" t="s">
        <v>18</v>
      </c>
      <c r="L1643" s="1" t="s">
        <v>19</v>
      </c>
    </row>
    <row r="1644" spans="1:16" ht="13" x14ac:dyDescent="0.15">
      <c r="A1644" s="1">
        <v>702695</v>
      </c>
      <c r="B1644" s="1">
        <v>1</v>
      </c>
      <c r="C1644" s="1" t="s">
        <v>663</v>
      </c>
      <c r="D1644" s="1" t="s">
        <v>3714</v>
      </c>
      <c r="E1644" s="1" t="s">
        <v>3796</v>
      </c>
      <c r="F1644" s="1" t="s">
        <v>3797</v>
      </c>
      <c r="G1644" s="1" t="s">
        <v>3798</v>
      </c>
      <c r="I1644" s="16">
        <v>42811.743437500001</v>
      </c>
      <c r="J1644" s="1" t="s">
        <v>17</v>
      </c>
      <c r="K1644" s="1" t="s">
        <v>18</v>
      </c>
      <c r="L1644" s="1" t="s">
        <v>19</v>
      </c>
      <c r="M1644" s="1">
        <v>696903</v>
      </c>
      <c r="N1644" s="1" t="s">
        <v>3799</v>
      </c>
      <c r="O1644" s="16">
        <v>42794.270266203705</v>
      </c>
      <c r="P1644" s="1" t="s">
        <v>3800</v>
      </c>
    </row>
    <row r="1645" spans="1:16" ht="13" x14ac:dyDescent="0.15">
      <c r="A1645" s="1">
        <v>616623</v>
      </c>
      <c r="B1645" s="1">
        <v>1</v>
      </c>
      <c r="C1645" s="1" t="s">
        <v>65</v>
      </c>
      <c r="D1645" s="1" t="s">
        <v>3714</v>
      </c>
      <c r="E1645" s="1" t="s">
        <v>3801</v>
      </c>
      <c r="F1645" s="1" t="s">
        <v>3802</v>
      </c>
      <c r="G1645" s="1" t="s">
        <v>23</v>
      </c>
      <c r="I1645" s="16">
        <v>42522.955069444448</v>
      </c>
      <c r="J1645" s="1" t="s">
        <v>2235</v>
      </c>
      <c r="K1645" s="1" t="s">
        <v>18</v>
      </c>
      <c r="L1645" s="1" t="s">
        <v>19</v>
      </c>
      <c r="M1645" s="1">
        <v>621492</v>
      </c>
      <c r="N1645" s="1" t="s">
        <v>3803</v>
      </c>
      <c r="O1645" s="16">
        <v>42541.521122685182</v>
      </c>
      <c r="P1645" s="1" t="s">
        <v>17</v>
      </c>
    </row>
    <row r="1646" spans="1:16" ht="13" x14ac:dyDescent="0.15">
      <c r="A1646" s="1">
        <v>567688</v>
      </c>
      <c r="B1646" s="1">
        <v>0</v>
      </c>
      <c r="C1646" s="1" t="s">
        <v>1545</v>
      </c>
      <c r="D1646" s="1" t="s">
        <v>3714</v>
      </c>
      <c r="E1646" s="1" t="s">
        <v>3804</v>
      </c>
      <c r="F1646" s="1" t="s">
        <v>3805</v>
      </c>
      <c r="G1646" s="1" t="s">
        <v>1056</v>
      </c>
      <c r="I1646" s="16">
        <v>42346.416759259257</v>
      </c>
      <c r="J1646" s="1" t="s">
        <v>1301</v>
      </c>
      <c r="K1646" s="1" t="s">
        <v>18</v>
      </c>
      <c r="L1646" s="1" t="s">
        <v>19</v>
      </c>
    </row>
    <row r="1647" spans="1:16" ht="13" x14ac:dyDescent="0.15">
      <c r="A1647" s="1">
        <v>652548</v>
      </c>
      <c r="B1647" s="1">
        <v>0</v>
      </c>
      <c r="C1647" s="1" t="s">
        <v>101</v>
      </c>
      <c r="D1647" s="1" t="s">
        <v>3714</v>
      </c>
      <c r="E1647" s="1" t="s">
        <v>3806</v>
      </c>
      <c r="F1647" s="1" t="s">
        <v>3807</v>
      </c>
      <c r="G1647" s="1" t="s">
        <v>23</v>
      </c>
      <c r="I1647" s="16">
        <v>42647.097094907411</v>
      </c>
      <c r="J1647" s="1" t="s">
        <v>98</v>
      </c>
      <c r="K1647" s="1" t="s">
        <v>18</v>
      </c>
      <c r="L1647" s="1" t="s">
        <v>19</v>
      </c>
    </row>
    <row r="1648" spans="1:16" ht="13" x14ac:dyDescent="0.15">
      <c r="A1648" s="1">
        <v>47105</v>
      </c>
      <c r="B1648" s="1">
        <v>0</v>
      </c>
      <c r="C1648" s="1" t="s">
        <v>170</v>
      </c>
      <c r="D1648" s="1" t="s">
        <v>3714</v>
      </c>
      <c r="E1648" s="1" t="s">
        <v>3808</v>
      </c>
      <c r="F1648" s="1" t="s">
        <v>451</v>
      </c>
      <c r="I1648" s="16">
        <v>40350.938298611109</v>
      </c>
      <c r="J1648" s="1" t="s">
        <v>255</v>
      </c>
      <c r="K1648" s="1" t="s">
        <v>18</v>
      </c>
      <c r="L1648" s="1" t="s">
        <v>19</v>
      </c>
    </row>
    <row r="1649" spans="1:16" ht="13" x14ac:dyDescent="0.15">
      <c r="A1649" s="1">
        <v>29854</v>
      </c>
      <c r="B1649" s="1">
        <v>0</v>
      </c>
      <c r="C1649" s="1" t="s">
        <v>26</v>
      </c>
      <c r="D1649" s="1" t="s">
        <v>3714</v>
      </c>
      <c r="E1649" s="1" t="s">
        <v>3809</v>
      </c>
      <c r="F1649" s="1" t="s">
        <v>2828</v>
      </c>
      <c r="G1649" s="1" t="s">
        <v>23</v>
      </c>
      <c r="I1649" s="16">
        <v>40156.438530092593</v>
      </c>
      <c r="J1649" s="1" t="s">
        <v>148</v>
      </c>
      <c r="K1649" s="1" t="s">
        <v>18</v>
      </c>
      <c r="L1649" s="1" t="s">
        <v>19</v>
      </c>
    </row>
    <row r="1650" spans="1:16" ht="13" x14ac:dyDescent="0.15">
      <c r="A1650" s="1">
        <v>67100</v>
      </c>
      <c r="B1650" s="1">
        <v>0</v>
      </c>
      <c r="C1650" s="1" t="s">
        <v>194</v>
      </c>
      <c r="D1650" s="1" t="s">
        <v>3714</v>
      </c>
      <c r="E1650" s="1" t="s">
        <v>3810</v>
      </c>
      <c r="F1650" s="1" t="s">
        <v>1173</v>
      </c>
      <c r="G1650" s="1" t="s">
        <v>23</v>
      </c>
      <c r="I1650" s="16">
        <v>40528.083969907406</v>
      </c>
      <c r="J1650" s="1" t="s">
        <v>151</v>
      </c>
      <c r="K1650" s="1" t="s">
        <v>18</v>
      </c>
      <c r="L1650" s="1" t="s">
        <v>19</v>
      </c>
    </row>
    <row r="1651" spans="1:16" ht="13" x14ac:dyDescent="0.15">
      <c r="A1651" s="1">
        <v>597333</v>
      </c>
      <c r="B1651" s="1">
        <v>0</v>
      </c>
      <c r="C1651" s="1" t="s">
        <v>1742</v>
      </c>
      <c r="D1651" s="1" t="s">
        <v>3714</v>
      </c>
      <c r="E1651" s="1" t="s">
        <v>3811</v>
      </c>
      <c r="F1651" s="1" t="s">
        <v>3812</v>
      </c>
      <c r="G1651" s="1" t="s">
        <v>1056</v>
      </c>
      <c r="I1651" s="16">
        <v>42452.773055555554</v>
      </c>
      <c r="J1651" s="1" t="s">
        <v>1608</v>
      </c>
      <c r="K1651" s="1" t="s">
        <v>18</v>
      </c>
      <c r="L1651" s="1" t="s">
        <v>19</v>
      </c>
    </row>
    <row r="1652" spans="1:16" ht="13" x14ac:dyDescent="0.15">
      <c r="A1652" s="1">
        <v>632849</v>
      </c>
      <c r="B1652" s="1">
        <v>0</v>
      </c>
      <c r="C1652" s="1" t="s">
        <v>65</v>
      </c>
      <c r="D1652" s="1" t="s">
        <v>3714</v>
      </c>
      <c r="E1652" s="1" t="s">
        <v>2111</v>
      </c>
      <c r="F1652" s="1" t="s">
        <v>3813</v>
      </c>
      <c r="G1652" s="1" t="s">
        <v>540</v>
      </c>
      <c r="I1652" s="16">
        <v>42580.886203703703</v>
      </c>
      <c r="J1652" s="1" t="s">
        <v>17</v>
      </c>
      <c r="K1652" s="1" t="s">
        <v>18</v>
      </c>
      <c r="L1652" s="1" t="s">
        <v>19</v>
      </c>
    </row>
    <row r="1653" spans="1:16" ht="13" x14ac:dyDescent="0.15">
      <c r="A1653" s="1">
        <v>683072</v>
      </c>
      <c r="B1653" s="1">
        <v>0</v>
      </c>
      <c r="C1653" s="1" t="s">
        <v>3814</v>
      </c>
      <c r="D1653" s="1" t="s">
        <v>3714</v>
      </c>
      <c r="E1653" s="1" t="s">
        <v>3815</v>
      </c>
      <c r="F1653" s="1" t="s">
        <v>3816</v>
      </c>
      <c r="G1653" s="1" t="s">
        <v>16</v>
      </c>
      <c r="I1653" s="16">
        <v>42755.404444444444</v>
      </c>
      <c r="J1653" s="1" t="s">
        <v>17</v>
      </c>
      <c r="K1653" s="1" t="s">
        <v>18</v>
      </c>
      <c r="L1653" s="1" t="s">
        <v>19</v>
      </c>
    </row>
    <row r="1654" spans="1:16" ht="13" x14ac:dyDescent="0.15">
      <c r="A1654" s="1">
        <v>39443</v>
      </c>
      <c r="B1654" s="1">
        <v>0</v>
      </c>
      <c r="D1654" s="1" t="s">
        <v>3714</v>
      </c>
      <c r="E1654" s="1" t="s">
        <v>3817</v>
      </c>
      <c r="F1654" s="1" t="s">
        <v>3818</v>
      </c>
      <c r="I1654" s="16">
        <v>40263.49895833333</v>
      </c>
      <c r="J1654" s="1" t="s">
        <v>263</v>
      </c>
      <c r="K1654" s="1" t="s">
        <v>18</v>
      </c>
      <c r="L1654" s="1" t="s">
        <v>19</v>
      </c>
    </row>
    <row r="1655" spans="1:16" ht="13" x14ac:dyDescent="0.15">
      <c r="A1655" s="1">
        <v>390624</v>
      </c>
      <c r="B1655" s="1">
        <v>0</v>
      </c>
      <c r="C1655" s="1" t="s">
        <v>2706</v>
      </c>
      <c r="D1655" s="1" t="s">
        <v>3714</v>
      </c>
      <c r="E1655" s="1" t="s">
        <v>3819</v>
      </c>
      <c r="F1655" s="1" t="s">
        <v>3820</v>
      </c>
      <c r="G1655" s="1" t="s">
        <v>3821</v>
      </c>
      <c r="I1655" s="16">
        <v>41821.74527777778</v>
      </c>
      <c r="J1655" s="1" t="s">
        <v>311</v>
      </c>
      <c r="K1655" s="1" t="s">
        <v>18</v>
      </c>
      <c r="L1655" s="1" t="s">
        <v>19</v>
      </c>
    </row>
    <row r="1656" spans="1:16" ht="13" x14ac:dyDescent="0.15">
      <c r="A1656" s="1">
        <v>609382</v>
      </c>
      <c r="B1656" s="1">
        <v>0</v>
      </c>
      <c r="C1656" s="1" t="s">
        <v>3713</v>
      </c>
      <c r="D1656" s="1" t="s">
        <v>3714</v>
      </c>
      <c r="E1656" s="1" t="s">
        <v>3822</v>
      </c>
      <c r="F1656" s="1" t="s">
        <v>3823</v>
      </c>
      <c r="G1656" s="1" t="s">
        <v>1056</v>
      </c>
      <c r="I1656" s="16">
        <v>42495.208310185182</v>
      </c>
      <c r="J1656" s="1" t="s">
        <v>2558</v>
      </c>
      <c r="K1656" s="1" t="s">
        <v>18</v>
      </c>
      <c r="L1656" s="1" t="s">
        <v>19</v>
      </c>
    </row>
    <row r="1657" spans="1:16" ht="13" x14ac:dyDescent="0.15">
      <c r="A1657" s="1">
        <v>565023</v>
      </c>
      <c r="B1657" s="1">
        <v>0</v>
      </c>
      <c r="C1657" s="1" t="s">
        <v>2709</v>
      </c>
      <c r="D1657" s="1" t="s">
        <v>3714</v>
      </c>
      <c r="E1657" s="1" t="s">
        <v>3824</v>
      </c>
      <c r="F1657" s="1" t="s">
        <v>3825</v>
      </c>
      <c r="G1657" s="1" t="s">
        <v>16</v>
      </c>
      <c r="I1657" s="16">
        <v>42341.076817129629</v>
      </c>
      <c r="J1657" s="1" t="s">
        <v>3826</v>
      </c>
      <c r="K1657" s="1" t="s">
        <v>18</v>
      </c>
      <c r="L1657" s="1" t="s">
        <v>19</v>
      </c>
    </row>
    <row r="1658" spans="1:16" ht="13" x14ac:dyDescent="0.15">
      <c r="A1658" s="1">
        <v>656817</v>
      </c>
      <c r="B1658" s="1">
        <v>0</v>
      </c>
      <c r="C1658" s="1" t="s">
        <v>77</v>
      </c>
      <c r="D1658" s="1" t="s">
        <v>3714</v>
      </c>
      <c r="E1658" s="1" t="s">
        <v>3827</v>
      </c>
      <c r="F1658" s="1" t="s">
        <v>3828</v>
      </c>
      <c r="G1658" s="1" t="s">
        <v>16</v>
      </c>
      <c r="I1658" s="16">
        <v>42660.917175925926</v>
      </c>
      <c r="J1658" s="1" t="s">
        <v>17</v>
      </c>
      <c r="K1658" s="1" t="s">
        <v>18</v>
      </c>
      <c r="L1658" s="1" t="s">
        <v>19</v>
      </c>
    </row>
    <row r="1659" spans="1:16" ht="13" x14ac:dyDescent="0.15">
      <c r="A1659" s="1">
        <v>658555</v>
      </c>
      <c r="B1659" s="1">
        <v>0</v>
      </c>
      <c r="C1659" s="1" t="s">
        <v>2227</v>
      </c>
      <c r="D1659" s="1" t="s">
        <v>3714</v>
      </c>
      <c r="E1659" s="1" t="s">
        <v>3829</v>
      </c>
      <c r="F1659" s="1" t="s">
        <v>3830</v>
      </c>
      <c r="G1659" s="1" t="s">
        <v>16</v>
      </c>
      <c r="I1659" s="16">
        <v>42665.917002314818</v>
      </c>
      <c r="J1659" s="1" t="s">
        <v>17</v>
      </c>
      <c r="K1659" s="1" t="s">
        <v>18</v>
      </c>
      <c r="L1659" s="1" t="s">
        <v>19</v>
      </c>
    </row>
    <row r="1660" spans="1:16" ht="13" x14ac:dyDescent="0.15">
      <c r="A1660" s="1">
        <v>643939</v>
      </c>
      <c r="B1660" s="1">
        <v>0</v>
      </c>
      <c r="C1660" s="1" t="s">
        <v>984</v>
      </c>
      <c r="D1660" s="1" t="s">
        <v>3714</v>
      </c>
      <c r="E1660" s="1" t="s">
        <v>3831</v>
      </c>
      <c r="F1660" s="1" t="s">
        <v>3832</v>
      </c>
      <c r="G1660" s="1" t="s">
        <v>16</v>
      </c>
      <c r="I1660" s="16">
        <v>42616.799386574072</v>
      </c>
      <c r="J1660" s="1" t="s">
        <v>17</v>
      </c>
      <c r="K1660" s="1" t="s">
        <v>18</v>
      </c>
      <c r="L1660" s="1" t="s">
        <v>19</v>
      </c>
    </row>
    <row r="1661" spans="1:16" ht="13" x14ac:dyDescent="0.15">
      <c r="A1661" s="1">
        <v>9860</v>
      </c>
      <c r="B1661" s="1">
        <v>0</v>
      </c>
      <c r="C1661" s="1" t="s">
        <v>170</v>
      </c>
      <c r="D1661" s="1" t="s">
        <v>3714</v>
      </c>
      <c r="E1661" s="1" t="s">
        <v>3833</v>
      </c>
      <c r="F1661" s="1" t="s">
        <v>2187</v>
      </c>
      <c r="G1661" s="1" t="s">
        <v>23</v>
      </c>
      <c r="I1661" s="16">
        <v>39911.439108796294</v>
      </c>
      <c r="J1661" s="1" t="s">
        <v>3834</v>
      </c>
      <c r="K1661" s="1" t="s">
        <v>18</v>
      </c>
      <c r="L1661" s="1" t="s">
        <v>19</v>
      </c>
    </row>
    <row r="1662" spans="1:16" ht="13" x14ac:dyDescent="0.15">
      <c r="A1662" s="1">
        <v>660760</v>
      </c>
      <c r="B1662" s="1">
        <v>0</v>
      </c>
      <c r="C1662" s="1" t="s">
        <v>1815</v>
      </c>
      <c r="D1662" s="1" t="s">
        <v>3714</v>
      </c>
      <c r="E1662" s="1" t="s">
        <v>3835</v>
      </c>
      <c r="F1662" s="1" t="s">
        <v>3836</v>
      </c>
      <c r="G1662" s="1" t="s">
        <v>16</v>
      </c>
      <c r="I1662" s="16">
        <v>42674.12400462963</v>
      </c>
      <c r="J1662" s="1" t="s">
        <v>17</v>
      </c>
      <c r="K1662" s="1" t="s">
        <v>18</v>
      </c>
      <c r="L1662" s="1" t="s">
        <v>19</v>
      </c>
    </row>
    <row r="1663" spans="1:16" ht="13" x14ac:dyDescent="0.15">
      <c r="A1663" s="1">
        <v>534621</v>
      </c>
      <c r="B1663" s="1">
        <v>1</v>
      </c>
      <c r="C1663" s="1" t="s">
        <v>665</v>
      </c>
      <c r="D1663" s="1" t="s">
        <v>3714</v>
      </c>
      <c r="E1663" s="1" t="s">
        <v>3837</v>
      </c>
      <c r="F1663" s="1" t="s">
        <v>3838</v>
      </c>
      <c r="G1663" s="1" t="s">
        <v>668</v>
      </c>
      <c r="I1663" s="16">
        <v>42268.945370370369</v>
      </c>
      <c r="J1663" s="1" t="s">
        <v>669</v>
      </c>
      <c r="K1663" s="1" t="s">
        <v>18</v>
      </c>
      <c r="L1663" s="1" t="s">
        <v>19</v>
      </c>
      <c r="M1663" s="1">
        <v>538365</v>
      </c>
      <c r="N1663" s="1" t="s">
        <v>3839</v>
      </c>
      <c r="O1663" s="16">
        <v>42278.942824074074</v>
      </c>
      <c r="P1663" s="1" t="s">
        <v>3840</v>
      </c>
    </row>
    <row r="1664" spans="1:16" ht="13" x14ac:dyDescent="0.15">
      <c r="A1664" s="1">
        <v>40138</v>
      </c>
      <c r="B1664" s="1">
        <v>0</v>
      </c>
      <c r="D1664" s="1" t="s">
        <v>3714</v>
      </c>
      <c r="E1664" s="1" t="s">
        <v>3841</v>
      </c>
      <c r="F1664" s="1" t="s">
        <v>3842</v>
      </c>
      <c r="I1664" s="16">
        <v>40269.846354166664</v>
      </c>
      <c r="J1664" s="1" t="s">
        <v>1423</v>
      </c>
      <c r="K1664" s="1" t="s">
        <v>18</v>
      </c>
      <c r="L1664" s="1" t="s">
        <v>19</v>
      </c>
    </row>
    <row r="1665" spans="1:12" ht="13" x14ac:dyDescent="0.15">
      <c r="A1665" s="1">
        <v>63533</v>
      </c>
      <c r="B1665" s="1">
        <v>0</v>
      </c>
      <c r="C1665" s="1" t="s">
        <v>1910</v>
      </c>
      <c r="D1665" s="1" t="s">
        <v>3714</v>
      </c>
      <c r="E1665" s="1" t="s">
        <v>3843</v>
      </c>
      <c r="F1665" s="1" t="s">
        <v>3844</v>
      </c>
      <c r="I1665" s="16">
        <v>40499.911377314813</v>
      </c>
      <c r="J1665" s="1" t="s">
        <v>1066</v>
      </c>
      <c r="K1665" s="1" t="s">
        <v>18</v>
      </c>
      <c r="L1665" s="1" t="s">
        <v>19</v>
      </c>
    </row>
    <row r="1666" spans="1:12" ht="13" x14ac:dyDescent="0.15">
      <c r="A1666" s="1">
        <v>364511</v>
      </c>
      <c r="B1666" s="1">
        <v>0</v>
      </c>
      <c r="D1666" s="1" t="s">
        <v>3714</v>
      </c>
      <c r="E1666" s="1" t="s">
        <v>3845</v>
      </c>
      <c r="F1666" s="1" t="s">
        <v>3846</v>
      </c>
      <c r="G1666" s="1" t="s">
        <v>1056</v>
      </c>
      <c r="I1666" s="16">
        <v>41746.649421296293</v>
      </c>
      <c r="J1666" s="1" t="s">
        <v>40</v>
      </c>
      <c r="K1666" s="1" t="s">
        <v>18</v>
      </c>
      <c r="L1666" s="1" t="s">
        <v>19</v>
      </c>
    </row>
    <row r="1667" spans="1:12" ht="13" x14ac:dyDescent="0.15">
      <c r="A1667" s="1">
        <v>196456</v>
      </c>
      <c r="B1667" s="1">
        <v>0</v>
      </c>
      <c r="D1667" s="1" t="s">
        <v>3714</v>
      </c>
      <c r="E1667" s="1" t="s">
        <v>3847</v>
      </c>
      <c r="F1667" s="1" t="s">
        <v>3848</v>
      </c>
      <c r="G1667" s="1" t="s">
        <v>1056</v>
      </c>
      <c r="I1667" s="16">
        <v>41348.106828703705</v>
      </c>
      <c r="J1667" s="1" t="s">
        <v>151</v>
      </c>
      <c r="K1667" s="1" t="s">
        <v>18</v>
      </c>
      <c r="L1667" s="1" t="s">
        <v>19</v>
      </c>
    </row>
    <row r="1668" spans="1:12" ht="13" x14ac:dyDescent="0.15">
      <c r="A1668" s="1">
        <v>666246</v>
      </c>
      <c r="B1668" s="1">
        <v>0</v>
      </c>
      <c r="C1668" s="1" t="s">
        <v>923</v>
      </c>
      <c r="D1668" s="1" t="s">
        <v>3714</v>
      </c>
      <c r="E1668" s="1" t="s">
        <v>3849</v>
      </c>
      <c r="F1668" s="1" t="s">
        <v>3850</v>
      </c>
      <c r="G1668" s="1" t="s">
        <v>16</v>
      </c>
      <c r="I1668" s="16">
        <v>42691.418449074074</v>
      </c>
      <c r="J1668" s="1" t="s">
        <v>17</v>
      </c>
      <c r="K1668" s="1" t="s">
        <v>18</v>
      </c>
      <c r="L1668" s="1" t="s">
        <v>19</v>
      </c>
    </row>
    <row r="1669" spans="1:12" ht="13" x14ac:dyDescent="0.15">
      <c r="A1669" s="1">
        <v>617648</v>
      </c>
      <c r="B1669" s="1">
        <v>0</v>
      </c>
      <c r="C1669" s="1" t="s">
        <v>829</v>
      </c>
      <c r="D1669" s="1" t="s">
        <v>3714</v>
      </c>
      <c r="E1669" s="1" t="s">
        <v>3851</v>
      </c>
      <c r="F1669" s="1" t="s">
        <v>3852</v>
      </c>
      <c r="G1669" s="1" t="s">
        <v>16</v>
      </c>
      <c r="I1669" s="16">
        <v>42527.69358796296</v>
      </c>
      <c r="J1669" s="1" t="s">
        <v>17</v>
      </c>
      <c r="K1669" s="1" t="s">
        <v>18</v>
      </c>
      <c r="L1669" s="1" t="s">
        <v>19</v>
      </c>
    </row>
    <row r="1670" spans="1:12" ht="13" x14ac:dyDescent="0.15">
      <c r="A1670" s="1">
        <v>31692</v>
      </c>
      <c r="B1670" s="1">
        <v>0</v>
      </c>
      <c r="C1670" s="1" t="s">
        <v>133</v>
      </c>
      <c r="D1670" s="1" t="s">
        <v>3714</v>
      </c>
      <c r="E1670" s="1" t="s">
        <v>3853</v>
      </c>
      <c r="F1670" s="1" t="s">
        <v>3854</v>
      </c>
      <c r="I1670" s="16">
        <v>40184.857557870368</v>
      </c>
      <c r="J1670" s="1" t="s">
        <v>148</v>
      </c>
      <c r="K1670" s="1" t="s">
        <v>18</v>
      </c>
      <c r="L1670" s="1" t="s">
        <v>19</v>
      </c>
    </row>
    <row r="1671" spans="1:12" ht="13" x14ac:dyDescent="0.15">
      <c r="A1671" s="1">
        <v>377392</v>
      </c>
      <c r="B1671" s="1">
        <v>0</v>
      </c>
      <c r="D1671" s="1" t="s">
        <v>3714</v>
      </c>
      <c r="E1671" s="1" t="s">
        <v>3855</v>
      </c>
      <c r="F1671" s="1" t="s">
        <v>3856</v>
      </c>
      <c r="G1671" s="1" t="s">
        <v>3821</v>
      </c>
      <c r="I1671" s="16">
        <v>41785.333402777775</v>
      </c>
      <c r="J1671" s="1" t="s">
        <v>151</v>
      </c>
      <c r="K1671" s="1" t="s">
        <v>18</v>
      </c>
      <c r="L1671" s="1" t="s">
        <v>19</v>
      </c>
    </row>
    <row r="1672" spans="1:12" ht="13" x14ac:dyDescent="0.15">
      <c r="A1672" s="1">
        <v>681785</v>
      </c>
      <c r="B1672" s="1">
        <v>0</v>
      </c>
      <c r="C1672" s="1" t="s">
        <v>665</v>
      </c>
      <c r="D1672" s="1" t="s">
        <v>3714</v>
      </c>
      <c r="E1672" s="1" t="s">
        <v>3857</v>
      </c>
      <c r="F1672" s="1" t="s">
        <v>3858</v>
      </c>
      <c r="G1672" s="1" t="s">
        <v>1056</v>
      </c>
      <c r="I1672" s="16">
        <v>42752.458344907405</v>
      </c>
      <c r="J1672" s="1" t="s">
        <v>1301</v>
      </c>
      <c r="K1672" s="1" t="s">
        <v>18</v>
      </c>
      <c r="L1672" s="1" t="s">
        <v>19</v>
      </c>
    </row>
    <row r="1673" spans="1:12" ht="13" x14ac:dyDescent="0.15">
      <c r="A1673" s="1">
        <v>37383</v>
      </c>
      <c r="B1673" s="1">
        <v>0</v>
      </c>
      <c r="C1673" s="1" t="s">
        <v>3859</v>
      </c>
      <c r="D1673" s="1" t="s">
        <v>3714</v>
      </c>
      <c r="E1673" s="1" t="s">
        <v>3860</v>
      </c>
      <c r="F1673" s="1" t="s">
        <v>3861</v>
      </c>
      <c r="I1673" s="16">
        <v>40241.311631944445</v>
      </c>
      <c r="J1673" s="1" t="s">
        <v>263</v>
      </c>
      <c r="K1673" s="1" t="s">
        <v>18</v>
      </c>
      <c r="L1673" s="1" t="s">
        <v>19</v>
      </c>
    </row>
    <row r="1674" spans="1:12" ht="13" x14ac:dyDescent="0.15">
      <c r="A1674" s="1">
        <v>407339</v>
      </c>
      <c r="B1674" s="1">
        <v>0</v>
      </c>
      <c r="C1674" s="1" t="s">
        <v>665</v>
      </c>
      <c r="D1674" s="1" t="s">
        <v>3714</v>
      </c>
      <c r="E1674" s="1" t="s">
        <v>3862</v>
      </c>
      <c r="F1674" s="1" t="s">
        <v>3863</v>
      </c>
      <c r="G1674" s="1" t="s">
        <v>1056</v>
      </c>
      <c r="I1674" s="16">
        <v>41876.890856481485</v>
      </c>
      <c r="J1674" s="1" t="s">
        <v>1301</v>
      </c>
      <c r="K1674" s="1" t="s">
        <v>18</v>
      </c>
      <c r="L1674" s="1" t="s">
        <v>19</v>
      </c>
    </row>
    <row r="1675" spans="1:12" ht="13" x14ac:dyDescent="0.15">
      <c r="A1675" s="1">
        <v>227158</v>
      </c>
      <c r="B1675" s="1">
        <v>0</v>
      </c>
      <c r="D1675" s="1" t="s">
        <v>3714</v>
      </c>
      <c r="E1675" s="1" t="s">
        <v>3864</v>
      </c>
      <c r="F1675" s="1" t="s">
        <v>3865</v>
      </c>
      <c r="G1675" s="1" t="s">
        <v>1056</v>
      </c>
      <c r="I1675" s="16">
        <v>41369.871793981481</v>
      </c>
      <c r="J1675" s="1" t="s">
        <v>609</v>
      </c>
      <c r="K1675" s="1" t="s">
        <v>18</v>
      </c>
      <c r="L1675" s="1" t="s">
        <v>19</v>
      </c>
    </row>
    <row r="1676" spans="1:12" ht="13" x14ac:dyDescent="0.15">
      <c r="A1676" s="1">
        <v>655152</v>
      </c>
      <c r="B1676" s="1">
        <v>0</v>
      </c>
      <c r="C1676" s="1" t="s">
        <v>12</v>
      </c>
      <c r="D1676" s="1" t="s">
        <v>3714</v>
      </c>
      <c r="E1676" s="1" t="s">
        <v>3866</v>
      </c>
      <c r="F1676" s="1" t="s">
        <v>3867</v>
      </c>
      <c r="G1676" s="1" t="s">
        <v>16</v>
      </c>
      <c r="I1676" s="16">
        <v>42655.581967592596</v>
      </c>
      <c r="J1676" s="1" t="s">
        <v>17</v>
      </c>
      <c r="K1676" s="1" t="s">
        <v>18</v>
      </c>
      <c r="L1676" s="1" t="s">
        <v>19</v>
      </c>
    </row>
    <row r="1677" spans="1:12" ht="13" x14ac:dyDescent="0.15">
      <c r="A1677" s="1">
        <v>11739</v>
      </c>
      <c r="B1677" s="1">
        <v>0</v>
      </c>
      <c r="D1677" s="1" t="s">
        <v>3714</v>
      </c>
      <c r="E1677" s="1" t="s">
        <v>3868</v>
      </c>
      <c r="F1677" s="1" t="s">
        <v>3869</v>
      </c>
      <c r="G1677" s="1" t="s">
        <v>23</v>
      </c>
      <c r="I1677" s="16">
        <v>39944.594606481478</v>
      </c>
      <c r="J1677" s="1" t="s">
        <v>148</v>
      </c>
      <c r="K1677" s="1" t="s">
        <v>18</v>
      </c>
      <c r="L1677" s="1" t="s">
        <v>19</v>
      </c>
    </row>
    <row r="1678" spans="1:12" ht="13" x14ac:dyDescent="0.15">
      <c r="A1678" s="1">
        <v>351855</v>
      </c>
      <c r="B1678" s="1">
        <v>0</v>
      </c>
      <c r="C1678" s="1" t="s">
        <v>3713</v>
      </c>
      <c r="D1678" s="1" t="s">
        <v>3714</v>
      </c>
      <c r="E1678" s="1" t="s">
        <v>3870</v>
      </c>
      <c r="F1678" s="1" t="s">
        <v>3871</v>
      </c>
      <c r="G1678" s="1" t="s">
        <v>1056</v>
      </c>
      <c r="I1678" s="16">
        <v>41710.84165509259</v>
      </c>
      <c r="J1678" s="1" t="s">
        <v>736</v>
      </c>
      <c r="K1678" s="1" t="s">
        <v>18</v>
      </c>
      <c r="L1678" s="1" t="s">
        <v>19</v>
      </c>
    </row>
    <row r="1679" spans="1:12" ht="13" x14ac:dyDescent="0.15">
      <c r="A1679" s="1">
        <v>351852</v>
      </c>
      <c r="B1679" s="1">
        <v>0</v>
      </c>
      <c r="C1679" s="1" t="s">
        <v>470</v>
      </c>
      <c r="D1679" s="1" t="s">
        <v>3714</v>
      </c>
      <c r="E1679" s="1" t="s">
        <v>3872</v>
      </c>
      <c r="F1679" s="1" t="s">
        <v>3873</v>
      </c>
      <c r="G1679" s="1" t="s">
        <v>1056</v>
      </c>
      <c r="I1679" s="16">
        <v>41710.83357638889</v>
      </c>
      <c r="J1679" s="1" t="s">
        <v>736</v>
      </c>
      <c r="K1679" s="1" t="s">
        <v>18</v>
      </c>
      <c r="L1679" s="1" t="s">
        <v>19</v>
      </c>
    </row>
    <row r="1680" spans="1:12" ht="13" x14ac:dyDescent="0.15">
      <c r="A1680" s="1">
        <v>166523</v>
      </c>
      <c r="B1680" s="1">
        <v>0</v>
      </c>
      <c r="C1680" s="1" t="s">
        <v>3874</v>
      </c>
      <c r="D1680" s="1" t="s">
        <v>3714</v>
      </c>
      <c r="E1680" s="1" t="s">
        <v>3875</v>
      </c>
      <c r="F1680" s="1" t="s">
        <v>3876</v>
      </c>
      <c r="G1680" s="1" t="s">
        <v>540</v>
      </c>
      <c r="I1680" s="16">
        <v>41260.96298611111</v>
      </c>
      <c r="J1680" s="1" t="s">
        <v>3877</v>
      </c>
      <c r="K1680" s="1" t="s">
        <v>18</v>
      </c>
      <c r="L1680" s="1" t="s">
        <v>19</v>
      </c>
    </row>
    <row r="1681" spans="1:16" ht="13" x14ac:dyDescent="0.15">
      <c r="A1681" s="1">
        <v>76589</v>
      </c>
      <c r="B1681" s="1">
        <v>0</v>
      </c>
      <c r="C1681" s="1" t="s">
        <v>26</v>
      </c>
      <c r="D1681" s="1" t="s">
        <v>3714</v>
      </c>
      <c r="E1681" s="1" t="s">
        <v>3878</v>
      </c>
      <c r="F1681" s="1" t="s">
        <v>3879</v>
      </c>
      <c r="I1681" s="16">
        <v>40619.909236111111</v>
      </c>
      <c r="J1681" s="1" t="s">
        <v>3880</v>
      </c>
      <c r="K1681" s="1" t="s">
        <v>3586</v>
      </c>
      <c r="L1681" s="1" t="s">
        <v>19</v>
      </c>
    </row>
    <row r="1682" spans="1:16" ht="13" x14ac:dyDescent="0.15">
      <c r="A1682" s="1">
        <v>344051</v>
      </c>
      <c r="B1682" s="1">
        <v>0</v>
      </c>
      <c r="C1682" s="1" t="s">
        <v>665</v>
      </c>
      <c r="D1682" s="1" t="s">
        <v>3714</v>
      </c>
      <c r="E1682" s="1" t="s">
        <v>3881</v>
      </c>
      <c r="F1682" s="1" t="s">
        <v>3882</v>
      </c>
      <c r="G1682" s="1" t="s">
        <v>1056</v>
      </c>
      <c r="I1682" s="16">
        <v>41684.962731481479</v>
      </c>
      <c r="J1682" s="1" t="s">
        <v>3883</v>
      </c>
      <c r="K1682" s="1" t="s">
        <v>3586</v>
      </c>
      <c r="L1682" s="1" t="s">
        <v>19</v>
      </c>
    </row>
    <row r="1683" spans="1:16" ht="13" x14ac:dyDescent="0.15">
      <c r="A1683" s="1">
        <v>141901</v>
      </c>
      <c r="B1683" s="1">
        <v>0</v>
      </c>
      <c r="C1683" s="1" t="s">
        <v>3256</v>
      </c>
      <c r="D1683" s="1" t="s">
        <v>3714</v>
      </c>
      <c r="E1683" s="1" t="s">
        <v>3884</v>
      </c>
      <c r="F1683" s="1" t="s">
        <v>3885</v>
      </c>
      <c r="G1683" s="1" t="s">
        <v>1056</v>
      </c>
      <c r="I1683" s="16">
        <v>41131.756967592592</v>
      </c>
      <c r="J1683" s="1" t="s">
        <v>44</v>
      </c>
      <c r="K1683" s="1" t="s">
        <v>3586</v>
      </c>
      <c r="L1683" s="1" t="s">
        <v>19</v>
      </c>
    </row>
    <row r="1684" spans="1:16" ht="13" x14ac:dyDescent="0.15">
      <c r="A1684" s="1">
        <v>53361</v>
      </c>
      <c r="B1684" s="1">
        <v>0</v>
      </c>
      <c r="C1684" s="1" t="s">
        <v>170</v>
      </c>
      <c r="D1684" s="1" t="s">
        <v>3714</v>
      </c>
      <c r="E1684" s="1" t="s">
        <v>3886</v>
      </c>
      <c r="F1684" s="1" t="s">
        <v>3887</v>
      </c>
      <c r="G1684" s="1" t="s">
        <v>540</v>
      </c>
      <c r="I1684" s="16">
        <v>40415.88559027778</v>
      </c>
      <c r="J1684" s="1" t="s">
        <v>40</v>
      </c>
      <c r="K1684" s="1" t="s">
        <v>3586</v>
      </c>
      <c r="L1684" s="1" t="s">
        <v>19</v>
      </c>
    </row>
    <row r="1685" spans="1:16" ht="13" x14ac:dyDescent="0.15">
      <c r="A1685" s="1">
        <v>529489</v>
      </c>
      <c r="B1685" s="1">
        <v>0</v>
      </c>
      <c r="C1685" s="1" t="s">
        <v>1545</v>
      </c>
      <c r="D1685" s="1" t="s">
        <v>3714</v>
      </c>
      <c r="E1685" s="1" t="s">
        <v>3888</v>
      </c>
      <c r="F1685" s="1" t="s">
        <v>3889</v>
      </c>
      <c r="G1685" s="1" t="s">
        <v>3890</v>
      </c>
      <c r="I1685" s="16">
        <v>42255.948483796295</v>
      </c>
      <c r="J1685" s="1" t="s">
        <v>1064</v>
      </c>
      <c r="K1685" s="1" t="s">
        <v>3586</v>
      </c>
      <c r="L1685" s="1" t="s">
        <v>19</v>
      </c>
    </row>
    <row r="1686" spans="1:16" ht="13" x14ac:dyDescent="0.15">
      <c r="A1686" s="1">
        <v>24733</v>
      </c>
      <c r="B1686" s="1">
        <v>0</v>
      </c>
      <c r="D1686" s="1" t="s">
        <v>3714</v>
      </c>
      <c r="E1686" s="1" t="s">
        <v>3891</v>
      </c>
      <c r="F1686" s="1" t="s">
        <v>3596</v>
      </c>
      <c r="G1686" s="1" t="s">
        <v>23</v>
      </c>
      <c r="I1686" s="16">
        <v>40099.796076388891</v>
      </c>
      <c r="J1686" s="1" t="s">
        <v>151</v>
      </c>
      <c r="K1686" s="1" t="s">
        <v>3586</v>
      </c>
      <c r="L1686" s="1" t="s">
        <v>19</v>
      </c>
    </row>
    <row r="1687" spans="1:16" ht="13" x14ac:dyDescent="0.15">
      <c r="A1687" s="1">
        <v>169054</v>
      </c>
      <c r="B1687" s="1">
        <v>1</v>
      </c>
      <c r="C1687" s="1" t="s">
        <v>414</v>
      </c>
      <c r="D1687" s="1" t="s">
        <v>3714</v>
      </c>
      <c r="E1687" s="1" t="s">
        <v>3892</v>
      </c>
      <c r="F1687" s="1" t="s">
        <v>3893</v>
      </c>
      <c r="G1687" s="1" t="s">
        <v>3821</v>
      </c>
      <c r="I1687" s="16">
        <v>41283.818124999998</v>
      </c>
      <c r="J1687" s="1" t="s">
        <v>44</v>
      </c>
      <c r="K1687" s="1" t="s">
        <v>3586</v>
      </c>
      <c r="L1687" s="1" t="s">
        <v>19</v>
      </c>
      <c r="M1687" s="1">
        <v>231390</v>
      </c>
      <c r="N1687" s="1" t="s">
        <v>3894</v>
      </c>
      <c r="O1687" s="16">
        <v>41379.661400462966</v>
      </c>
      <c r="P1687" s="1" t="s">
        <v>2872</v>
      </c>
    </row>
    <row r="1688" spans="1:16" ht="13" x14ac:dyDescent="0.15">
      <c r="A1688" s="1">
        <v>50553</v>
      </c>
      <c r="B1688" s="1">
        <v>0</v>
      </c>
      <c r="D1688" s="1" t="s">
        <v>3714</v>
      </c>
      <c r="E1688" s="1" t="s">
        <v>3895</v>
      </c>
      <c r="F1688" s="1" t="s">
        <v>3896</v>
      </c>
      <c r="G1688" s="1" t="s">
        <v>159</v>
      </c>
      <c r="I1688" s="16">
        <v>40387.832002314812</v>
      </c>
      <c r="J1688" s="1" t="s">
        <v>3897</v>
      </c>
      <c r="K1688" s="1" t="s">
        <v>3586</v>
      </c>
      <c r="L1688" s="1" t="s">
        <v>19</v>
      </c>
    </row>
    <row r="1689" spans="1:16" ht="13" x14ac:dyDescent="0.15">
      <c r="A1689" s="1">
        <v>499279</v>
      </c>
      <c r="B1689" s="1">
        <v>1</v>
      </c>
      <c r="C1689" s="1" t="s">
        <v>3898</v>
      </c>
      <c r="D1689" s="1" t="s">
        <v>3714</v>
      </c>
      <c r="E1689" s="1" t="s">
        <v>3899</v>
      </c>
      <c r="F1689" s="1" t="s">
        <v>3900</v>
      </c>
      <c r="G1689" s="1" t="s">
        <v>159</v>
      </c>
      <c r="I1689" s="16">
        <v>42166.527037037034</v>
      </c>
      <c r="J1689" s="1" t="s">
        <v>3901</v>
      </c>
      <c r="K1689" s="1" t="s">
        <v>3586</v>
      </c>
      <c r="L1689" s="1" t="s">
        <v>19</v>
      </c>
      <c r="M1689" s="1">
        <v>499654</v>
      </c>
      <c r="N1689" s="1" t="s">
        <v>3902</v>
      </c>
      <c r="O1689" s="16">
        <v>42167.088900462964</v>
      </c>
      <c r="P1689" s="1" t="s">
        <v>98</v>
      </c>
    </row>
    <row r="1690" spans="1:16" ht="13" x14ac:dyDescent="0.15">
      <c r="A1690" s="1">
        <v>682219</v>
      </c>
      <c r="B1690" s="1">
        <v>0</v>
      </c>
      <c r="C1690" s="1" t="s">
        <v>3903</v>
      </c>
      <c r="D1690" s="1" t="s">
        <v>3714</v>
      </c>
      <c r="E1690" s="1" t="s">
        <v>3904</v>
      </c>
      <c r="F1690" s="1" t="s">
        <v>3905</v>
      </c>
      <c r="G1690" s="1" t="s">
        <v>16</v>
      </c>
      <c r="I1690" s="16">
        <v>42753.569374999999</v>
      </c>
      <c r="J1690" s="1" t="s">
        <v>17</v>
      </c>
      <c r="K1690" s="1" t="s">
        <v>3586</v>
      </c>
      <c r="L1690" s="1" t="s">
        <v>19</v>
      </c>
    </row>
    <row r="1691" spans="1:16" ht="13" x14ac:dyDescent="0.15">
      <c r="A1691" s="1">
        <v>69195</v>
      </c>
      <c r="B1691" s="1">
        <v>0</v>
      </c>
      <c r="C1691" s="1" t="s">
        <v>50</v>
      </c>
      <c r="D1691" s="1" t="s">
        <v>3714</v>
      </c>
      <c r="E1691" s="1" t="s">
        <v>3906</v>
      </c>
      <c r="F1691" s="1" t="s">
        <v>3907</v>
      </c>
      <c r="I1691" s="16">
        <v>40554.232222222221</v>
      </c>
      <c r="J1691" s="1" t="s">
        <v>3908</v>
      </c>
      <c r="K1691" s="1" t="s">
        <v>3586</v>
      </c>
      <c r="L1691" s="1" t="s">
        <v>19</v>
      </c>
    </row>
    <row r="1692" spans="1:16" ht="13" x14ac:dyDescent="0.15">
      <c r="A1692" s="1">
        <v>244746</v>
      </c>
      <c r="B1692" s="1">
        <v>0</v>
      </c>
      <c r="C1692" s="1" t="s">
        <v>2815</v>
      </c>
      <c r="D1692" s="1" t="s">
        <v>3714</v>
      </c>
      <c r="E1692" s="1" t="s">
        <v>3909</v>
      </c>
      <c r="F1692" s="1" t="s">
        <v>3910</v>
      </c>
      <c r="G1692" s="1" t="s">
        <v>23</v>
      </c>
      <c r="I1692" s="16">
        <v>41423.290023148147</v>
      </c>
      <c r="J1692" s="1" t="s">
        <v>2427</v>
      </c>
      <c r="K1692" s="1" t="s">
        <v>3586</v>
      </c>
      <c r="L1692" s="1" t="s">
        <v>19</v>
      </c>
    </row>
    <row r="1693" spans="1:16" ht="13" x14ac:dyDescent="0.15">
      <c r="A1693" s="1">
        <v>411736</v>
      </c>
      <c r="B1693" s="1">
        <v>0</v>
      </c>
      <c r="D1693" s="1" t="s">
        <v>3911</v>
      </c>
      <c r="E1693" s="1" t="s">
        <v>3912</v>
      </c>
      <c r="F1693" s="1" t="s">
        <v>3913</v>
      </c>
      <c r="G1693" s="1" t="s">
        <v>23</v>
      </c>
      <c r="I1693" s="16">
        <v>41889.969363425924</v>
      </c>
      <c r="J1693" s="1" t="s">
        <v>17</v>
      </c>
      <c r="K1693" s="1" t="s">
        <v>18</v>
      </c>
      <c r="L1693" s="1" t="s">
        <v>19</v>
      </c>
    </row>
    <row r="1694" spans="1:16" ht="13" x14ac:dyDescent="0.15">
      <c r="A1694" s="1">
        <v>309421</v>
      </c>
      <c r="B1694" s="1">
        <v>0</v>
      </c>
      <c r="C1694" s="1" t="s">
        <v>31</v>
      </c>
      <c r="D1694" s="1" t="s">
        <v>3911</v>
      </c>
      <c r="E1694" s="1" t="s">
        <v>3914</v>
      </c>
      <c r="F1694" s="1" t="s">
        <v>3915</v>
      </c>
      <c r="G1694" s="1" t="s">
        <v>23</v>
      </c>
      <c r="I1694" s="16">
        <v>41567.027303240742</v>
      </c>
      <c r="J1694" s="1" t="s">
        <v>17</v>
      </c>
      <c r="K1694" s="1" t="s">
        <v>18</v>
      </c>
      <c r="L1694" s="1" t="s">
        <v>19</v>
      </c>
    </row>
    <row r="1695" spans="1:16" ht="13" x14ac:dyDescent="0.15">
      <c r="A1695" s="1">
        <v>537481</v>
      </c>
      <c r="B1695" s="1">
        <v>0</v>
      </c>
      <c r="C1695" s="1" t="s">
        <v>65</v>
      </c>
      <c r="D1695" s="1" t="s">
        <v>3911</v>
      </c>
      <c r="E1695" s="1" t="s">
        <v>3916</v>
      </c>
      <c r="F1695" s="1" t="s">
        <v>3917</v>
      </c>
      <c r="G1695" s="1" t="s">
        <v>16</v>
      </c>
      <c r="I1695" s="16">
        <v>42277.135254629633</v>
      </c>
      <c r="J1695" s="1" t="s">
        <v>17</v>
      </c>
      <c r="K1695" s="1" t="s">
        <v>18</v>
      </c>
      <c r="L1695" s="1" t="s">
        <v>19</v>
      </c>
    </row>
    <row r="1696" spans="1:16" ht="13" x14ac:dyDescent="0.15">
      <c r="A1696" s="1">
        <v>588445</v>
      </c>
      <c r="B1696" s="1">
        <v>0</v>
      </c>
      <c r="C1696" s="1" t="s">
        <v>3918</v>
      </c>
      <c r="D1696" s="1" t="s">
        <v>3911</v>
      </c>
      <c r="E1696" s="1" t="s">
        <v>3919</v>
      </c>
      <c r="F1696" s="1" t="s">
        <v>3920</v>
      </c>
      <c r="I1696" s="16">
        <v>42420.807175925926</v>
      </c>
      <c r="J1696" s="1" t="s">
        <v>3921</v>
      </c>
      <c r="K1696" s="1" t="s">
        <v>18</v>
      </c>
      <c r="L1696" s="1" t="s">
        <v>19</v>
      </c>
    </row>
    <row r="1697" spans="1:12" ht="13" x14ac:dyDescent="0.15">
      <c r="A1697" s="1">
        <v>658464</v>
      </c>
      <c r="B1697" s="1">
        <v>0</v>
      </c>
      <c r="C1697" s="1" t="s">
        <v>129</v>
      </c>
      <c r="D1697" s="1" t="s">
        <v>3911</v>
      </c>
      <c r="E1697" s="1" t="s">
        <v>3922</v>
      </c>
      <c r="F1697" s="1" t="s">
        <v>3923</v>
      </c>
      <c r="G1697" s="1" t="s">
        <v>16</v>
      </c>
      <c r="I1697" s="16">
        <v>42665.001562500001</v>
      </c>
      <c r="J1697" s="1" t="s">
        <v>17</v>
      </c>
      <c r="K1697" s="1" t="s">
        <v>18</v>
      </c>
      <c r="L1697" s="1" t="s">
        <v>19</v>
      </c>
    </row>
    <row r="1698" spans="1:12" ht="13" x14ac:dyDescent="0.15">
      <c r="A1698" s="1">
        <v>603129</v>
      </c>
      <c r="B1698" s="1">
        <v>0</v>
      </c>
      <c r="C1698" s="1" t="s">
        <v>369</v>
      </c>
      <c r="D1698" s="1" t="s">
        <v>3911</v>
      </c>
      <c r="E1698" s="1" t="s">
        <v>3924</v>
      </c>
      <c r="F1698" s="1" t="s">
        <v>3925</v>
      </c>
      <c r="I1698" s="16">
        <v>42473.606377314813</v>
      </c>
      <c r="J1698" s="1" t="s">
        <v>3926</v>
      </c>
      <c r="K1698" s="1" t="s">
        <v>18</v>
      </c>
      <c r="L1698" s="1" t="s">
        <v>19</v>
      </c>
    </row>
    <row r="1699" spans="1:12" ht="13" x14ac:dyDescent="0.15">
      <c r="A1699" s="1">
        <v>176510</v>
      </c>
      <c r="B1699" s="1">
        <v>0</v>
      </c>
      <c r="C1699" s="1" t="s">
        <v>26</v>
      </c>
      <c r="D1699" s="1" t="s">
        <v>3911</v>
      </c>
      <c r="E1699" s="1" t="s">
        <v>3927</v>
      </c>
      <c r="F1699" s="1" t="s">
        <v>1033</v>
      </c>
      <c r="G1699" s="1" t="s">
        <v>23</v>
      </c>
      <c r="I1699" s="16">
        <v>41320.710601851853</v>
      </c>
      <c r="J1699" s="1" t="s">
        <v>40</v>
      </c>
      <c r="K1699" s="1" t="s">
        <v>18</v>
      </c>
      <c r="L1699" s="1" t="s">
        <v>19</v>
      </c>
    </row>
    <row r="1700" spans="1:12" ht="13" x14ac:dyDescent="0.15">
      <c r="A1700" s="1">
        <v>431563</v>
      </c>
      <c r="B1700" s="1">
        <v>0</v>
      </c>
      <c r="D1700" s="1" t="s">
        <v>3911</v>
      </c>
      <c r="E1700" s="1" t="s">
        <v>3928</v>
      </c>
      <c r="F1700" s="1" t="s">
        <v>3458</v>
      </c>
      <c r="G1700" s="1" t="s">
        <v>23</v>
      </c>
      <c r="I1700" s="16">
        <v>41952.149861111109</v>
      </c>
      <c r="J1700" s="1" t="s">
        <v>17</v>
      </c>
      <c r="K1700" s="1" t="s">
        <v>18</v>
      </c>
      <c r="L1700" s="1" t="s">
        <v>19</v>
      </c>
    </row>
    <row r="1701" spans="1:12" ht="13" x14ac:dyDescent="0.15">
      <c r="A1701" s="1">
        <v>647926</v>
      </c>
      <c r="B1701" s="1">
        <v>0</v>
      </c>
      <c r="C1701" s="1" t="s">
        <v>3929</v>
      </c>
      <c r="D1701" s="1" t="s">
        <v>3911</v>
      </c>
      <c r="E1701" s="1" t="s">
        <v>3930</v>
      </c>
      <c r="F1701" s="1" t="s">
        <v>3931</v>
      </c>
      <c r="G1701" s="1" t="s">
        <v>16</v>
      </c>
      <c r="I1701" s="16">
        <v>42630.497129629628</v>
      </c>
      <c r="J1701" s="1" t="s">
        <v>17</v>
      </c>
      <c r="K1701" s="1" t="s">
        <v>18</v>
      </c>
      <c r="L1701" s="1" t="s">
        <v>19</v>
      </c>
    </row>
    <row r="1702" spans="1:12" ht="13" x14ac:dyDescent="0.15">
      <c r="A1702" s="1">
        <v>389155</v>
      </c>
      <c r="B1702" s="1">
        <v>0</v>
      </c>
      <c r="C1702" s="1" t="s">
        <v>12</v>
      </c>
      <c r="D1702" s="1" t="s">
        <v>3911</v>
      </c>
      <c r="E1702" s="1" t="s">
        <v>3932</v>
      </c>
      <c r="F1702" s="1" t="s">
        <v>3933</v>
      </c>
      <c r="G1702" s="1" t="s">
        <v>23</v>
      </c>
      <c r="I1702" s="16">
        <v>41816.639351851853</v>
      </c>
      <c r="J1702" s="1" t="s">
        <v>17</v>
      </c>
      <c r="K1702" s="1" t="s">
        <v>18</v>
      </c>
      <c r="L1702" s="1" t="s">
        <v>19</v>
      </c>
    </row>
    <row r="1703" spans="1:12" ht="13" x14ac:dyDescent="0.15">
      <c r="A1703" s="1">
        <v>621845</v>
      </c>
      <c r="B1703" s="1">
        <v>0</v>
      </c>
      <c r="C1703" s="1" t="s">
        <v>137</v>
      </c>
      <c r="D1703" s="1" t="s">
        <v>3911</v>
      </c>
      <c r="E1703" s="1" t="s">
        <v>3934</v>
      </c>
      <c r="F1703" s="1" t="s">
        <v>3935</v>
      </c>
      <c r="G1703" s="1" t="s">
        <v>16</v>
      </c>
      <c r="I1703" s="16">
        <v>42542.402499999997</v>
      </c>
      <c r="J1703" s="1" t="s">
        <v>17</v>
      </c>
      <c r="K1703" s="1" t="s">
        <v>18</v>
      </c>
      <c r="L1703" s="1" t="s">
        <v>19</v>
      </c>
    </row>
    <row r="1704" spans="1:12" ht="13" x14ac:dyDescent="0.15">
      <c r="A1704" s="1">
        <v>468619</v>
      </c>
      <c r="B1704" s="1">
        <v>0</v>
      </c>
      <c r="D1704" s="1" t="s">
        <v>3911</v>
      </c>
      <c r="E1704" s="1" t="s">
        <v>3936</v>
      </c>
      <c r="F1704" s="1" t="s">
        <v>3937</v>
      </c>
      <c r="G1704" s="1" t="s">
        <v>23</v>
      </c>
      <c r="I1704" s="16">
        <v>42082.202881944446</v>
      </c>
      <c r="J1704" s="1" t="s">
        <v>17</v>
      </c>
      <c r="K1704" s="1" t="s">
        <v>18</v>
      </c>
      <c r="L1704" s="1" t="s">
        <v>19</v>
      </c>
    </row>
    <row r="1705" spans="1:12" ht="13" x14ac:dyDescent="0.15">
      <c r="A1705" s="1">
        <v>427511</v>
      </c>
      <c r="B1705" s="1">
        <v>0</v>
      </c>
      <c r="D1705" s="1" t="s">
        <v>3911</v>
      </c>
      <c r="E1705" s="1" t="s">
        <v>3938</v>
      </c>
      <c r="F1705" s="1" t="s">
        <v>3939</v>
      </c>
      <c r="G1705" s="1" t="s">
        <v>23</v>
      </c>
      <c r="I1705" s="16">
        <v>41939.655509259261</v>
      </c>
      <c r="J1705" s="1" t="s">
        <v>17</v>
      </c>
      <c r="K1705" s="1" t="s">
        <v>18</v>
      </c>
      <c r="L1705" s="1" t="s">
        <v>19</v>
      </c>
    </row>
    <row r="1706" spans="1:12" ht="13" x14ac:dyDescent="0.15">
      <c r="A1706" s="1">
        <v>95841</v>
      </c>
      <c r="B1706" s="1">
        <v>0</v>
      </c>
      <c r="C1706" s="1" t="s">
        <v>26</v>
      </c>
      <c r="D1706" s="1" t="s">
        <v>3911</v>
      </c>
      <c r="E1706" s="1" t="s">
        <v>3940</v>
      </c>
      <c r="F1706" s="1" t="s">
        <v>3941</v>
      </c>
      <c r="G1706" s="1" t="s">
        <v>23</v>
      </c>
      <c r="I1706" s="16">
        <v>40794.710104166668</v>
      </c>
      <c r="J1706" s="1" t="s">
        <v>40</v>
      </c>
      <c r="K1706" s="1" t="s">
        <v>18</v>
      </c>
      <c r="L1706" s="1" t="s">
        <v>19</v>
      </c>
    </row>
    <row r="1707" spans="1:12" ht="13" x14ac:dyDescent="0.15">
      <c r="A1707" s="1">
        <v>689125</v>
      </c>
      <c r="B1707" s="1">
        <v>0</v>
      </c>
      <c r="C1707" s="1" t="s">
        <v>3942</v>
      </c>
      <c r="D1707" s="1" t="s">
        <v>3911</v>
      </c>
      <c r="E1707" s="1" t="s">
        <v>3943</v>
      </c>
      <c r="F1707" s="1" t="s">
        <v>3944</v>
      </c>
      <c r="G1707" s="1" t="s">
        <v>1056</v>
      </c>
      <c r="I1707" s="16">
        <v>42772.795543981483</v>
      </c>
      <c r="J1707" s="1" t="s">
        <v>1023</v>
      </c>
      <c r="K1707" s="1" t="s">
        <v>18</v>
      </c>
      <c r="L1707" s="1" t="s">
        <v>19</v>
      </c>
    </row>
    <row r="1708" spans="1:12" ht="13" x14ac:dyDescent="0.15">
      <c r="A1708" s="1">
        <v>513918</v>
      </c>
      <c r="B1708" s="1">
        <v>0</v>
      </c>
      <c r="C1708" s="1" t="s">
        <v>101</v>
      </c>
      <c r="D1708" s="1" t="s">
        <v>3911</v>
      </c>
      <c r="E1708" s="1" t="s">
        <v>877</v>
      </c>
      <c r="F1708" s="1" t="s">
        <v>3945</v>
      </c>
      <c r="G1708" s="1" t="s">
        <v>23</v>
      </c>
      <c r="I1708" s="16">
        <v>42209.966226851851</v>
      </c>
      <c r="J1708" s="1" t="s">
        <v>17</v>
      </c>
      <c r="K1708" s="1" t="s">
        <v>18</v>
      </c>
      <c r="L1708" s="1" t="s">
        <v>19</v>
      </c>
    </row>
    <row r="1709" spans="1:12" ht="13" x14ac:dyDescent="0.15">
      <c r="A1709" s="1">
        <v>643629</v>
      </c>
      <c r="B1709" s="1">
        <v>0</v>
      </c>
      <c r="C1709" s="1" t="s">
        <v>1742</v>
      </c>
      <c r="D1709" s="1" t="s">
        <v>3911</v>
      </c>
      <c r="E1709" s="1" t="s">
        <v>3946</v>
      </c>
      <c r="F1709" s="1" t="s">
        <v>3947</v>
      </c>
      <c r="G1709" s="1" t="s">
        <v>1056</v>
      </c>
      <c r="I1709" s="16">
        <v>42615.458402777775</v>
      </c>
      <c r="J1709" s="1" t="s">
        <v>1301</v>
      </c>
      <c r="K1709" s="1" t="s">
        <v>18</v>
      </c>
      <c r="L1709" s="1" t="s">
        <v>19</v>
      </c>
    </row>
    <row r="1710" spans="1:12" ht="13" x14ac:dyDescent="0.15">
      <c r="A1710" s="1">
        <v>699457</v>
      </c>
      <c r="B1710" s="1">
        <v>0</v>
      </c>
      <c r="C1710" s="1" t="s">
        <v>727</v>
      </c>
      <c r="D1710" s="1" t="s">
        <v>3911</v>
      </c>
      <c r="E1710" s="1" t="s">
        <v>3948</v>
      </c>
      <c r="F1710" s="1" t="s">
        <v>3949</v>
      </c>
      <c r="G1710" s="1" t="s">
        <v>16</v>
      </c>
      <c r="I1710" s="16">
        <v>42802.368379629632</v>
      </c>
      <c r="J1710" s="1" t="s">
        <v>17</v>
      </c>
      <c r="K1710" s="1" t="s">
        <v>18</v>
      </c>
      <c r="L1710" s="1" t="s">
        <v>19</v>
      </c>
    </row>
    <row r="1711" spans="1:12" ht="13" x14ac:dyDescent="0.15">
      <c r="A1711" s="1">
        <v>511864</v>
      </c>
      <c r="B1711" s="1">
        <v>0</v>
      </c>
      <c r="C1711" s="1" t="s">
        <v>305</v>
      </c>
      <c r="D1711" s="1" t="s">
        <v>3911</v>
      </c>
      <c r="E1711" s="1" t="s">
        <v>3950</v>
      </c>
      <c r="F1711" s="1" t="s">
        <v>3951</v>
      </c>
      <c r="I1711" s="16">
        <v>42205.168877314813</v>
      </c>
      <c r="J1711" s="1" t="s">
        <v>3952</v>
      </c>
      <c r="K1711" s="1" t="s">
        <v>18</v>
      </c>
      <c r="L1711" s="1" t="s">
        <v>19</v>
      </c>
    </row>
    <row r="1712" spans="1:12" ht="13" x14ac:dyDescent="0.15">
      <c r="A1712" s="1">
        <v>237116</v>
      </c>
      <c r="B1712" s="1">
        <v>0</v>
      </c>
      <c r="C1712" s="1" t="s">
        <v>3953</v>
      </c>
      <c r="D1712" s="1" t="s">
        <v>3911</v>
      </c>
      <c r="E1712" s="1" t="s">
        <v>3954</v>
      </c>
      <c r="F1712" s="1" t="s">
        <v>3955</v>
      </c>
      <c r="G1712" s="1" t="s">
        <v>3609</v>
      </c>
      <c r="I1712" s="16">
        <v>41395.534942129627</v>
      </c>
      <c r="J1712" s="1" t="s">
        <v>3956</v>
      </c>
      <c r="K1712" s="1" t="s">
        <v>18</v>
      </c>
      <c r="L1712" s="1" t="s">
        <v>19</v>
      </c>
    </row>
    <row r="1713" spans="1:16" ht="13" x14ac:dyDescent="0.15">
      <c r="A1713" s="1">
        <v>450051</v>
      </c>
      <c r="B1713" s="1">
        <v>0</v>
      </c>
      <c r="C1713" s="1" t="s">
        <v>1815</v>
      </c>
      <c r="D1713" s="1" t="s">
        <v>3911</v>
      </c>
      <c r="E1713" s="1" t="s">
        <v>3957</v>
      </c>
      <c r="F1713" s="1" t="s">
        <v>3958</v>
      </c>
      <c r="G1713" s="1" t="s">
        <v>23</v>
      </c>
      <c r="I1713" s="16">
        <v>42023.76054398148</v>
      </c>
      <c r="J1713" s="1" t="s">
        <v>17</v>
      </c>
      <c r="K1713" s="1" t="s">
        <v>18</v>
      </c>
      <c r="L1713" s="1" t="s">
        <v>19</v>
      </c>
    </row>
    <row r="1714" spans="1:16" ht="13" x14ac:dyDescent="0.15">
      <c r="A1714" s="1">
        <v>651331</v>
      </c>
      <c r="B1714" s="1">
        <v>0</v>
      </c>
      <c r="D1714" s="1" t="s">
        <v>3911</v>
      </c>
      <c r="E1714" s="1" t="s">
        <v>3959</v>
      </c>
      <c r="F1714" s="1" t="s">
        <v>3960</v>
      </c>
      <c r="G1714" s="1" t="s">
        <v>16</v>
      </c>
      <c r="I1714" s="16">
        <v>42642.353298611109</v>
      </c>
      <c r="J1714" s="1" t="s">
        <v>17</v>
      </c>
      <c r="K1714" s="1" t="s">
        <v>18</v>
      </c>
      <c r="L1714" s="1" t="s">
        <v>19</v>
      </c>
    </row>
    <row r="1715" spans="1:16" ht="13" x14ac:dyDescent="0.15">
      <c r="A1715" s="1">
        <v>622196</v>
      </c>
      <c r="B1715" s="1">
        <v>0</v>
      </c>
      <c r="C1715" s="1" t="s">
        <v>3961</v>
      </c>
      <c r="D1715" s="1" t="s">
        <v>3911</v>
      </c>
      <c r="E1715" s="1" t="s">
        <v>3962</v>
      </c>
      <c r="F1715" s="1" t="s">
        <v>3963</v>
      </c>
      <c r="G1715" s="1" t="s">
        <v>16</v>
      </c>
      <c r="I1715" s="16">
        <v>42543.297997685186</v>
      </c>
      <c r="J1715" s="1" t="s">
        <v>17</v>
      </c>
      <c r="K1715" s="1" t="s">
        <v>18</v>
      </c>
      <c r="L1715" s="1" t="s">
        <v>19</v>
      </c>
    </row>
    <row r="1716" spans="1:16" ht="13" x14ac:dyDescent="0.15">
      <c r="A1716" s="1">
        <v>617735</v>
      </c>
      <c r="B1716" s="1">
        <v>0</v>
      </c>
      <c r="C1716" s="1" t="s">
        <v>424</v>
      </c>
      <c r="D1716" s="1" t="s">
        <v>3911</v>
      </c>
      <c r="E1716" s="1" t="s">
        <v>3964</v>
      </c>
      <c r="F1716" s="1" t="s">
        <v>3965</v>
      </c>
      <c r="G1716" s="1" t="s">
        <v>540</v>
      </c>
      <c r="I1716" s="16">
        <v>42527.834074074075</v>
      </c>
      <c r="J1716" s="1" t="s">
        <v>17</v>
      </c>
      <c r="K1716" s="1" t="s">
        <v>18</v>
      </c>
      <c r="L1716" s="1" t="s">
        <v>19</v>
      </c>
    </row>
    <row r="1717" spans="1:16" ht="13" x14ac:dyDescent="0.15">
      <c r="A1717" s="1">
        <v>375385</v>
      </c>
      <c r="B1717" s="1">
        <v>0</v>
      </c>
      <c r="D1717" s="1" t="s">
        <v>3911</v>
      </c>
      <c r="E1717" s="1" t="s">
        <v>3966</v>
      </c>
      <c r="F1717" s="1" t="s">
        <v>3967</v>
      </c>
      <c r="G1717" s="1" t="s">
        <v>353</v>
      </c>
      <c r="I1717" s="16">
        <v>41779.778240740743</v>
      </c>
      <c r="J1717" s="1" t="s">
        <v>3968</v>
      </c>
      <c r="K1717" s="1" t="s">
        <v>18</v>
      </c>
      <c r="L1717" s="1" t="s">
        <v>19</v>
      </c>
    </row>
    <row r="1718" spans="1:16" ht="13" x14ac:dyDescent="0.15">
      <c r="A1718" s="1">
        <v>465455</v>
      </c>
      <c r="B1718" s="1">
        <v>0</v>
      </c>
      <c r="D1718" s="1" t="s">
        <v>3911</v>
      </c>
      <c r="E1718" s="1" t="s">
        <v>798</v>
      </c>
      <c r="F1718" s="1" t="s">
        <v>3969</v>
      </c>
      <c r="G1718" s="1" t="s">
        <v>23</v>
      </c>
      <c r="I1718" s="16">
        <v>42072.843692129631</v>
      </c>
      <c r="J1718" s="1" t="s">
        <v>17</v>
      </c>
      <c r="K1718" s="1" t="s">
        <v>18</v>
      </c>
      <c r="L1718" s="1" t="s">
        <v>19</v>
      </c>
    </row>
    <row r="1719" spans="1:16" ht="13" x14ac:dyDescent="0.15">
      <c r="A1719" s="1">
        <v>124953</v>
      </c>
      <c r="B1719" s="1">
        <v>1</v>
      </c>
      <c r="C1719" s="1" t="s">
        <v>2454</v>
      </c>
      <c r="D1719" s="1" t="s">
        <v>3911</v>
      </c>
      <c r="E1719" s="1" t="s">
        <v>3569</v>
      </c>
      <c r="F1719" s="1" t="s">
        <v>3970</v>
      </c>
      <c r="G1719" s="1" t="s">
        <v>23</v>
      </c>
      <c r="I1719" s="16">
        <v>41024.087233796294</v>
      </c>
      <c r="J1719" s="1" t="s">
        <v>155</v>
      </c>
      <c r="K1719" s="1" t="s">
        <v>18</v>
      </c>
      <c r="L1719" s="1" t="s">
        <v>19</v>
      </c>
      <c r="M1719" s="1">
        <v>131794</v>
      </c>
      <c r="N1719" s="1" t="s">
        <v>3971</v>
      </c>
      <c r="O1719" s="16">
        <v>41068.562118055554</v>
      </c>
      <c r="P1719" s="1" t="s">
        <v>40</v>
      </c>
    </row>
    <row r="1720" spans="1:16" ht="13" x14ac:dyDescent="0.15">
      <c r="A1720" s="1">
        <v>162653</v>
      </c>
      <c r="B1720" s="1">
        <v>0</v>
      </c>
      <c r="C1720" s="1" t="s">
        <v>26</v>
      </c>
      <c r="D1720" s="1" t="s">
        <v>3911</v>
      </c>
      <c r="E1720" s="1" t="s">
        <v>3972</v>
      </c>
      <c r="F1720" s="1" t="s">
        <v>3973</v>
      </c>
      <c r="G1720" s="1" t="s">
        <v>23</v>
      </c>
      <c r="I1720" s="16">
        <v>41239.754340277781</v>
      </c>
      <c r="J1720" s="1" t="s">
        <v>40</v>
      </c>
      <c r="K1720" s="1" t="s">
        <v>18</v>
      </c>
      <c r="L1720" s="1" t="s">
        <v>19</v>
      </c>
    </row>
    <row r="1721" spans="1:16" ht="13" x14ac:dyDescent="0.15">
      <c r="A1721" s="1">
        <v>458705</v>
      </c>
      <c r="B1721" s="1">
        <v>0</v>
      </c>
      <c r="D1721" s="1" t="s">
        <v>3911</v>
      </c>
      <c r="E1721" s="1" t="s">
        <v>3974</v>
      </c>
      <c r="F1721" s="1" t="s">
        <v>342</v>
      </c>
      <c r="G1721" s="1" t="s">
        <v>23</v>
      </c>
      <c r="I1721" s="16">
        <v>42048.981574074074</v>
      </c>
      <c r="J1721" s="1" t="s">
        <v>17</v>
      </c>
      <c r="K1721" s="1" t="s">
        <v>18</v>
      </c>
      <c r="L1721" s="1" t="s">
        <v>19</v>
      </c>
    </row>
    <row r="1722" spans="1:16" ht="13" x14ac:dyDescent="0.15">
      <c r="A1722" s="1">
        <v>350759</v>
      </c>
      <c r="B1722" s="1">
        <v>0</v>
      </c>
      <c r="C1722" s="1" t="s">
        <v>527</v>
      </c>
      <c r="D1722" s="1" t="s">
        <v>3911</v>
      </c>
      <c r="E1722" s="1" t="s">
        <v>3975</v>
      </c>
      <c r="F1722" s="1" t="s">
        <v>3976</v>
      </c>
      <c r="G1722" s="1" t="s">
        <v>23</v>
      </c>
      <c r="I1722" s="16">
        <v>41708.033645833333</v>
      </c>
      <c r="J1722" s="1" t="s">
        <v>17</v>
      </c>
      <c r="K1722" s="1" t="s">
        <v>18</v>
      </c>
      <c r="L1722" s="1" t="s">
        <v>19</v>
      </c>
    </row>
    <row r="1723" spans="1:16" ht="13" x14ac:dyDescent="0.15">
      <c r="A1723" s="1">
        <v>457261</v>
      </c>
      <c r="B1723" s="1">
        <v>0</v>
      </c>
      <c r="C1723" s="1" t="s">
        <v>137</v>
      </c>
      <c r="D1723" s="1" t="s">
        <v>3911</v>
      </c>
      <c r="E1723" s="1" t="s">
        <v>3977</v>
      </c>
      <c r="F1723" s="1" t="s">
        <v>3978</v>
      </c>
      <c r="I1723" s="16">
        <v>42045.655613425923</v>
      </c>
      <c r="J1723" s="1" t="s">
        <v>656</v>
      </c>
      <c r="K1723" s="1" t="s">
        <v>18</v>
      </c>
      <c r="L1723" s="1" t="s">
        <v>19</v>
      </c>
    </row>
    <row r="1724" spans="1:16" ht="13" x14ac:dyDescent="0.15">
      <c r="A1724" s="1">
        <v>629131</v>
      </c>
      <c r="B1724" s="1">
        <v>0</v>
      </c>
      <c r="C1724" s="1" t="s">
        <v>3979</v>
      </c>
      <c r="D1724" s="1" t="s">
        <v>3911</v>
      </c>
      <c r="E1724" s="1" t="s">
        <v>3980</v>
      </c>
      <c r="F1724" s="1" t="s">
        <v>3981</v>
      </c>
      <c r="G1724" s="1" t="s">
        <v>1577</v>
      </c>
      <c r="I1724" s="16">
        <v>42569.733449074076</v>
      </c>
      <c r="J1724" s="1" t="s">
        <v>3982</v>
      </c>
      <c r="K1724" s="1" t="s">
        <v>18</v>
      </c>
      <c r="L1724" s="1" t="s">
        <v>19</v>
      </c>
    </row>
    <row r="1725" spans="1:16" ht="13" x14ac:dyDescent="0.15">
      <c r="A1725" s="1">
        <v>489060</v>
      </c>
      <c r="B1725" s="1">
        <v>0</v>
      </c>
      <c r="C1725" s="1" t="s">
        <v>490</v>
      </c>
      <c r="D1725" s="1" t="s">
        <v>3911</v>
      </c>
      <c r="E1725" s="1" t="s">
        <v>3983</v>
      </c>
      <c r="F1725" s="1" t="s">
        <v>3984</v>
      </c>
      <c r="G1725" s="1" t="s">
        <v>159</v>
      </c>
      <c r="I1725" s="16">
        <v>42141.811076388891</v>
      </c>
      <c r="J1725" s="1" t="s">
        <v>2052</v>
      </c>
      <c r="K1725" s="1" t="s">
        <v>18</v>
      </c>
      <c r="L1725" s="1" t="s">
        <v>19</v>
      </c>
    </row>
    <row r="1726" spans="1:16" ht="13" x14ac:dyDescent="0.15">
      <c r="A1726" s="1">
        <v>176660</v>
      </c>
      <c r="B1726" s="1">
        <v>0</v>
      </c>
      <c r="C1726" s="1" t="s">
        <v>170</v>
      </c>
      <c r="D1726" s="1" t="s">
        <v>3911</v>
      </c>
      <c r="E1726" s="1" t="s">
        <v>3985</v>
      </c>
      <c r="F1726" s="1" t="s">
        <v>3986</v>
      </c>
      <c r="G1726" s="1" t="s">
        <v>23</v>
      </c>
      <c r="I1726" s="16">
        <v>41321.266493055555</v>
      </c>
      <c r="J1726" s="1" t="s">
        <v>40</v>
      </c>
      <c r="K1726" s="1" t="s">
        <v>18</v>
      </c>
      <c r="L1726" s="1" t="s">
        <v>19</v>
      </c>
    </row>
    <row r="1727" spans="1:16" ht="13" x14ac:dyDescent="0.15">
      <c r="A1727" s="1">
        <v>682187</v>
      </c>
      <c r="B1727" s="1">
        <v>0</v>
      </c>
      <c r="C1727" s="1" t="s">
        <v>1742</v>
      </c>
      <c r="D1727" s="1" t="s">
        <v>3911</v>
      </c>
      <c r="E1727" s="1" t="s">
        <v>3451</v>
      </c>
      <c r="F1727" s="1" t="s">
        <v>3987</v>
      </c>
      <c r="G1727" s="1" t="s">
        <v>1056</v>
      </c>
      <c r="I1727" s="16">
        <v>42753.458634259259</v>
      </c>
      <c r="J1727" s="1" t="s">
        <v>1301</v>
      </c>
      <c r="K1727" s="1" t="s">
        <v>18</v>
      </c>
      <c r="L1727" s="1" t="s">
        <v>19</v>
      </c>
    </row>
    <row r="1728" spans="1:16" ht="13" x14ac:dyDescent="0.15">
      <c r="A1728" s="1">
        <v>367988</v>
      </c>
      <c r="B1728" s="1">
        <v>0</v>
      </c>
      <c r="C1728" s="1" t="s">
        <v>50</v>
      </c>
      <c r="D1728" s="1" t="s">
        <v>3911</v>
      </c>
      <c r="E1728" s="1" t="s">
        <v>3988</v>
      </c>
      <c r="F1728" s="1" t="s">
        <v>3989</v>
      </c>
      <c r="G1728" s="1" t="s">
        <v>353</v>
      </c>
      <c r="I1728" s="16">
        <v>41757.896805555552</v>
      </c>
      <c r="J1728" s="1" t="s">
        <v>17</v>
      </c>
      <c r="K1728" s="1" t="s">
        <v>18</v>
      </c>
      <c r="L1728" s="1" t="s">
        <v>19</v>
      </c>
    </row>
    <row r="1729" spans="1:12" ht="13" x14ac:dyDescent="0.15">
      <c r="A1729" s="1">
        <v>700285</v>
      </c>
      <c r="B1729" s="1">
        <v>0</v>
      </c>
      <c r="C1729" s="1" t="s">
        <v>101</v>
      </c>
      <c r="D1729" s="1" t="s">
        <v>3911</v>
      </c>
      <c r="E1729" s="1" t="s">
        <v>3990</v>
      </c>
      <c r="F1729" s="1" t="s">
        <v>3991</v>
      </c>
      <c r="G1729" s="1" t="s">
        <v>56</v>
      </c>
      <c r="I1729" s="16">
        <v>42804.361331018517</v>
      </c>
      <c r="J1729" s="1" t="s">
        <v>17</v>
      </c>
      <c r="K1729" s="1" t="s">
        <v>18</v>
      </c>
      <c r="L1729" s="1" t="s">
        <v>19</v>
      </c>
    </row>
    <row r="1730" spans="1:12" ht="13" x14ac:dyDescent="0.15">
      <c r="A1730" s="1">
        <v>440205</v>
      </c>
      <c r="B1730" s="1">
        <v>0</v>
      </c>
      <c r="C1730" s="1" t="s">
        <v>137</v>
      </c>
      <c r="D1730" s="1" t="s">
        <v>3911</v>
      </c>
      <c r="E1730" s="1" t="s">
        <v>3992</v>
      </c>
      <c r="F1730" s="1" t="s">
        <v>3993</v>
      </c>
      <c r="I1730" s="16">
        <v>41982.050625000003</v>
      </c>
      <c r="J1730" s="1" t="s">
        <v>836</v>
      </c>
      <c r="K1730" s="1" t="s">
        <v>18</v>
      </c>
      <c r="L1730" s="1" t="s">
        <v>19</v>
      </c>
    </row>
    <row r="1731" spans="1:12" ht="13" x14ac:dyDescent="0.15">
      <c r="A1731" s="1">
        <v>252926</v>
      </c>
      <c r="B1731" s="1">
        <v>0</v>
      </c>
      <c r="C1731" s="1" t="s">
        <v>2709</v>
      </c>
      <c r="D1731" s="1" t="s">
        <v>3911</v>
      </c>
      <c r="E1731" s="1" t="s">
        <v>3994</v>
      </c>
      <c r="F1731" s="1" t="s">
        <v>3995</v>
      </c>
      <c r="G1731" s="1" t="s">
        <v>3996</v>
      </c>
      <c r="I1731" s="16">
        <v>41446.925335648149</v>
      </c>
      <c r="J1731" s="1" t="s">
        <v>3997</v>
      </c>
      <c r="K1731" s="1" t="s">
        <v>18</v>
      </c>
      <c r="L1731" s="1" t="s">
        <v>19</v>
      </c>
    </row>
    <row r="1732" spans="1:12" ht="13" x14ac:dyDescent="0.15">
      <c r="A1732" s="1">
        <v>133195</v>
      </c>
      <c r="B1732" s="1">
        <v>0</v>
      </c>
      <c r="C1732" s="1" t="s">
        <v>26</v>
      </c>
      <c r="D1732" s="1" t="s">
        <v>3911</v>
      </c>
      <c r="E1732" s="1" t="s">
        <v>3998</v>
      </c>
      <c r="F1732" s="1" t="s">
        <v>3999</v>
      </c>
      <c r="G1732" s="1" t="s">
        <v>23</v>
      </c>
      <c r="I1732" s="16">
        <v>41077.113877314812</v>
      </c>
      <c r="J1732" s="1" t="s">
        <v>40</v>
      </c>
      <c r="K1732" s="1" t="s">
        <v>18</v>
      </c>
      <c r="L1732" s="1" t="s">
        <v>19</v>
      </c>
    </row>
    <row r="1733" spans="1:12" ht="13" x14ac:dyDescent="0.15">
      <c r="A1733" s="1">
        <v>118806</v>
      </c>
      <c r="B1733" s="1">
        <v>0</v>
      </c>
      <c r="C1733" s="1" t="s">
        <v>26</v>
      </c>
      <c r="D1733" s="1" t="s">
        <v>3911</v>
      </c>
      <c r="E1733" s="1" t="s">
        <v>1105</v>
      </c>
      <c r="F1733" s="1" t="s">
        <v>3970</v>
      </c>
      <c r="G1733" s="1" t="s">
        <v>23</v>
      </c>
      <c r="I1733" s="16">
        <v>40986.318865740737</v>
      </c>
      <c r="J1733" s="1" t="s">
        <v>40</v>
      </c>
      <c r="K1733" s="1" t="s">
        <v>18</v>
      </c>
      <c r="L1733" s="1" t="s">
        <v>19</v>
      </c>
    </row>
    <row r="1734" spans="1:12" ht="13" x14ac:dyDescent="0.15">
      <c r="A1734" s="1">
        <v>323218</v>
      </c>
      <c r="B1734" s="1">
        <v>0</v>
      </c>
      <c r="C1734" s="1" t="s">
        <v>4000</v>
      </c>
      <c r="D1734" s="1" t="s">
        <v>3911</v>
      </c>
      <c r="E1734" s="1" t="s">
        <v>4001</v>
      </c>
      <c r="F1734" s="1" t="s">
        <v>4002</v>
      </c>
      <c r="G1734" s="1" t="s">
        <v>159</v>
      </c>
      <c r="I1734" s="16">
        <v>41603.777754629627</v>
      </c>
      <c r="J1734" s="1" t="s">
        <v>4003</v>
      </c>
      <c r="K1734" s="1" t="s">
        <v>18</v>
      </c>
      <c r="L1734" s="1" t="s">
        <v>19</v>
      </c>
    </row>
    <row r="1735" spans="1:12" ht="13" x14ac:dyDescent="0.15">
      <c r="A1735" s="1">
        <v>449591</v>
      </c>
      <c r="B1735" s="1">
        <v>0</v>
      </c>
      <c r="D1735" s="1" t="s">
        <v>3911</v>
      </c>
      <c r="E1735" s="1" t="s">
        <v>4004</v>
      </c>
      <c r="F1735" s="1" t="s">
        <v>3969</v>
      </c>
      <c r="G1735" s="1" t="s">
        <v>23</v>
      </c>
      <c r="I1735" s="16">
        <v>42020.74596064815</v>
      </c>
      <c r="J1735" s="1" t="s">
        <v>17</v>
      </c>
      <c r="K1735" s="1" t="s">
        <v>18</v>
      </c>
      <c r="L1735" s="1" t="s">
        <v>19</v>
      </c>
    </row>
    <row r="1736" spans="1:12" ht="13" x14ac:dyDescent="0.15">
      <c r="A1736" s="1">
        <v>500353</v>
      </c>
      <c r="B1736" s="1">
        <v>0</v>
      </c>
      <c r="C1736" s="1" t="s">
        <v>65</v>
      </c>
      <c r="D1736" s="1" t="s">
        <v>3911</v>
      </c>
      <c r="E1736" s="1" t="s">
        <v>4005</v>
      </c>
      <c r="F1736" s="1" t="s">
        <v>4006</v>
      </c>
      <c r="G1736" s="1" t="s">
        <v>23</v>
      </c>
      <c r="I1736" s="16">
        <v>42169.860983796294</v>
      </c>
      <c r="J1736" s="1" t="s">
        <v>17</v>
      </c>
      <c r="K1736" s="1" t="s">
        <v>18</v>
      </c>
      <c r="L1736" s="1" t="s">
        <v>19</v>
      </c>
    </row>
    <row r="1737" spans="1:12" ht="13" x14ac:dyDescent="0.15">
      <c r="A1737" s="1">
        <v>106556</v>
      </c>
      <c r="B1737" s="1">
        <v>0</v>
      </c>
      <c r="C1737" s="1" t="s">
        <v>26</v>
      </c>
      <c r="D1737" s="1" t="s">
        <v>3911</v>
      </c>
      <c r="E1737" s="1" t="s">
        <v>4007</v>
      </c>
      <c r="F1737" s="1" t="s">
        <v>4008</v>
      </c>
      <c r="G1737" s="1" t="s">
        <v>23</v>
      </c>
      <c r="I1737" s="16">
        <v>40883.722881944443</v>
      </c>
      <c r="J1737" s="1" t="s">
        <v>40</v>
      </c>
      <c r="K1737" s="1" t="s">
        <v>18</v>
      </c>
      <c r="L1737" s="1" t="s">
        <v>19</v>
      </c>
    </row>
    <row r="1738" spans="1:12" ht="13" x14ac:dyDescent="0.15">
      <c r="A1738" s="1">
        <v>735412</v>
      </c>
      <c r="B1738" s="1">
        <v>0</v>
      </c>
      <c r="C1738" s="1" t="s">
        <v>1742</v>
      </c>
      <c r="D1738" s="1" t="s">
        <v>3911</v>
      </c>
      <c r="E1738" s="1" t="s">
        <v>4009</v>
      </c>
      <c r="F1738" s="1" t="s">
        <v>4010</v>
      </c>
      <c r="G1738" s="1" t="s">
        <v>1056</v>
      </c>
      <c r="I1738" s="16">
        <v>42907.458391203705</v>
      </c>
      <c r="J1738" s="1" t="s">
        <v>1301</v>
      </c>
      <c r="K1738" s="1" t="s">
        <v>18</v>
      </c>
      <c r="L1738" s="1" t="s">
        <v>19</v>
      </c>
    </row>
    <row r="1739" spans="1:12" ht="13" x14ac:dyDescent="0.15">
      <c r="A1739" s="1">
        <v>667160</v>
      </c>
      <c r="B1739" s="1">
        <v>0</v>
      </c>
      <c r="C1739" s="1" t="s">
        <v>848</v>
      </c>
      <c r="D1739" s="1" t="s">
        <v>3911</v>
      </c>
      <c r="E1739" s="1" t="s">
        <v>849</v>
      </c>
      <c r="F1739" s="1" t="s">
        <v>4011</v>
      </c>
      <c r="G1739" s="1" t="s">
        <v>23</v>
      </c>
      <c r="I1739" s="16">
        <v>42695.15152777778</v>
      </c>
      <c r="J1739" s="1" t="s">
        <v>4012</v>
      </c>
      <c r="K1739" s="1" t="s">
        <v>18</v>
      </c>
      <c r="L1739" s="1" t="s">
        <v>19</v>
      </c>
    </row>
    <row r="1740" spans="1:12" ht="13" x14ac:dyDescent="0.15">
      <c r="A1740" s="1">
        <v>676775</v>
      </c>
      <c r="B1740" s="1">
        <v>0</v>
      </c>
      <c r="C1740" s="1" t="s">
        <v>137</v>
      </c>
      <c r="D1740" s="1" t="s">
        <v>3911</v>
      </c>
      <c r="E1740" s="1" t="s">
        <v>4013</v>
      </c>
      <c r="F1740" s="1" t="s">
        <v>4014</v>
      </c>
      <c r="I1740" s="16">
        <v>42727.376504629632</v>
      </c>
      <c r="J1740" s="1" t="s">
        <v>1365</v>
      </c>
      <c r="K1740" s="1" t="s">
        <v>18</v>
      </c>
      <c r="L1740" s="1" t="s">
        <v>19</v>
      </c>
    </row>
    <row r="1741" spans="1:12" ht="13" x14ac:dyDescent="0.15">
      <c r="A1741" s="1">
        <v>460282</v>
      </c>
      <c r="B1741" s="1">
        <v>0</v>
      </c>
      <c r="D1741" s="1" t="s">
        <v>3911</v>
      </c>
      <c r="E1741" s="1" t="s">
        <v>4015</v>
      </c>
      <c r="F1741" s="1" t="s">
        <v>4016</v>
      </c>
      <c r="G1741" s="1" t="s">
        <v>23</v>
      </c>
      <c r="I1741" s="16">
        <v>42054.981851851851</v>
      </c>
      <c r="J1741" s="1" t="s">
        <v>17</v>
      </c>
      <c r="K1741" s="1" t="s">
        <v>18</v>
      </c>
      <c r="L1741" s="1" t="s">
        <v>19</v>
      </c>
    </row>
    <row r="1742" spans="1:12" ht="13" x14ac:dyDescent="0.15">
      <c r="A1742" s="1">
        <v>582704</v>
      </c>
      <c r="B1742" s="1">
        <v>0</v>
      </c>
      <c r="C1742" s="1" t="s">
        <v>3929</v>
      </c>
      <c r="D1742" s="1" t="s">
        <v>3911</v>
      </c>
      <c r="E1742" s="1" t="s">
        <v>4017</v>
      </c>
      <c r="F1742" s="1" t="s">
        <v>4018</v>
      </c>
      <c r="G1742" s="1" t="s">
        <v>16</v>
      </c>
      <c r="I1742" s="16">
        <v>42399.258020833331</v>
      </c>
      <c r="J1742" s="1" t="s">
        <v>17</v>
      </c>
      <c r="K1742" s="1" t="s">
        <v>18</v>
      </c>
      <c r="L1742" s="1" t="s">
        <v>19</v>
      </c>
    </row>
    <row r="1743" spans="1:12" ht="13" x14ac:dyDescent="0.15">
      <c r="A1743" s="1">
        <v>433862</v>
      </c>
      <c r="B1743" s="1">
        <v>0</v>
      </c>
      <c r="C1743" s="1" t="s">
        <v>424</v>
      </c>
      <c r="D1743" s="1" t="s">
        <v>3911</v>
      </c>
      <c r="E1743" s="1" t="s">
        <v>4019</v>
      </c>
      <c r="F1743" s="1" t="s">
        <v>4020</v>
      </c>
      <c r="G1743" s="1" t="s">
        <v>23</v>
      </c>
      <c r="I1743" s="16">
        <v>41960.672083333331</v>
      </c>
      <c r="J1743" s="1" t="s">
        <v>17</v>
      </c>
      <c r="K1743" s="1" t="s">
        <v>18</v>
      </c>
      <c r="L1743" s="1" t="s">
        <v>19</v>
      </c>
    </row>
    <row r="1744" spans="1:12" ht="13" x14ac:dyDescent="0.15">
      <c r="A1744" s="1">
        <v>145531</v>
      </c>
      <c r="B1744" s="1">
        <v>0</v>
      </c>
      <c r="C1744" s="1" t="s">
        <v>129</v>
      </c>
      <c r="D1744" s="1" t="s">
        <v>3911</v>
      </c>
      <c r="E1744" s="1" t="s">
        <v>4021</v>
      </c>
      <c r="F1744" s="1" t="s">
        <v>4022</v>
      </c>
      <c r="G1744" s="1" t="s">
        <v>23</v>
      </c>
      <c r="I1744" s="16">
        <v>41150.768020833333</v>
      </c>
      <c r="J1744" s="1" t="s">
        <v>44</v>
      </c>
      <c r="K1744" s="1" t="s">
        <v>18</v>
      </c>
      <c r="L1744" s="1" t="s">
        <v>19</v>
      </c>
    </row>
    <row r="1745" spans="1:12" ht="13" x14ac:dyDescent="0.15">
      <c r="A1745" s="1">
        <v>652410</v>
      </c>
      <c r="B1745" s="1">
        <v>0</v>
      </c>
      <c r="C1745" s="1" t="s">
        <v>12</v>
      </c>
      <c r="D1745" s="1" t="s">
        <v>3911</v>
      </c>
      <c r="E1745" s="1" t="s">
        <v>4023</v>
      </c>
      <c r="F1745" s="1" t="s">
        <v>3931</v>
      </c>
      <c r="G1745" s="1" t="s">
        <v>16</v>
      </c>
      <c r="I1745" s="16">
        <v>42646.857905092591</v>
      </c>
      <c r="J1745" s="1" t="s">
        <v>17</v>
      </c>
      <c r="K1745" s="1" t="s">
        <v>18</v>
      </c>
      <c r="L1745" s="1" t="s">
        <v>19</v>
      </c>
    </row>
    <row r="1746" spans="1:12" ht="13" x14ac:dyDescent="0.15">
      <c r="A1746" s="1">
        <v>405959</v>
      </c>
      <c r="B1746" s="1">
        <v>0</v>
      </c>
      <c r="C1746" s="1" t="s">
        <v>829</v>
      </c>
      <c r="D1746" s="1" t="s">
        <v>3911</v>
      </c>
      <c r="E1746" s="1" t="s">
        <v>4004</v>
      </c>
      <c r="F1746" s="1" t="s">
        <v>3458</v>
      </c>
      <c r="G1746" s="1" t="s">
        <v>23</v>
      </c>
      <c r="I1746" s="16">
        <v>41872.625659722224</v>
      </c>
      <c r="J1746" s="1" t="s">
        <v>17</v>
      </c>
      <c r="K1746" s="1" t="s">
        <v>18</v>
      </c>
      <c r="L1746" s="1" t="s">
        <v>19</v>
      </c>
    </row>
    <row r="1747" spans="1:12" ht="13" x14ac:dyDescent="0.15">
      <c r="A1747" s="1">
        <v>632846</v>
      </c>
      <c r="B1747" s="1">
        <v>0</v>
      </c>
      <c r="C1747" s="1" t="s">
        <v>137</v>
      </c>
      <c r="D1747" s="1" t="s">
        <v>3911</v>
      </c>
      <c r="E1747" s="1" t="s">
        <v>4024</v>
      </c>
      <c r="F1747" s="1" t="s">
        <v>4025</v>
      </c>
      <c r="G1747" s="1" t="s">
        <v>16</v>
      </c>
      <c r="I1747" s="16">
        <v>42580.883113425924</v>
      </c>
      <c r="J1747" s="1" t="s">
        <v>17</v>
      </c>
      <c r="K1747" s="1" t="s">
        <v>18</v>
      </c>
      <c r="L1747" s="1" t="s">
        <v>19</v>
      </c>
    </row>
    <row r="1748" spans="1:12" ht="13" x14ac:dyDescent="0.15">
      <c r="A1748" s="1">
        <v>435816</v>
      </c>
      <c r="B1748" s="1">
        <v>0</v>
      </c>
      <c r="D1748" s="1" t="s">
        <v>3911</v>
      </c>
      <c r="E1748" s="1" t="s">
        <v>4026</v>
      </c>
      <c r="F1748" s="1" t="s">
        <v>4027</v>
      </c>
      <c r="G1748" s="1" t="s">
        <v>23</v>
      </c>
      <c r="I1748" s="16">
        <v>41965.397141203706</v>
      </c>
      <c r="J1748" s="1" t="s">
        <v>17</v>
      </c>
      <c r="K1748" s="1" t="s">
        <v>18</v>
      </c>
      <c r="L1748" s="1" t="s">
        <v>19</v>
      </c>
    </row>
    <row r="1749" spans="1:12" ht="13" x14ac:dyDescent="0.15">
      <c r="A1749" s="1">
        <v>455768</v>
      </c>
      <c r="B1749" s="1">
        <v>0</v>
      </c>
      <c r="C1749" s="1" t="s">
        <v>65</v>
      </c>
      <c r="D1749" s="1" t="s">
        <v>3911</v>
      </c>
      <c r="E1749" s="1" t="s">
        <v>4028</v>
      </c>
      <c r="F1749" s="1" t="s">
        <v>3969</v>
      </c>
      <c r="G1749" s="1" t="s">
        <v>23</v>
      </c>
      <c r="I1749" s="16">
        <v>42040.735543981478</v>
      </c>
      <c r="J1749" s="1" t="s">
        <v>17</v>
      </c>
      <c r="K1749" s="1" t="s">
        <v>18</v>
      </c>
      <c r="L1749" s="1" t="s">
        <v>19</v>
      </c>
    </row>
    <row r="1750" spans="1:12" ht="13" x14ac:dyDescent="0.15">
      <c r="A1750" s="1">
        <v>465358</v>
      </c>
      <c r="B1750" s="1">
        <v>0</v>
      </c>
      <c r="D1750" s="1" t="s">
        <v>3911</v>
      </c>
      <c r="E1750" s="1" t="s">
        <v>4029</v>
      </c>
      <c r="F1750" s="1" t="s">
        <v>4030</v>
      </c>
      <c r="G1750" s="1" t="s">
        <v>23</v>
      </c>
      <c r="I1750" s="16">
        <v>42072.652268518519</v>
      </c>
      <c r="J1750" s="1" t="s">
        <v>17</v>
      </c>
      <c r="K1750" s="1" t="s">
        <v>18</v>
      </c>
      <c r="L1750" s="1" t="s">
        <v>19</v>
      </c>
    </row>
    <row r="1751" spans="1:12" ht="13" x14ac:dyDescent="0.15">
      <c r="A1751" s="1">
        <v>326622</v>
      </c>
      <c r="B1751" s="1">
        <v>0</v>
      </c>
      <c r="D1751" s="1" t="s">
        <v>3911</v>
      </c>
      <c r="E1751" s="1" t="s">
        <v>4031</v>
      </c>
      <c r="F1751" s="1" t="s">
        <v>4032</v>
      </c>
      <c r="G1751" s="1" t="s">
        <v>23</v>
      </c>
      <c r="I1751" s="16">
        <v>41614.888009259259</v>
      </c>
      <c r="J1751" s="1" t="s">
        <v>17</v>
      </c>
      <c r="K1751" s="1" t="s">
        <v>18</v>
      </c>
      <c r="L1751" s="1" t="s">
        <v>19</v>
      </c>
    </row>
    <row r="1752" spans="1:12" ht="13" x14ac:dyDescent="0.15">
      <c r="A1752" s="1">
        <v>529525</v>
      </c>
      <c r="B1752" s="1">
        <v>0</v>
      </c>
      <c r="C1752" s="1" t="s">
        <v>663</v>
      </c>
      <c r="D1752" s="1" t="s">
        <v>3911</v>
      </c>
      <c r="E1752" s="1" t="s">
        <v>4033</v>
      </c>
      <c r="F1752" s="1" t="s">
        <v>4034</v>
      </c>
      <c r="G1752" s="1" t="s">
        <v>16</v>
      </c>
      <c r="I1752" s="16">
        <v>42256.037847222222</v>
      </c>
      <c r="J1752" s="1" t="s">
        <v>17</v>
      </c>
      <c r="K1752" s="1" t="s">
        <v>18</v>
      </c>
      <c r="L1752" s="1" t="s">
        <v>19</v>
      </c>
    </row>
    <row r="1753" spans="1:12" ht="13" x14ac:dyDescent="0.15">
      <c r="A1753" s="1">
        <v>683020</v>
      </c>
      <c r="B1753" s="1">
        <v>0</v>
      </c>
      <c r="C1753" s="1" t="s">
        <v>101</v>
      </c>
      <c r="D1753" s="1" t="s">
        <v>3911</v>
      </c>
      <c r="E1753" s="1" t="s">
        <v>4035</v>
      </c>
      <c r="F1753" s="1" t="s">
        <v>4036</v>
      </c>
      <c r="G1753" s="1" t="s">
        <v>16</v>
      </c>
      <c r="I1753" s="16">
        <v>42755.322928240741</v>
      </c>
      <c r="J1753" s="1" t="s">
        <v>4037</v>
      </c>
      <c r="K1753" s="1" t="s">
        <v>18</v>
      </c>
      <c r="L1753" s="1" t="s">
        <v>19</v>
      </c>
    </row>
    <row r="1754" spans="1:12" ht="13" x14ac:dyDescent="0.15">
      <c r="A1754" s="1">
        <v>109174</v>
      </c>
      <c r="B1754" s="1">
        <v>0</v>
      </c>
      <c r="C1754" s="1" t="s">
        <v>26</v>
      </c>
      <c r="D1754" s="1" t="s">
        <v>3911</v>
      </c>
      <c r="E1754" s="1" t="s">
        <v>4038</v>
      </c>
      <c r="F1754" s="1" t="s">
        <v>4008</v>
      </c>
      <c r="G1754" s="1" t="s">
        <v>23</v>
      </c>
      <c r="I1754" s="16">
        <v>40912.871122685188</v>
      </c>
      <c r="J1754" s="1" t="s">
        <v>40</v>
      </c>
      <c r="K1754" s="1" t="s">
        <v>18</v>
      </c>
      <c r="L1754" s="1" t="s">
        <v>19</v>
      </c>
    </row>
    <row r="1755" spans="1:12" ht="13" x14ac:dyDescent="0.15">
      <c r="A1755" s="1">
        <v>359144</v>
      </c>
      <c r="B1755" s="1">
        <v>0</v>
      </c>
      <c r="C1755" s="1" t="s">
        <v>268</v>
      </c>
      <c r="D1755" s="1" t="s">
        <v>3911</v>
      </c>
      <c r="E1755" s="1" t="s">
        <v>4039</v>
      </c>
      <c r="F1755" s="1" t="s">
        <v>4040</v>
      </c>
      <c r="G1755" s="1" t="s">
        <v>23</v>
      </c>
      <c r="I1755" s="16">
        <v>41731.700937499998</v>
      </c>
      <c r="J1755" s="1" t="s">
        <v>17</v>
      </c>
      <c r="K1755" s="1" t="s">
        <v>18</v>
      </c>
      <c r="L1755" s="1" t="s">
        <v>19</v>
      </c>
    </row>
    <row r="1756" spans="1:12" ht="13" x14ac:dyDescent="0.15">
      <c r="A1756" s="1">
        <v>136673</v>
      </c>
      <c r="B1756" s="1">
        <v>0</v>
      </c>
      <c r="C1756" s="1" t="s">
        <v>41</v>
      </c>
      <c r="D1756" s="1" t="s">
        <v>3911</v>
      </c>
      <c r="E1756" s="1" t="s">
        <v>4041</v>
      </c>
      <c r="F1756" s="1" t="s">
        <v>4042</v>
      </c>
      <c r="G1756" s="1" t="s">
        <v>23</v>
      </c>
      <c r="I1756" s="16">
        <v>41101.36509259259</v>
      </c>
      <c r="J1756" s="1" t="s">
        <v>155</v>
      </c>
      <c r="K1756" s="1" t="s">
        <v>18</v>
      </c>
      <c r="L1756" s="1" t="s">
        <v>19</v>
      </c>
    </row>
    <row r="1757" spans="1:12" ht="13" x14ac:dyDescent="0.15">
      <c r="A1757" s="1">
        <v>619375</v>
      </c>
      <c r="B1757" s="1">
        <v>0</v>
      </c>
      <c r="C1757" s="1" t="s">
        <v>65</v>
      </c>
      <c r="D1757" s="1" t="s">
        <v>3911</v>
      </c>
      <c r="E1757" s="1" t="s">
        <v>4043</v>
      </c>
      <c r="F1757" s="1" t="s">
        <v>4044</v>
      </c>
      <c r="G1757" s="1" t="s">
        <v>16</v>
      </c>
      <c r="I1757" s="16">
        <v>42533.167280092595</v>
      </c>
      <c r="J1757" s="1" t="s">
        <v>17</v>
      </c>
      <c r="K1757" s="1" t="s">
        <v>18</v>
      </c>
      <c r="L1757" s="1" t="s">
        <v>19</v>
      </c>
    </row>
    <row r="1758" spans="1:12" ht="13" x14ac:dyDescent="0.15">
      <c r="A1758" s="1">
        <v>683095</v>
      </c>
      <c r="B1758" s="1">
        <v>0</v>
      </c>
      <c r="C1758" s="1" t="s">
        <v>1742</v>
      </c>
      <c r="D1758" s="1" t="s">
        <v>3911</v>
      </c>
      <c r="E1758" s="1" t="s">
        <v>3451</v>
      </c>
      <c r="F1758" s="1" t="s">
        <v>3987</v>
      </c>
      <c r="G1758" s="1" t="s">
        <v>1056</v>
      </c>
      <c r="I1758" s="16">
        <v>42755.458344907405</v>
      </c>
      <c r="J1758" s="1" t="s">
        <v>1301</v>
      </c>
      <c r="K1758" s="1" t="s">
        <v>18</v>
      </c>
      <c r="L1758" s="1" t="s">
        <v>19</v>
      </c>
    </row>
    <row r="1759" spans="1:12" ht="13" x14ac:dyDescent="0.15">
      <c r="A1759" s="1">
        <v>90495</v>
      </c>
      <c r="B1759" s="1">
        <v>0</v>
      </c>
      <c r="C1759" s="1" t="s">
        <v>170</v>
      </c>
      <c r="D1759" s="1" t="s">
        <v>3911</v>
      </c>
      <c r="E1759" s="1" t="s">
        <v>4045</v>
      </c>
      <c r="F1759" s="1" t="s">
        <v>4046</v>
      </c>
      <c r="G1759" s="1" t="s">
        <v>23</v>
      </c>
      <c r="I1759" s="16">
        <v>40750.456793981481</v>
      </c>
      <c r="J1759" s="1" t="s">
        <v>4047</v>
      </c>
      <c r="K1759" s="1" t="s">
        <v>18</v>
      </c>
      <c r="L1759" s="1" t="s">
        <v>19</v>
      </c>
    </row>
    <row r="1760" spans="1:12" ht="13" x14ac:dyDescent="0.15">
      <c r="A1760" s="1">
        <v>368104</v>
      </c>
      <c r="B1760" s="1">
        <v>0</v>
      </c>
      <c r="C1760" s="1" t="s">
        <v>50</v>
      </c>
      <c r="D1760" s="1" t="s">
        <v>3911</v>
      </c>
      <c r="E1760" s="1" t="s">
        <v>4048</v>
      </c>
      <c r="F1760" s="1" t="s">
        <v>4049</v>
      </c>
      <c r="G1760" s="1" t="s">
        <v>353</v>
      </c>
      <c r="I1760" s="16">
        <v>41758.120995370373</v>
      </c>
      <c r="J1760" s="1" t="s">
        <v>17</v>
      </c>
      <c r="K1760" s="1" t="s">
        <v>18</v>
      </c>
      <c r="L1760" s="1" t="s">
        <v>19</v>
      </c>
    </row>
    <row r="1761" spans="1:16" ht="13" x14ac:dyDescent="0.15">
      <c r="A1761" s="1">
        <v>479821</v>
      </c>
      <c r="B1761" s="1">
        <v>0</v>
      </c>
      <c r="D1761" s="1" t="s">
        <v>3911</v>
      </c>
      <c r="E1761" s="1" t="s">
        <v>4050</v>
      </c>
      <c r="F1761" s="1" t="s">
        <v>342</v>
      </c>
      <c r="G1761" s="1" t="s">
        <v>23</v>
      </c>
      <c r="I1761" s="16">
        <v>42116.72619212963</v>
      </c>
      <c r="J1761" s="1" t="s">
        <v>17</v>
      </c>
      <c r="K1761" s="1" t="s">
        <v>18</v>
      </c>
      <c r="L1761" s="1" t="s">
        <v>19</v>
      </c>
    </row>
    <row r="1762" spans="1:16" ht="13" x14ac:dyDescent="0.15">
      <c r="A1762" s="1">
        <v>613575</v>
      </c>
      <c r="B1762" s="1">
        <v>0</v>
      </c>
      <c r="C1762" s="1" t="s">
        <v>4051</v>
      </c>
      <c r="D1762" s="1" t="s">
        <v>3911</v>
      </c>
      <c r="E1762" s="1" t="s">
        <v>4052</v>
      </c>
      <c r="F1762" s="1" t="s">
        <v>4053</v>
      </c>
      <c r="G1762" s="1" t="s">
        <v>23</v>
      </c>
      <c r="I1762" s="16">
        <v>42510.665173611109</v>
      </c>
      <c r="J1762" s="1" t="s">
        <v>40</v>
      </c>
      <c r="K1762" s="1" t="s">
        <v>18</v>
      </c>
      <c r="L1762" s="1" t="s">
        <v>19</v>
      </c>
    </row>
    <row r="1763" spans="1:16" ht="13" x14ac:dyDescent="0.15">
      <c r="A1763" s="1">
        <v>650084</v>
      </c>
      <c r="B1763" s="1">
        <v>0</v>
      </c>
      <c r="C1763" s="1" t="s">
        <v>12</v>
      </c>
      <c r="D1763" s="1" t="s">
        <v>3911</v>
      </c>
      <c r="E1763" s="1" t="s">
        <v>4054</v>
      </c>
      <c r="F1763" s="1" t="s">
        <v>4055</v>
      </c>
      <c r="G1763" s="1" t="s">
        <v>23</v>
      </c>
      <c r="I1763" s="16">
        <v>42638.384629629632</v>
      </c>
      <c r="J1763" s="1" t="s">
        <v>4056</v>
      </c>
      <c r="K1763" s="1" t="s">
        <v>18</v>
      </c>
      <c r="L1763" s="1" t="s">
        <v>19</v>
      </c>
    </row>
    <row r="1764" spans="1:16" ht="13" x14ac:dyDescent="0.15">
      <c r="A1764" s="1">
        <v>122802</v>
      </c>
      <c r="B1764" s="1">
        <v>0</v>
      </c>
      <c r="C1764" s="1" t="s">
        <v>26</v>
      </c>
      <c r="D1764" s="1" t="s">
        <v>3911</v>
      </c>
      <c r="E1764" s="1" t="s">
        <v>4057</v>
      </c>
      <c r="F1764" s="1" t="s">
        <v>3970</v>
      </c>
      <c r="G1764" s="1" t="s">
        <v>23</v>
      </c>
      <c r="I1764" s="16">
        <v>41009.758159722223</v>
      </c>
      <c r="J1764" s="1" t="s">
        <v>241</v>
      </c>
      <c r="K1764" s="1" t="s">
        <v>18</v>
      </c>
      <c r="L1764" s="1" t="s">
        <v>19</v>
      </c>
    </row>
    <row r="1765" spans="1:16" ht="13" x14ac:dyDescent="0.15">
      <c r="A1765" s="1">
        <v>339995</v>
      </c>
      <c r="B1765" s="1">
        <v>0</v>
      </c>
      <c r="C1765" s="1" t="s">
        <v>424</v>
      </c>
      <c r="D1765" s="1" t="s">
        <v>3911</v>
      </c>
      <c r="E1765" s="1" t="s">
        <v>4058</v>
      </c>
      <c r="F1765" s="1" t="s">
        <v>4059</v>
      </c>
      <c r="G1765" s="1" t="s">
        <v>23</v>
      </c>
      <c r="I1765" s="16">
        <v>41671.159421296295</v>
      </c>
      <c r="J1765" s="1" t="s">
        <v>17</v>
      </c>
      <c r="K1765" s="1" t="s">
        <v>18</v>
      </c>
      <c r="L1765" s="1" t="s">
        <v>19</v>
      </c>
    </row>
    <row r="1766" spans="1:16" ht="13" x14ac:dyDescent="0.15">
      <c r="A1766" s="1">
        <v>339996</v>
      </c>
      <c r="B1766" s="1">
        <v>0</v>
      </c>
      <c r="C1766" s="1" t="s">
        <v>4060</v>
      </c>
      <c r="D1766" s="1" t="s">
        <v>3911</v>
      </c>
      <c r="E1766" s="1" t="s">
        <v>4061</v>
      </c>
      <c r="F1766" s="1" t="s">
        <v>4062</v>
      </c>
      <c r="G1766" s="1" t="s">
        <v>23</v>
      </c>
      <c r="I1766" s="16">
        <v>41671.161921296298</v>
      </c>
      <c r="J1766" s="1" t="s">
        <v>17</v>
      </c>
      <c r="K1766" s="1" t="s">
        <v>18</v>
      </c>
      <c r="L1766" s="1" t="s">
        <v>19</v>
      </c>
    </row>
    <row r="1767" spans="1:16" ht="13" x14ac:dyDescent="0.15">
      <c r="A1767" s="1">
        <v>430591</v>
      </c>
      <c r="B1767" s="1">
        <v>0</v>
      </c>
      <c r="D1767" s="1" t="s">
        <v>3911</v>
      </c>
      <c r="E1767" s="1" t="s">
        <v>4063</v>
      </c>
      <c r="F1767" s="1" t="s">
        <v>4064</v>
      </c>
      <c r="G1767" s="1" t="s">
        <v>23</v>
      </c>
      <c r="I1767" s="16">
        <v>41948.854016203702</v>
      </c>
      <c r="J1767" s="1" t="s">
        <v>17</v>
      </c>
      <c r="K1767" s="1" t="s">
        <v>18</v>
      </c>
      <c r="L1767" s="1" t="s">
        <v>19</v>
      </c>
    </row>
    <row r="1768" spans="1:16" ht="13" x14ac:dyDescent="0.15">
      <c r="A1768" s="1">
        <v>345685</v>
      </c>
      <c r="B1768" s="1">
        <v>0</v>
      </c>
      <c r="C1768" s="1" t="s">
        <v>829</v>
      </c>
      <c r="D1768" s="1" t="s">
        <v>3911</v>
      </c>
      <c r="E1768" s="1" t="s">
        <v>4065</v>
      </c>
      <c r="F1768" s="1" t="s">
        <v>4066</v>
      </c>
      <c r="G1768" s="1" t="s">
        <v>23</v>
      </c>
      <c r="I1768" s="16">
        <v>41691.606539351851</v>
      </c>
      <c r="J1768" s="1" t="s">
        <v>17</v>
      </c>
      <c r="K1768" s="1" t="s">
        <v>18</v>
      </c>
      <c r="L1768" s="1" t="s">
        <v>19</v>
      </c>
    </row>
    <row r="1769" spans="1:16" ht="13" x14ac:dyDescent="0.15">
      <c r="A1769" s="1">
        <v>172240</v>
      </c>
      <c r="B1769" s="1">
        <v>1</v>
      </c>
      <c r="C1769" s="1" t="s">
        <v>4067</v>
      </c>
      <c r="D1769" s="1" t="s">
        <v>3911</v>
      </c>
      <c r="E1769" s="1" t="s">
        <v>4068</v>
      </c>
      <c r="F1769" s="1" t="s">
        <v>4069</v>
      </c>
      <c r="G1769" s="1" t="s">
        <v>23</v>
      </c>
      <c r="I1769" s="16">
        <v>41299.617418981485</v>
      </c>
      <c r="J1769" s="1" t="s">
        <v>860</v>
      </c>
      <c r="K1769" s="1" t="s">
        <v>18</v>
      </c>
      <c r="L1769" s="1" t="s">
        <v>19</v>
      </c>
      <c r="M1769" s="1">
        <v>176046</v>
      </c>
      <c r="N1769" s="1" t="s">
        <v>4070</v>
      </c>
      <c r="O1769" s="16">
        <v>41318.774131944447</v>
      </c>
      <c r="P1769" s="1" t="s">
        <v>4071</v>
      </c>
    </row>
    <row r="1770" spans="1:16" ht="13" x14ac:dyDescent="0.15">
      <c r="A1770" s="1">
        <v>107620</v>
      </c>
      <c r="B1770" s="1">
        <v>0</v>
      </c>
      <c r="C1770" s="1" t="s">
        <v>26</v>
      </c>
      <c r="D1770" s="1" t="s">
        <v>3911</v>
      </c>
      <c r="E1770" s="1" t="s">
        <v>4072</v>
      </c>
      <c r="F1770" s="1" t="s">
        <v>4073</v>
      </c>
      <c r="G1770" s="1" t="s">
        <v>540</v>
      </c>
      <c r="I1770" s="16">
        <v>40891.949328703704</v>
      </c>
      <c r="J1770" s="1" t="s">
        <v>238</v>
      </c>
      <c r="K1770" s="1" t="s">
        <v>18</v>
      </c>
      <c r="L1770" s="1" t="s">
        <v>19</v>
      </c>
    </row>
    <row r="1771" spans="1:16" ht="13" x14ac:dyDescent="0.15">
      <c r="A1771" s="1">
        <v>682633</v>
      </c>
      <c r="B1771" s="1">
        <v>0</v>
      </c>
      <c r="C1771" s="1" t="s">
        <v>1742</v>
      </c>
      <c r="D1771" s="1" t="s">
        <v>3911</v>
      </c>
      <c r="E1771" s="1" t="s">
        <v>3451</v>
      </c>
      <c r="F1771" s="1" t="s">
        <v>3987</v>
      </c>
      <c r="G1771" s="1" t="s">
        <v>1056</v>
      </c>
      <c r="I1771" s="16">
        <v>42754.458541666667</v>
      </c>
      <c r="J1771" s="1" t="s">
        <v>1301</v>
      </c>
      <c r="K1771" s="1" t="s">
        <v>18</v>
      </c>
      <c r="L1771" s="1" t="s">
        <v>19</v>
      </c>
    </row>
    <row r="1772" spans="1:16" ht="13" x14ac:dyDescent="0.15">
      <c r="A1772" s="1">
        <v>610642</v>
      </c>
      <c r="B1772" s="1">
        <v>0</v>
      </c>
      <c r="D1772" s="1" t="s">
        <v>3911</v>
      </c>
      <c r="E1772" s="1" t="s">
        <v>4074</v>
      </c>
      <c r="F1772" s="1" t="s">
        <v>3935</v>
      </c>
      <c r="G1772" s="1" t="s">
        <v>16</v>
      </c>
      <c r="I1772" s="16">
        <v>42500.428055555552</v>
      </c>
      <c r="J1772" s="1" t="s">
        <v>17</v>
      </c>
      <c r="K1772" s="1" t="s">
        <v>18</v>
      </c>
      <c r="L1772" s="1" t="s">
        <v>19</v>
      </c>
    </row>
    <row r="1773" spans="1:16" ht="13" x14ac:dyDescent="0.15">
      <c r="A1773" s="1">
        <v>106560</v>
      </c>
      <c r="B1773" s="1">
        <v>0</v>
      </c>
      <c r="C1773" s="1" t="s">
        <v>170</v>
      </c>
      <c r="D1773" s="1" t="s">
        <v>3911</v>
      </c>
      <c r="E1773" s="1" t="s">
        <v>4075</v>
      </c>
      <c r="F1773" s="1" t="s">
        <v>4076</v>
      </c>
      <c r="G1773" s="1" t="s">
        <v>23</v>
      </c>
      <c r="I1773" s="16">
        <v>40883.743402777778</v>
      </c>
      <c r="J1773" s="1" t="s">
        <v>155</v>
      </c>
      <c r="K1773" s="1" t="s">
        <v>3586</v>
      </c>
      <c r="L1773" s="1" t="s">
        <v>19</v>
      </c>
    </row>
    <row r="1774" spans="1:16" ht="13" x14ac:dyDescent="0.15">
      <c r="A1774" s="1">
        <v>731641</v>
      </c>
      <c r="B1774" s="1">
        <v>0</v>
      </c>
      <c r="D1774" s="1" t="s">
        <v>3911</v>
      </c>
      <c r="E1774" s="1" t="s">
        <v>4077</v>
      </c>
      <c r="F1774" s="1" t="s">
        <v>4078</v>
      </c>
      <c r="G1774" s="1" t="s">
        <v>1056</v>
      </c>
      <c r="I1774" s="16">
        <v>42895.458379629628</v>
      </c>
      <c r="J1774" s="1" t="s">
        <v>1301</v>
      </c>
      <c r="K1774" s="1" t="s">
        <v>3586</v>
      </c>
      <c r="L1774" s="1" t="s">
        <v>19</v>
      </c>
    </row>
    <row r="1775" spans="1:16" ht="13" x14ac:dyDescent="0.15">
      <c r="A1775" s="1">
        <v>106558</v>
      </c>
      <c r="B1775" s="1">
        <v>0</v>
      </c>
      <c r="C1775" s="1" t="s">
        <v>170</v>
      </c>
      <c r="D1775" s="1" t="s">
        <v>3911</v>
      </c>
      <c r="E1775" s="1" t="s">
        <v>4079</v>
      </c>
      <c r="F1775" s="1" t="s">
        <v>4076</v>
      </c>
      <c r="G1775" s="1" t="s">
        <v>23</v>
      </c>
      <c r="I1775" s="16">
        <v>40883.725636574076</v>
      </c>
      <c r="J1775" s="1" t="s">
        <v>40</v>
      </c>
      <c r="K1775" s="1" t="s">
        <v>3586</v>
      </c>
      <c r="L1775" s="1" t="s">
        <v>19</v>
      </c>
    </row>
    <row r="1776" spans="1:16" ht="13" x14ac:dyDescent="0.15">
      <c r="A1776" s="1">
        <v>722028</v>
      </c>
      <c r="B1776" s="1">
        <v>0</v>
      </c>
      <c r="C1776" s="1" t="s">
        <v>1742</v>
      </c>
      <c r="D1776" s="1" t="s">
        <v>3911</v>
      </c>
      <c r="E1776" s="1" t="s">
        <v>4080</v>
      </c>
      <c r="F1776" s="1" t="s">
        <v>4081</v>
      </c>
      <c r="G1776" s="1" t="s">
        <v>1056</v>
      </c>
      <c r="I1776" s="16">
        <v>42868.458518518521</v>
      </c>
      <c r="J1776" s="1" t="s">
        <v>1301</v>
      </c>
      <c r="K1776" s="1" t="s">
        <v>3586</v>
      </c>
      <c r="L1776" s="1" t="s">
        <v>19</v>
      </c>
    </row>
    <row r="1777" spans="1:24" ht="13" x14ac:dyDescent="0.15">
      <c r="A1777" s="9">
        <v>366695</v>
      </c>
      <c r="B1777" s="9">
        <v>0</v>
      </c>
      <c r="C1777" s="9" t="s">
        <v>12</v>
      </c>
      <c r="D1777" s="9" t="s">
        <v>4082</v>
      </c>
      <c r="E1777" s="9" t="s">
        <v>4083</v>
      </c>
      <c r="F1777" s="9" t="s">
        <v>4084</v>
      </c>
      <c r="G1777" s="9" t="s">
        <v>23</v>
      </c>
      <c r="H1777" s="9">
        <v>359881</v>
      </c>
      <c r="I1777" s="19">
        <v>41753.665393518517</v>
      </c>
      <c r="J1777" s="9" t="s">
        <v>17</v>
      </c>
      <c r="K1777" s="9" t="s">
        <v>18</v>
      </c>
      <c r="L1777" s="9" t="s">
        <v>19</v>
      </c>
      <c r="M1777" s="9" t="s">
        <v>4085</v>
      </c>
    </row>
    <row r="1778" spans="1:24" ht="13" x14ac:dyDescent="0.15">
      <c r="A1778" s="9">
        <v>424458</v>
      </c>
      <c r="B1778" s="9">
        <v>0</v>
      </c>
      <c r="C1778" s="10"/>
      <c r="D1778" s="9" t="s">
        <v>4082</v>
      </c>
      <c r="E1778" s="9" t="s">
        <v>4086</v>
      </c>
      <c r="F1778" s="9" t="s">
        <v>4087</v>
      </c>
      <c r="G1778" s="9" t="s">
        <v>23</v>
      </c>
      <c r="H1778" s="9">
        <v>423030</v>
      </c>
      <c r="I1778" s="19">
        <v>41929.173819444448</v>
      </c>
      <c r="J1778" s="9" t="s">
        <v>132</v>
      </c>
      <c r="K1778" s="9" t="s">
        <v>18</v>
      </c>
      <c r="L1778" s="9" t="s">
        <v>19</v>
      </c>
      <c r="M1778" s="9" t="s">
        <v>4085</v>
      </c>
    </row>
    <row r="1779" spans="1:24" ht="13" x14ac:dyDescent="0.15">
      <c r="A1779" s="9">
        <v>493579</v>
      </c>
      <c r="B1779" s="9">
        <v>0</v>
      </c>
      <c r="C1779" s="9" t="s">
        <v>101</v>
      </c>
      <c r="D1779" s="9" t="s">
        <v>4082</v>
      </c>
      <c r="E1779" s="9" t="s">
        <v>4088</v>
      </c>
      <c r="F1779" s="9" t="s">
        <v>4089</v>
      </c>
      <c r="G1779" s="9" t="s">
        <v>23</v>
      </c>
      <c r="H1779" s="9">
        <v>487981</v>
      </c>
      <c r="I1779" s="19">
        <v>42153.319837962961</v>
      </c>
      <c r="J1779" s="9" t="s">
        <v>17</v>
      </c>
      <c r="K1779" s="9" t="s">
        <v>18</v>
      </c>
      <c r="L1779" s="9" t="s">
        <v>19</v>
      </c>
      <c r="M1779" s="9" t="s">
        <v>4085</v>
      </c>
    </row>
    <row r="1780" spans="1:24" ht="13" x14ac:dyDescent="0.15">
      <c r="A1780" s="9">
        <v>596314</v>
      </c>
      <c r="B1780" s="9">
        <v>0</v>
      </c>
      <c r="C1780" s="9" t="s">
        <v>1742</v>
      </c>
      <c r="D1780" s="9" t="s">
        <v>4082</v>
      </c>
      <c r="E1780" s="9" t="s">
        <v>4090</v>
      </c>
      <c r="F1780" s="9" t="s">
        <v>4091</v>
      </c>
      <c r="G1780" s="9" t="s">
        <v>1056</v>
      </c>
      <c r="H1780" s="9">
        <v>579179</v>
      </c>
      <c r="I1780" s="19">
        <v>42449.500659722224</v>
      </c>
      <c r="J1780" s="9" t="s">
        <v>4092</v>
      </c>
      <c r="K1780" s="9" t="s">
        <v>18</v>
      </c>
      <c r="L1780" s="9" t="s">
        <v>19</v>
      </c>
      <c r="M1780" s="9" t="s">
        <v>4085</v>
      </c>
    </row>
    <row r="1781" spans="1:24" ht="13" x14ac:dyDescent="0.15">
      <c r="A1781" s="9">
        <v>607723</v>
      </c>
      <c r="B1781" s="9">
        <v>0</v>
      </c>
      <c r="C1781" s="10"/>
      <c r="D1781" s="9" t="s">
        <v>4082</v>
      </c>
      <c r="E1781" s="9" t="s">
        <v>4093</v>
      </c>
      <c r="F1781" s="9" t="s">
        <v>4094</v>
      </c>
      <c r="G1781" s="9" t="s">
        <v>16</v>
      </c>
      <c r="H1781" s="9">
        <v>590803</v>
      </c>
      <c r="I1781" s="19">
        <v>42488.950277777774</v>
      </c>
      <c r="J1781" s="9" t="s">
        <v>17</v>
      </c>
      <c r="K1781" s="9" t="s">
        <v>18</v>
      </c>
      <c r="L1781" s="9" t="s">
        <v>19</v>
      </c>
      <c r="M1781" s="9" t="s">
        <v>4085</v>
      </c>
    </row>
    <row r="1782" spans="1:24" ht="13" x14ac:dyDescent="0.15">
      <c r="A1782" s="9">
        <v>439800</v>
      </c>
      <c r="B1782" s="9">
        <v>0</v>
      </c>
      <c r="C1782" s="9" t="s">
        <v>2352</v>
      </c>
      <c r="D1782" s="9" t="s">
        <v>4082</v>
      </c>
      <c r="E1782" s="9" t="s">
        <v>4095</v>
      </c>
      <c r="F1782" s="9" t="s">
        <v>3993</v>
      </c>
      <c r="G1782" s="10"/>
      <c r="H1782" s="9">
        <v>439534</v>
      </c>
      <c r="I1782" s="19">
        <v>41980.691157407404</v>
      </c>
      <c r="J1782" s="9" t="s">
        <v>408</v>
      </c>
      <c r="K1782" s="9" t="s">
        <v>18</v>
      </c>
      <c r="L1782" s="9" t="s">
        <v>19</v>
      </c>
      <c r="M1782" s="9" t="s">
        <v>4085</v>
      </c>
    </row>
    <row r="1783" spans="1:24" ht="13" x14ac:dyDescent="0.15">
      <c r="A1783" s="6">
        <v>302880</v>
      </c>
      <c r="B1783" s="6">
        <v>1</v>
      </c>
      <c r="D1783" s="6" t="s">
        <v>4082</v>
      </c>
      <c r="E1783" s="6" t="s">
        <v>4096</v>
      </c>
      <c r="F1783" s="6" t="s">
        <v>4097</v>
      </c>
      <c r="G1783" s="6" t="s">
        <v>23</v>
      </c>
      <c r="H1783" s="6">
        <v>301900</v>
      </c>
      <c r="I1783" s="20">
        <v>41549.096898148149</v>
      </c>
      <c r="J1783" s="6" t="s">
        <v>4098</v>
      </c>
      <c r="K1783" s="6" t="s">
        <v>18</v>
      </c>
      <c r="L1783" s="6" t="s">
        <v>19</v>
      </c>
      <c r="M1783" s="6">
        <v>301900</v>
      </c>
      <c r="N1783" s="7" t="s">
        <v>1386</v>
      </c>
      <c r="O1783" s="20">
        <v>41547</v>
      </c>
    </row>
    <row r="1784" spans="1:24" ht="13" x14ac:dyDescent="0.15">
      <c r="A1784" s="6">
        <v>346553</v>
      </c>
      <c r="B1784" s="6">
        <v>1</v>
      </c>
      <c r="C1784" s="6" t="s">
        <v>4099</v>
      </c>
      <c r="D1784" s="6" t="s">
        <v>4082</v>
      </c>
      <c r="E1784" s="6" t="s">
        <v>4100</v>
      </c>
      <c r="F1784" s="6" t="s">
        <v>4101</v>
      </c>
      <c r="G1784" s="6" t="s">
        <v>23</v>
      </c>
      <c r="H1784" s="6">
        <v>345929</v>
      </c>
      <c r="I1784" s="20">
        <v>41695.038252314815</v>
      </c>
      <c r="J1784" s="6" t="s">
        <v>17</v>
      </c>
      <c r="K1784" s="6" t="s">
        <v>18</v>
      </c>
      <c r="L1784" s="6" t="s">
        <v>19</v>
      </c>
      <c r="M1784" s="6">
        <v>345929</v>
      </c>
      <c r="N1784" s="7" t="s">
        <v>4102</v>
      </c>
      <c r="O1784" s="20">
        <v>41692</v>
      </c>
    </row>
    <row r="1785" spans="1:24" ht="13" x14ac:dyDescent="0.15">
      <c r="A1785" s="9">
        <v>223284</v>
      </c>
      <c r="B1785" s="9">
        <v>0</v>
      </c>
      <c r="C1785" s="9" t="s">
        <v>4103</v>
      </c>
      <c r="D1785" s="9" t="s">
        <v>4082</v>
      </c>
      <c r="E1785" s="9" t="s">
        <v>4104</v>
      </c>
      <c r="F1785" s="9" t="s">
        <v>4105</v>
      </c>
      <c r="G1785" s="9" t="s">
        <v>23</v>
      </c>
      <c r="H1785" s="9">
        <v>167187</v>
      </c>
      <c r="I1785" s="19">
        <v>41355.947465277779</v>
      </c>
      <c r="J1785" s="9" t="s">
        <v>1171</v>
      </c>
      <c r="K1785" s="9" t="s">
        <v>18</v>
      </c>
      <c r="L1785" s="9" t="s">
        <v>19</v>
      </c>
      <c r="M1785" s="9" t="s">
        <v>4085</v>
      </c>
    </row>
    <row r="1786" spans="1:24" ht="13" x14ac:dyDescent="0.15">
      <c r="A1786" s="9">
        <v>514079</v>
      </c>
      <c r="B1786" s="9">
        <v>0</v>
      </c>
      <c r="C1786" s="9" t="s">
        <v>101</v>
      </c>
      <c r="D1786" s="9" t="s">
        <v>4082</v>
      </c>
      <c r="E1786" s="9" t="s">
        <v>1857</v>
      </c>
      <c r="F1786" s="9" t="s">
        <v>4106</v>
      </c>
      <c r="G1786" s="9" t="s">
        <v>23</v>
      </c>
      <c r="H1786" s="9">
        <v>503565</v>
      </c>
      <c r="I1786" s="19">
        <v>42211.86347222222</v>
      </c>
      <c r="J1786" s="9" t="s">
        <v>17</v>
      </c>
      <c r="K1786" s="9" t="s">
        <v>18</v>
      </c>
      <c r="L1786" s="9" t="s">
        <v>19</v>
      </c>
      <c r="M1786" s="9" t="s">
        <v>4085</v>
      </c>
    </row>
    <row r="1787" spans="1:24" ht="13" x14ac:dyDescent="0.15">
      <c r="A1787" s="9">
        <v>599860</v>
      </c>
      <c r="B1787" s="9">
        <v>0</v>
      </c>
      <c r="C1787" s="10"/>
      <c r="D1787" s="9" t="s">
        <v>4082</v>
      </c>
      <c r="E1787" s="9" t="s">
        <v>4093</v>
      </c>
      <c r="F1787" s="9" t="s">
        <v>4107</v>
      </c>
      <c r="G1787" s="9" t="s">
        <v>16</v>
      </c>
      <c r="H1787" s="9">
        <v>590803</v>
      </c>
      <c r="I1787" s="19">
        <v>42461.585995370369</v>
      </c>
      <c r="J1787" s="9" t="s">
        <v>17</v>
      </c>
      <c r="K1787" s="9" t="s">
        <v>18</v>
      </c>
      <c r="L1787" s="9" t="s">
        <v>19</v>
      </c>
      <c r="M1787" s="9" t="s">
        <v>4085</v>
      </c>
    </row>
    <row r="1788" spans="1:24" ht="13" x14ac:dyDescent="0.15">
      <c r="A1788" s="6">
        <v>512099</v>
      </c>
      <c r="B1788" s="6">
        <v>1</v>
      </c>
      <c r="C1788" s="6" t="s">
        <v>3421</v>
      </c>
      <c r="D1788" s="6" t="s">
        <v>4082</v>
      </c>
      <c r="E1788" s="6" t="s">
        <v>4108</v>
      </c>
      <c r="F1788" s="6" t="s">
        <v>4109</v>
      </c>
      <c r="G1788" s="6" t="s">
        <v>23</v>
      </c>
      <c r="H1788" s="6">
        <v>459763</v>
      </c>
      <c r="I1788" s="20">
        <v>42205.753009259257</v>
      </c>
      <c r="J1788" s="6" t="s">
        <v>1541</v>
      </c>
      <c r="K1788" s="6" t="s">
        <v>18</v>
      </c>
      <c r="L1788" s="6" t="s">
        <v>19</v>
      </c>
      <c r="M1788" s="6">
        <v>459763</v>
      </c>
      <c r="N1788" s="7" t="s">
        <v>17</v>
      </c>
      <c r="O1788" s="20">
        <v>42053</v>
      </c>
    </row>
    <row r="1789" spans="1:24" ht="13" x14ac:dyDescent="0.15">
      <c r="A1789" s="9">
        <v>673759</v>
      </c>
      <c r="B1789" s="9">
        <v>0</v>
      </c>
      <c r="C1789" s="9" t="s">
        <v>1742</v>
      </c>
      <c r="D1789" s="9" t="s">
        <v>4082</v>
      </c>
      <c r="E1789" s="9" t="s">
        <v>4110</v>
      </c>
      <c r="F1789" s="9" t="s">
        <v>4111</v>
      </c>
      <c r="G1789" s="9" t="s">
        <v>1056</v>
      </c>
      <c r="H1789" s="9">
        <v>672642</v>
      </c>
      <c r="I1789" s="19">
        <v>42717.632476851853</v>
      </c>
      <c r="J1789" s="9" t="s">
        <v>609</v>
      </c>
      <c r="K1789" s="9" t="s">
        <v>18</v>
      </c>
      <c r="L1789" s="9" t="s">
        <v>19</v>
      </c>
      <c r="M1789" s="9" t="s">
        <v>4085</v>
      </c>
    </row>
    <row r="1790" spans="1:24" ht="13" x14ac:dyDescent="0.15">
      <c r="A1790" s="9">
        <v>624820</v>
      </c>
      <c r="B1790" s="9">
        <v>0</v>
      </c>
      <c r="C1790" s="9" t="s">
        <v>65</v>
      </c>
      <c r="D1790" s="9" t="s">
        <v>4082</v>
      </c>
      <c r="E1790" s="9" t="s">
        <v>4112</v>
      </c>
      <c r="F1790" s="9" t="s">
        <v>4113</v>
      </c>
      <c r="G1790" s="9" t="s">
        <v>159</v>
      </c>
      <c r="H1790" s="9">
        <v>627455</v>
      </c>
      <c r="I1790" s="19">
        <v>42551.6403587963</v>
      </c>
      <c r="J1790" s="9" t="s">
        <v>17</v>
      </c>
      <c r="K1790" s="9" t="s">
        <v>18</v>
      </c>
      <c r="L1790" s="9" t="s">
        <v>19</v>
      </c>
      <c r="M1790" s="9" t="s">
        <v>4085</v>
      </c>
    </row>
    <row r="1791" spans="1:24" ht="13" x14ac:dyDescent="0.15">
      <c r="A1791" s="6">
        <v>704785</v>
      </c>
      <c r="B1791" s="6">
        <v>1</v>
      </c>
      <c r="D1791" s="6" t="s">
        <v>4082</v>
      </c>
      <c r="E1791" s="6" t="s">
        <v>4114</v>
      </c>
      <c r="F1791" s="6" t="s">
        <v>4115</v>
      </c>
      <c r="G1791" s="6" t="s">
        <v>540</v>
      </c>
      <c r="H1791" s="6">
        <v>169820</v>
      </c>
      <c r="I1791" s="20">
        <v>42818.034490740742</v>
      </c>
      <c r="J1791" s="6" t="s">
        <v>17</v>
      </c>
      <c r="K1791" s="6" t="s">
        <v>18</v>
      </c>
      <c r="L1791" s="6" t="s">
        <v>19</v>
      </c>
      <c r="M1791" s="6">
        <v>169820</v>
      </c>
      <c r="N1791" s="7" t="s">
        <v>4116</v>
      </c>
      <c r="O1791" s="20">
        <v>41288</v>
      </c>
    </row>
    <row r="1792" spans="1:24" ht="13" x14ac:dyDescent="0.15">
      <c r="A1792" s="6">
        <v>672842</v>
      </c>
      <c r="B1792" s="6">
        <v>4</v>
      </c>
      <c r="C1792" s="6" t="s">
        <v>670</v>
      </c>
      <c r="D1792" s="6" t="s">
        <v>4082</v>
      </c>
      <c r="E1792" s="6" t="s">
        <v>4117</v>
      </c>
      <c r="F1792" s="6" t="s">
        <v>4118</v>
      </c>
      <c r="G1792" s="6" t="s">
        <v>353</v>
      </c>
      <c r="H1792" s="6">
        <v>181623</v>
      </c>
      <c r="I1792" s="20">
        <v>42713.608611111114</v>
      </c>
      <c r="J1792" s="6" t="s">
        <v>4119</v>
      </c>
      <c r="K1792" s="6" t="s">
        <v>18</v>
      </c>
      <c r="L1792" s="6" t="s">
        <v>19</v>
      </c>
      <c r="M1792" s="6">
        <v>181623</v>
      </c>
      <c r="N1792" s="7" t="s">
        <v>4120</v>
      </c>
      <c r="O1792" s="20">
        <v>41344</v>
      </c>
      <c r="P1792" s="6">
        <v>449679</v>
      </c>
      <c r="Q1792" s="7" t="s">
        <v>4121</v>
      </c>
      <c r="R1792" s="8">
        <v>42020</v>
      </c>
      <c r="S1792" s="6">
        <v>509834</v>
      </c>
      <c r="T1792" s="7" t="s">
        <v>952</v>
      </c>
      <c r="U1792" s="8">
        <v>42198</v>
      </c>
      <c r="V1792" s="6">
        <v>606101</v>
      </c>
      <c r="W1792" s="7" t="s">
        <v>3415</v>
      </c>
      <c r="X1792" s="8">
        <v>42483</v>
      </c>
    </row>
    <row r="1793" spans="1:18" ht="13" x14ac:dyDescent="0.15">
      <c r="A1793" s="9">
        <v>116122</v>
      </c>
      <c r="B1793" s="9">
        <v>0</v>
      </c>
      <c r="C1793" s="9" t="s">
        <v>170</v>
      </c>
      <c r="D1793" s="9" t="s">
        <v>4082</v>
      </c>
      <c r="E1793" s="9" t="s">
        <v>217</v>
      </c>
      <c r="F1793" s="9" t="s">
        <v>4122</v>
      </c>
      <c r="G1793" s="9" t="s">
        <v>23</v>
      </c>
      <c r="H1793" s="9">
        <v>108406</v>
      </c>
      <c r="I1793" s="19">
        <v>40967.822210648148</v>
      </c>
      <c r="J1793" s="9" t="s">
        <v>190</v>
      </c>
      <c r="K1793" s="9" t="s">
        <v>18</v>
      </c>
      <c r="L1793" s="9" t="s">
        <v>19</v>
      </c>
      <c r="M1793" s="9" t="s">
        <v>4085</v>
      </c>
    </row>
    <row r="1794" spans="1:18" ht="13" x14ac:dyDescent="0.15">
      <c r="A1794" s="6">
        <v>629668</v>
      </c>
      <c r="B1794" s="6">
        <v>2</v>
      </c>
      <c r="C1794" s="6" t="s">
        <v>670</v>
      </c>
      <c r="D1794" s="6" t="s">
        <v>4082</v>
      </c>
      <c r="E1794" s="6" t="s">
        <v>4123</v>
      </c>
      <c r="F1794" s="6" t="s">
        <v>4124</v>
      </c>
      <c r="G1794" s="6" t="s">
        <v>1577</v>
      </c>
      <c r="H1794" s="6">
        <v>624214</v>
      </c>
      <c r="I1794" s="20">
        <v>42570.949745370373</v>
      </c>
      <c r="J1794" s="6" t="s">
        <v>98</v>
      </c>
      <c r="K1794" s="6" t="s">
        <v>18</v>
      </c>
      <c r="L1794" s="6" t="s">
        <v>19</v>
      </c>
      <c r="M1794" s="6">
        <v>624214</v>
      </c>
      <c r="N1794" s="7" t="s">
        <v>2317</v>
      </c>
      <c r="O1794" s="20">
        <v>42550</v>
      </c>
      <c r="P1794" s="6">
        <v>638465</v>
      </c>
      <c r="Q1794" s="7" t="s">
        <v>4125</v>
      </c>
      <c r="R1794" s="8">
        <v>42599</v>
      </c>
    </row>
    <row r="1795" spans="1:18" ht="13" x14ac:dyDescent="0.15">
      <c r="A1795" s="6">
        <v>602117</v>
      </c>
      <c r="B1795" s="6">
        <v>1</v>
      </c>
      <c r="C1795" s="6" t="s">
        <v>12</v>
      </c>
      <c r="D1795" s="6" t="s">
        <v>4082</v>
      </c>
      <c r="E1795" s="6" t="s">
        <v>4126</v>
      </c>
      <c r="F1795" s="6" t="s">
        <v>4127</v>
      </c>
      <c r="G1795" s="6" t="s">
        <v>23</v>
      </c>
      <c r="H1795" s="6">
        <v>601362</v>
      </c>
      <c r="I1795" s="20">
        <v>42470.666759259257</v>
      </c>
      <c r="J1795" s="6" t="s">
        <v>4128</v>
      </c>
      <c r="K1795" s="6" t="s">
        <v>18</v>
      </c>
      <c r="L1795" s="6" t="s">
        <v>19</v>
      </c>
      <c r="M1795" s="6">
        <v>601362</v>
      </c>
      <c r="N1795" s="7" t="s">
        <v>379</v>
      </c>
      <c r="O1795" s="20">
        <v>42467</v>
      </c>
    </row>
    <row r="1796" spans="1:18" ht="13" x14ac:dyDescent="0.15">
      <c r="A1796" s="6">
        <v>231146</v>
      </c>
      <c r="B1796" s="6">
        <v>1</v>
      </c>
      <c r="C1796" s="6" t="s">
        <v>2972</v>
      </c>
      <c r="D1796" s="6" t="s">
        <v>4082</v>
      </c>
      <c r="E1796" s="6" t="s">
        <v>4129</v>
      </c>
      <c r="F1796" s="6" t="s">
        <v>4130</v>
      </c>
      <c r="G1796" s="6" t="s">
        <v>23</v>
      </c>
      <c r="H1796" s="6">
        <v>178130</v>
      </c>
      <c r="I1796" s="20">
        <v>41378.89644675926</v>
      </c>
      <c r="J1796" s="6" t="s">
        <v>1956</v>
      </c>
      <c r="K1796" s="6" t="s">
        <v>18</v>
      </c>
      <c r="L1796" s="6" t="s">
        <v>19</v>
      </c>
      <c r="M1796" s="6">
        <v>178130</v>
      </c>
      <c r="N1796" s="7" t="s">
        <v>40</v>
      </c>
      <c r="O1796" s="20">
        <v>41330</v>
      </c>
    </row>
    <row r="1797" spans="1:18" ht="13" x14ac:dyDescent="0.15">
      <c r="A1797" s="6">
        <v>582224</v>
      </c>
      <c r="B1797" s="6">
        <v>1</v>
      </c>
      <c r="C1797" s="6" t="s">
        <v>1824</v>
      </c>
      <c r="D1797" s="6" t="s">
        <v>4082</v>
      </c>
      <c r="E1797" s="6" t="s">
        <v>4131</v>
      </c>
      <c r="F1797" s="6" t="s">
        <v>4132</v>
      </c>
      <c r="G1797" s="6" t="s">
        <v>23</v>
      </c>
      <c r="H1797" s="6">
        <v>573332</v>
      </c>
      <c r="I1797" s="20">
        <v>42397.919803240744</v>
      </c>
      <c r="J1797" s="6" t="s">
        <v>1827</v>
      </c>
      <c r="K1797" s="6" t="s">
        <v>18</v>
      </c>
      <c r="L1797" s="6" t="s">
        <v>19</v>
      </c>
      <c r="M1797" s="6">
        <v>573332</v>
      </c>
      <c r="N1797" s="7" t="s">
        <v>17</v>
      </c>
      <c r="O1797" s="20">
        <v>42368</v>
      </c>
    </row>
    <row r="1798" spans="1:18" ht="13" x14ac:dyDescent="0.15">
      <c r="A1798" s="9">
        <v>438366</v>
      </c>
      <c r="B1798" s="9">
        <v>0</v>
      </c>
      <c r="C1798" s="9" t="s">
        <v>137</v>
      </c>
      <c r="D1798" s="9" t="s">
        <v>4082</v>
      </c>
      <c r="E1798" s="9" t="s">
        <v>3934</v>
      </c>
      <c r="F1798" s="9" t="s">
        <v>3458</v>
      </c>
      <c r="G1798" s="9" t="s">
        <v>23</v>
      </c>
      <c r="H1798" s="9">
        <v>411737</v>
      </c>
      <c r="I1798" s="19">
        <v>41975.893912037034</v>
      </c>
      <c r="J1798" s="9" t="s">
        <v>17</v>
      </c>
      <c r="K1798" s="9" t="s">
        <v>18</v>
      </c>
      <c r="L1798" s="9" t="s">
        <v>19</v>
      </c>
      <c r="M1798" s="9" t="s">
        <v>4085</v>
      </c>
    </row>
    <row r="1799" spans="1:18" ht="13" x14ac:dyDescent="0.15">
      <c r="A1799" s="6">
        <v>236949</v>
      </c>
      <c r="B1799" s="6">
        <v>1</v>
      </c>
      <c r="C1799" s="6" t="s">
        <v>4133</v>
      </c>
      <c r="D1799" s="6" t="s">
        <v>4082</v>
      </c>
      <c r="E1799" s="6" t="s">
        <v>4134</v>
      </c>
      <c r="F1799" s="6" t="s">
        <v>4135</v>
      </c>
      <c r="G1799" s="6" t="s">
        <v>159</v>
      </c>
      <c r="H1799" s="6">
        <v>232532</v>
      </c>
      <c r="I1799" s="20">
        <v>41394.868935185186</v>
      </c>
      <c r="J1799" s="6" t="s">
        <v>40</v>
      </c>
      <c r="K1799" s="6" t="s">
        <v>3586</v>
      </c>
      <c r="L1799" s="6" t="s">
        <v>19</v>
      </c>
      <c r="M1799" s="6">
        <v>232532</v>
      </c>
      <c r="N1799" s="7" t="s">
        <v>944</v>
      </c>
      <c r="O1799" s="20">
        <v>41381</v>
      </c>
    </row>
    <row r="1801" spans="1:18" ht="15.75" customHeight="1" x14ac:dyDescent="0.15">
      <c r="A1801" s="1">
        <v>1798</v>
      </c>
      <c r="B1801">
        <f>COUNTIF(B2:B1799,"&gt;0")</f>
        <v>183</v>
      </c>
      <c r="C1801" s="11">
        <f>B1801/A1801</f>
        <v>0.10177975528364849</v>
      </c>
    </row>
  </sheetData>
  <hyperlinks>
    <hyperlink ref="N1783" r:id="rId1"/>
    <hyperlink ref="N1784" r:id="rId2"/>
    <hyperlink ref="N1788" r:id="rId3"/>
    <hyperlink ref="N1791" r:id="rId4"/>
    <hyperlink ref="N1792" r:id="rId5"/>
    <hyperlink ref="Q1792" r:id="rId6"/>
    <hyperlink ref="T1792" r:id="rId7"/>
    <hyperlink ref="W1792" r:id="rId8"/>
    <hyperlink ref="N1794" r:id="rId9"/>
    <hyperlink ref="Q1794" r:id="rId10"/>
    <hyperlink ref="N1795" r:id="rId11"/>
    <hyperlink ref="N1796" r:id="rId12"/>
    <hyperlink ref="N1797" r:id="rId13"/>
    <hyperlink ref="N1799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96"/>
  <sheetViews>
    <sheetView topLeftCell="B1" workbookViewId="0">
      <pane ySplit="1" topLeftCell="A1785" activePane="bottomLeft" state="frozen"/>
      <selection activeCell="D1" sqref="D1"/>
      <selection pane="bottomLeft" activeCell="I1818" sqref="I1818"/>
    </sheetView>
  </sheetViews>
  <sheetFormatPr baseColWidth="10" defaultRowHeight="13" x14ac:dyDescent="0.15"/>
  <cols>
    <col min="3" max="3" width="19.83203125" customWidth="1"/>
    <col min="4" max="4" width="13.83203125" bestFit="1" customWidth="1"/>
    <col min="5" max="5" width="28.1640625" customWidth="1"/>
    <col min="6" max="6" width="20" customWidth="1"/>
    <col min="8" max="8" width="13.6640625" bestFit="1" customWidth="1"/>
    <col min="9" max="9" width="25.83203125" style="24" bestFit="1" customWidth="1"/>
    <col min="10" max="10" width="32.5" bestFit="1" customWidth="1"/>
    <col min="14" max="14" width="20.1640625" customWidth="1"/>
    <col min="15" max="15" width="25.83203125" style="24" bestFit="1" customWidth="1"/>
    <col min="16" max="16" width="32.5" bestFit="1" customWidth="1"/>
    <col min="17" max="17" width="32.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" t="s">
        <v>8</v>
      </c>
      <c r="J1" s="1" t="s">
        <v>9</v>
      </c>
      <c r="K1" s="1" t="s">
        <v>10</v>
      </c>
      <c r="L1" s="1" t="s">
        <v>11</v>
      </c>
      <c r="M1" s="1"/>
    </row>
    <row r="2" spans="1:18" x14ac:dyDescent="0.15">
      <c r="A2" s="1">
        <v>735412</v>
      </c>
      <c r="B2" s="1">
        <v>0</v>
      </c>
      <c r="C2" s="1" t="s">
        <v>1742</v>
      </c>
      <c r="D2" s="1" t="s">
        <v>3911</v>
      </c>
      <c r="E2" s="1" t="s">
        <v>4009</v>
      </c>
      <c r="F2" s="1" t="s">
        <v>4010</v>
      </c>
      <c r="G2" s="1" t="s">
        <v>1056</v>
      </c>
      <c r="I2" s="18">
        <v>42907.458391203705</v>
      </c>
      <c r="J2" s="1" t="s">
        <v>1301</v>
      </c>
      <c r="K2" s="1" t="s">
        <v>18</v>
      </c>
      <c r="L2" s="1" t="s">
        <v>19</v>
      </c>
    </row>
    <row r="3" spans="1:18" x14ac:dyDescent="0.15">
      <c r="A3" s="1">
        <v>731641</v>
      </c>
      <c r="B3" s="1">
        <v>0</v>
      </c>
      <c r="D3" s="1" t="s">
        <v>3911</v>
      </c>
      <c r="E3" s="1" t="s">
        <v>4077</v>
      </c>
      <c r="F3" s="1" t="s">
        <v>4078</v>
      </c>
      <c r="G3" s="1" t="s">
        <v>1056</v>
      </c>
      <c r="I3" s="18">
        <v>42895.458379629628</v>
      </c>
      <c r="J3" s="1" t="s">
        <v>1301</v>
      </c>
      <c r="K3" s="1" t="s">
        <v>3586</v>
      </c>
      <c r="L3" s="1" t="s">
        <v>19</v>
      </c>
    </row>
    <row r="4" spans="1:18" x14ac:dyDescent="0.15">
      <c r="A4" s="1">
        <v>722028</v>
      </c>
      <c r="B4" s="1">
        <v>0</v>
      </c>
      <c r="C4" s="1" t="s">
        <v>1742</v>
      </c>
      <c r="D4" s="1" t="s">
        <v>3911</v>
      </c>
      <c r="E4" s="1" t="s">
        <v>4080</v>
      </c>
      <c r="F4" s="1" t="s">
        <v>4081</v>
      </c>
      <c r="G4" s="1" t="s">
        <v>1056</v>
      </c>
      <c r="I4" s="18">
        <v>42868.458518518521</v>
      </c>
      <c r="J4" s="1" t="s">
        <v>1301</v>
      </c>
      <c r="K4" s="1" t="s">
        <v>3586</v>
      </c>
      <c r="L4" s="1" t="s">
        <v>19</v>
      </c>
    </row>
    <row r="5" spans="1:18" x14ac:dyDescent="0.15">
      <c r="A5" s="1">
        <v>711068</v>
      </c>
      <c r="B5" s="1">
        <v>0</v>
      </c>
      <c r="C5" s="1" t="s">
        <v>3725</v>
      </c>
      <c r="D5" s="1" t="s">
        <v>3714</v>
      </c>
      <c r="E5" s="1" t="s">
        <v>3726</v>
      </c>
      <c r="F5" s="1" t="s">
        <v>3727</v>
      </c>
      <c r="G5" s="1" t="s">
        <v>16</v>
      </c>
      <c r="I5" s="18">
        <v>42837.954837962963</v>
      </c>
      <c r="J5" s="1" t="s">
        <v>17</v>
      </c>
      <c r="K5" s="1" t="s">
        <v>18</v>
      </c>
      <c r="L5" s="1" t="s">
        <v>19</v>
      </c>
    </row>
    <row r="6" spans="1:18" x14ac:dyDescent="0.15">
      <c r="A6" s="1">
        <v>709015</v>
      </c>
      <c r="B6" s="1">
        <v>0</v>
      </c>
      <c r="C6" s="1" t="s">
        <v>101</v>
      </c>
      <c r="D6" s="1" t="s">
        <v>27</v>
      </c>
      <c r="E6" s="1" t="s">
        <v>2978</v>
      </c>
      <c r="F6" s="1" t="s">
        <v>2979</v>
      </c>
      <c r="G6" s="1" t="s">
        <v>23</v>
      </c>
      <c r="I6" s="18">
        <v>42831.599953703706</v>
      </c>
      <c r="J6" s="1" t="s">
        <v>2980</v>
      </c>
      <c r="K6" s="1" t="s">
        <v>18</v>
      </c>
      <c r="L6" s="1" t="s">
        <v>19</v>
      </c>
    </row>
    <row r="7" spans="1:18" x14ac:dyDescent="0.15">
      <c r="A7" s="1">
        <v>704785</v>
      </c>
      <c r="B7" s="1">
        <v>1</v>
      </c>
      <c r="D7" s="1" t="s">
        <v>4082</v>
      </c>
      <c r="E7" s="1" t="s">
        <v>4114</v>
      </c>
      <c r="F7" s="1" t="s">
        <v>4115</v>
      </c>
      <c r="G7" s="1" t="s">
        <v>540</v>
      </c>
      <c r="H7" s="1">
        <v>169820</v>
      </c>
      <c r="I7" s="22">
        <v>42818.034490740742</v>
      </c>
      <c r="J7" s="1" t="s">
        <v>17</v>
      </c>
      <c r="K7" s="1" t="s">
        <v>18</v>
      </c>
      <c r="L7" s="1" t="s">
        <v>19</v>
      </c>
      <c r="M7" s="1">
        <v>169820</v>
      </c>
      <c r="N7" s="14" t="s">
        <v>4116</v>
      </c>
      <c r="O7" s="22">
        <v>41288</v>
      </c>
      <c r="Q7" s="21">
        <f>ABS(O7-I7)</f>
        <v>1530.0344907407416</v>
      </c>
    </row>
    <row r="8" spans="1:18" x14ac:dyDescent="0.15">
      <c r="A8" s="1">
        <v>702695</v>
      </c>
      <c r="B8" s="1">
        <v>1</v>
      </c>
      <c r="C8" s="1" t="s">
        <v>663</v>
      </c>
      <c r="D8" s="1" t="s">
        <v>3714</v>
      </c>
      <c r="E8" s="1" t="s">
        <v>3796</v>
      </c>
      <c r="F8" s="1" t="s">
        <v>3797</v>
      </c>
      <c r="G8" s="1" t="s">
        <v>3798</v>
      </c>
      <c r="I8" s="18">
        <v>42811.743437500001</v>
      </c>
      <c r="J8" s="1" t="s">
        <v>17</v>
      </c>
      <c r="K8" s="1" t="s">
        <v>18</v>
      </c>
      <c r="L8" s="1" t="s">
        <v>19</v>
      </c>
      <c r="M8" s="1">
        <v>696903</v>
      </c>
      <c r="N8" s="1" t="s">
        <v>3799</v>
      </c>
      <c r="O8" s="18">
        <v>42794.270266203705</v>
      </c>
      <c r="P8" s="1" t="s">
        <v>3800</v>
      </c>
      <c r="Q8" s="21">
        <f t="shared" ref="Q8:Q68" si="0">ABS(O8-I8)</f>
        <v>17.473171296296641</v>
      </c>
      <c r="R8" s="1"/>
    </row>
    <row r="9" spans="1:18" x14ac:dyDescent="0.15">
      <c r="A9" s="1">
        <v>702058</v>
      </c>
      <c r="B9" s="1">
        <v>1</v>
      </c>
      <c r="C9" s="1" t="s">
        <v>101</v>
      </c>
      <c r="D9" s="1" t="s">
        <v>27</v>
      </c>
      <c r="E9" s="1" t="s">
        <v>3125</v>
      </c>
      <c r="F9" s="1" t="s">
        <v>3126</v>
      </c>
      <c r="G9" s="1" t="s">
        <v>56</v>
      </c>
      <c r="H9" s="1"/>
      <c r="I9" s="18">
        <v>42810.098680555559</v>
      </c>
      <c r="J9" s="1" t="s">
        <v>758</v>
      </c>
      <c r="K9" s="1" t="s">
        <v>18</v>
      </c>
      <c r="L9" s="1" t="s">
        <v>19</v>
      </c>
      <c r="M9" s="1">
        <v>702437</v>
      </c>
      <c r="N9" s="1" t="s">
        <v>3127</v>
      </c>
      <c r="O9" s="18">
        <v>42810.994849537034</v>
      </c>
      <c r="P9" s="1" t="s">
        <v>17</v>
      </c>
      <c r="Q9" s="21">
        <f t="shared" si="0"/>
        <v>0.89616898147505708</v>
      </c>
      <c r="R9" s="1"/>
    </row>
    <row r="10" spans="1:18" x14ac:dyDescent="0.15">
      <c r="A10" s="1">
        <v>700330</v>
      </c>
      <c r="B10" s="1">
        <v>0</v>
      </c>
      <c r="C10" s="1" t="s">
        <v>1742</v>
      </c>
      <c r="D10" s="1" t="s">
        <v>27</v>
      </c>
      <c r="E10" s="1" t="s">
        <v>3451</v>
      </c>
      <c r="F10" s="1" t="s">
        <v>3543</v>
      </c>
      <c r="G10" s="1" t="s">
        <v>1056</v>
      </c>
      <c r="I10" s="18">
        <v>42804.45888888889</v>
      </c>
      <c r="J10" s="1" t="s">
        <v>1301</v>
      </c>
      <c r="K10" s="1" t="s">
        <v>18</v>
      </c>
      <c r="L10" s="1" t="s">
        <v>19</v>
      </c>
      <c r="Q10" s="21"/>
    </row>
    <row r="11" spans="1:18" x14ac:dyDescent="0.15">
      <c r="A11" s="1">
        <v>700285</v>
      </c>
      <c r="B11" s="1">
        <v>0</v>
      </c>
      <c r="C11" s="1" t="s">
        <v>101</v>
      </c>
      <c r="D11" s="1" t="s">
        <v>3911</v>
      </c>
      <c r="E11" s="1" t="s">
        <v>3990</v>
      </c>
      <c r="F11" s="1" t="s">
        <v>3991</v>
      </c>
      <c r="G11" s="1" t="s">
        <v>56</v>
      </c>
      <c r="H11" s="1"/>
      <c r="I11" s="18">
        <v>42804.361331018517</v>
      </c>
      <c r="J11" s="1" t="s">
        <v>17</v>
      </c>
      <c r="K11" s="1" t="s">
        <v>18</v>
      </c>
      <c r="L11" s="1" t="s">
        <v>19</v>
      </c>
      <c r="Q11" s="21"/>
    </row>
    <row r="12" spans="1:18" x14ac:dyDescent="0.15">
      <c r="A12" s="1">
        <v>699457</v>
      </c>
      <c r="B12" s="1">
        <v>0</v>
      </c>
      <c r="C12" s="1" t="s">
        <v>727</v>
      </c>
      <c r="D12" s="1" t="s">
        <v>3911</v>
      </c>
      <c r="E12" s="1" t="s">
        <v>3948</v>
      </c>
      <c r="F12" s="1" t="s">
        <v>3949</v>
      </c>
      <c r="G12" s="1" t="s">
        <v>16</v>
      </c>
      <c r="I12" s="18">
        <v>42802.368379629632</v>
      </c>
      <c r="J12" s="1" t="s">
        <v>17</v>
      </c>
      <c r="K12" s="1" t="s">
        <v>18</v>
      </c>
      <c r="L12" s="1" t="s">
        <v>19</v>
      </c>
      <c r="Q12" s="21"/>
    </row>
    <row r="13" spans="1:18" x14ac:dyDescent="0.15">
      <c r="A13" s="1">
        <v>699166</v>
      </c>
      <c r="B13" s="1">
        <v>0</v>
      </c>
      <c r="C13" s="1" t="s">
        <v>53</v>
      </c>
      <c r="D13" s="1" t="s">
        <v>27</v>
      </c>
      <c r="E13" s="1" t="s">
        <v>54</v>
      </c>
      <c r="F13" s="1" t="s">
        <v>55</v>
      </c>
      <c r="G13" s="1" t="s">
        <v>56</v>
      </c>
      <c r="H13" s="1"/>
      <c r="I13" s="18">
        <v>42801.743090277778</v>
      </c>
      <c r="J13" s="1" t="s">
        <v>57</v>
      </c>
      <c r="K13" s="1" t="s">
        <v>18</v>
      </c>
      <c r="L13" s="1" t="s">
        <v>19</v>
      </c>
      <c r="Q13" s="21"/>
    </row>
    <row r="14" spans="1:18" x14ac:dyDescent="0.15">
      <c r="A14" s="1">
        <v>698622</v>
      </c>
      <c r="B14" s="1">
        <v>0</v>
      </c>
      <c r="C14" s="1" t="s">
        <v>953</v>
      </c>
      <c r="D14" s="1" t="s">
        <v>27</v>
      </c>
      <c r="E14" s="1" t="s">
        <v>3597</v>
      </c>
      <c r="F14" s="1" t="s">
        <v>3598</v>
      </c>
      <c r="G14" s="1" t="s">
        <v>813</v>
      </c>
      <c r="H14" s="1"/>
      <c r="I14" s="18">
        <v>42800.086261574077</v>
      </c>
      <c r="J14" s="1" t="s">
        <v>508</v>
      </c>
      <c r="K14" s="1" t="s">
        <v>3586</v>
      </c>
      <c r="L14" s="1" t="s">
        <v>19</v>
      </c>
      <c r="Q14" s="21"/>
    </row>
    <row r="15" spans="1:18" x14ac:dyDescent="0.15">
      <c r="A15" s="1">
        <v>697847</v>
      </c>
      <c r="B15" s="1">
        <v>0</v>
      </c>
      <c r="C15" s="1" t="s">
        <v>12</v>
      </c>
      <c r="D15" s="1" t="s">
        <v>27</v>
      </c>
      <c r="E15" s="1" t="s">
        <v>1259</v>
      </c>
      <c r="F15" s="1" t="s">
        <v>1260</v>
      </c>
      <c r="G15" s="1" t="s">
        <v>813</v>
      </c>
      <c r="H15" s="1"/>
      <c r="I15" s="18">
        <v>42796.544548611113</v>
      </c>
      <c r="J15" s="1" t="s">
        <v>68</v>
      </c>
      <c r="K15" s="1" t="s">
        <v>18</v>
      </c>
      <c r="L15" s="1" t="s">
        <v>19</v>
      </c>
      <c r="Q15" s="21"/>
    </row>
    <row r="16" spans="1:18" x14ac:dyDescent="0.15">
      <c r="A16" s="1">
        <v>696179</v>
      </c>
      <c r="B16" s="1">
        <v>0</v>
      </c>
      <c r="C16" s="1" t="s">
        <v>759</v>
      </c>
      <c r="D16" s="1" t="s">
        <v>27</v>
      </c>
      <c r="E16" s="1" t="s">
        <v>2788</v>
      </c>
      <c r="F16" s="1" t="s">
        <v>2789</v>
      </c>
      <c r="G16" s="1" t="s">
        <v>23</v>
      </c>
      <c r="I16" s="18">
        <v>42791.549444444441</v>
      </c>
      <c r="J16" s="1" t="s">
        <v>2790</v>
      </c>
      <c r="K16" s="1" t="s">
        <v>18</v>
      </c>
      <c r="L16" s="1" t="s">
        <v>19</v>
      </c>
      <c r="Q16" s="21"/>
    </row>
    <row r="17" spans="1:17" x14ac:dyDescent="0.15">
      <c r="A17" s="1">
        <v>695826</v>
      </c>
      <c r="B17" s="1">
        <v>0</v>
      </c>
      <c r="C17" s="1" t="s">
        <v>12</v>
      </c>
      <c r="D17" s="1" t="s">
        <v>27</v>
      </c>
      <c r="E17" s="1" t="s">
        <v>2120</v>
      </c>
      <c r="F17" s="1" t="s">
        <v>2121</v>
      </c>
      <c r="G17" s="1" t="s">
        <v>23</v>
      </c>
      <c r="I17" s="18">
        <v>42790.511446759258</v>
      </c>
      <c r="J17" s="1" t="s">
        <v>886</v>
      </c>
      <c r="K17" s="1" t="s">
        <v>18</v>
      </c>
      <c r="L17" s="1" t="s">
        <v>19</v>
      </c>
      <c r="Q17" s="21"/>
    </row>
    <row r="18" spans="1:17" x14ac:dyDescent="0.15">
      <c r="A18" s="1">
        <v>694382</v>
      </c>
      <c r="B18" s="1">
        <v>0</v>
      </c>
      <c r="C18" s="1" t="s">
        <v>3408</v>
      </c>
      <c r="D18" s="1" t="s">
        <v>27</v>
      </c>
      <c r="E18" s="1" t="s">
        <v>3409</v>
      </c>
      <c r="F18" s="1" t="s">
        <v>3410</v>
      </c>
      <c r="G18" s="1" t="s">
        <v>159</v>
      </c>
      <c r="I18" s="18">
        <v>42787.179571759261</v>
      </c>
      <c r="J18" s="1" t="s">
        <v>98</v>
      </c>
      <c r="K18" s="1" t="s">
        <v>18</v>
      </c>
      <c r="L18" s="1" t="s">
        <v>19</v>
      </c>
      <c r="Q18" s="21"/>
    </row>
    <row r="19" spans="1:17" x14ac:dyDescent="0.15">
      <c r="A19" s="1">
        <v>689125</v>
      </c>
      <c r="B19" s="1">
        <v>0</v>
      </c>
      <c r="C19" s="1" t="s">
        <v>3942</v>
      </c>
      <c r="D19" s="1" t="s">
        <v>3911</v>
      </c>
      <c r="E19" s="1" t="s">
        <v>3943</v>
      </c>
      <c r="F19" s="1" t="s">
        <v>3944</v>
      </c>
      <c r="G19" s="1" t="s">
        <v>1056</v>
      </c>
      <c r="I19" s="18">
        <v>42772.795543981483</v>
      </c>
      <c r="J19" s="1" t="s">
        <v>1023</v>
      </c>
      <c r="K19" s="1" t="s">
        <v>18</v>
      </c>
      <c r="L19" s="1" t="s">
        <v>19</v>
      </c>
      <c r="Q19" s="21"/>
    </row>
    <row r="20" spans="1:17" x14ac:dyDescent="0.15">
      <c r="A20" s="1">
        <v>688569</v>
      </c>
      <c r="B20" s="1">
        <v>0</v>
      </c>
      <c r="C20" s="1" t="s">
        <v>77</v>
      </c>
      <c r="D20" s="1" t="s">
        <v>27</v>
      </c>
      <c r="E20" s="1" t="s">
        <v>1952</v>
      </c>
      <c r="F20" s="1" t="s">
        <v>1953</v>
      </c>
      <c r="G20" s="1" t="s">
        <v>23</v>
      </c>
      <c r="I20" s="18">
        <v>42769.956041666665</v>
      </c>
      <c r="J20" s="1" t="s">
        <v>24</v>
      </c>
      <c r="K20" s="1" t="s">
        <v>18</v>
      </c>
      <c r="L20" s="1" t="s">
        <v>19</v>
      </c>
      <c r="Q20" s="21"/>
    </row>
    <row r="21" spans="1:17" x14ac:dyDescent="0.15">
      <c r="A21" s="1">
        <v>688425</v>
      </c>
      <c r="B21" s="1">
        <v>0</v>
      </c>
      <c r="C21" s="1" t="s">
        <v>1397</v>
      </c>
      <c r="D21" s="1" t="s">
        <v>27</v>
      </c>
      <c r="E21" s="1" t="s">
        <v>1398</v>
      </c>
      <c r="F21" s="1" t="s">
        <v>1399</v>
      </c>
      <c r="G21" s="1" t="s">
        <v>1400</v>
      </c>
      <c r="I21" s="18">
        <v>42769.743807870371</v>
      </c>
      <c r="J21" s="1" t="s">
        <v>1401</v>
      </c>
      <c r="K21" s="1" t="s">
        <v>18</v>
      </c>
      <c r="L21" s="1" t="s">
        <v>19</v>
      </c>
      <c r="Q21" s="21"/>
    </row>
    <row r="22" spans="1:17" x14ac:dyDescent="0.15">
      <c r="A22" s="1">
        <v>687844</v>
      </c>
      <c r="B22" s="1">
        <v>0</v>
      </c>
      <c r="C22" s="1" t="s">
        <v>522</v>
      </c>
      <c r="D22" s="1" t="s">
        <v>27</v>
      </c>
      <c r="E22" s="1" t="s">
        <v>1359</v>
      </c>
      <c r="F22" s="1" t="s">
        <v>1360</v>
      </c>
      <c r="G22" s="1" t="s">
        <v>23</v>
      </c>
      <c r="I22" s="18">
        <v>42768.253865740742</v>
      </c>
      <c r="J22" s="1" t="s">
        <v>1361</v>
      </c>
      <c r="K22" s="1" t="s">
        <v>18</v>
      </c>
      <c r="L22" s="1" t="s">
        <v>19</v>
      </c>
      <c r="Q22" s="21"/>
    </row>
    <row r="23" spans="1:17" x14ac:dyDescent="0.15">
      <c r="A23" s="1">
        <v>684684</v>
      </c>
      <c r="B23" s="1">
        <v>0</v>
      </c>
      <c r="C23" s="1" t="s">
        <v>721</v>
      </c>
      <c r="D23" s="1" t="s">
        <v>27</v>
      </c>
      <c r="E23" s="1" t="s">
        <v>1841</v>
      </c>
      <c r="F23" s="1" t="s">
        <v>1842</v>
      </c>
      <c r="G23" s="1" t="s">
        <v>56</v>
      </c>
      <c r="H23" s="1"/>
      <c r="I23" s="18">
        <v>42759.820324074077</v>
      </c>
      <c r="J23" s="1" t="s">
        <v>1074</v>
      </c>
      <c r="K23" s="1" t="s">
        <v>18</v>
      </c>
      <c r="L23" s="1" t="s">
        <v>19</v>
      </c>
      <c r="Q23" s="21"/>
    </row>
    <row r="24" spans="1:17" x14ac:dyDescent="0.15">
      <c r="A24" s="1">
        <v>683095</v>
      </c>
      <c r="B24" s="1">
        <v>0</v>
      </c>
      <c r="C24" s="1" t="s">
        <v>1742</v>
      </c>
      <c r="D24" s="1" t="s">
        <v>3911</v>
      </c>
      <c r="E24" s="1" t="s">
        <v>3451</v>
      </c>
      <c r="F24" s="1" t="s">
        <v>3987</v>
      </c>
      <c r="G24" s="1" t="s">
        <v>1056</v>
      </c>
      <c r="I24" s="18">
        <v>42755.458344907405</v>
      </c>
      <c r="J24" s="1" t="s">
        <v>1301</v>
      </c>
      <c r="K24" s="1" t="s">
        <v>18</v>
      </c>
      <c r="L24" s="1" t="s">
        <v>19</v>
      </c>
      <c r="Q24" s="21"/>
    </row>
    <row r="25" spans="1:17" x14ac:dyDescent="0.15">
      <c r="A25" s="1">
        <v>683072</v>
      </c>
      <c r="B25" s="1">
        <v>0</v>
      </c>
      <c r="C25" s="1" t="s">
        <v>3814</v>
      </c>
      <c r="D25" s="1" t="s">
        <v>3714</v>
      </c>
      <c r="E25" s="1" t="s">
        <v>3815</v>
      </c>
      <c r="F25" s="1" t="s">
        <v>3816</v>
      </c>
      <c r="G25" s="1" t="s">
        <v>16</v>
      </c>
      <c r="I25" s="18">
        <v>42755.404444444444</v>
      </c>
      <c r="J25" s="1" t="s">
        <v>17</v>
      </c>
      <c r="K25" s="1" t="s">
        <v>18</v>
      </c>
      <c r="L25" s="1" t="s">
        <v>19</v>
      </c>
      <c r="Q25" s="21"/>
    </row>
    <row r="26" spans="1:17" x14ac:dyDescent="0.15">
      <c r="A26" s="1">
        <v>683020</v>
      </c>
      <c r="B26" s="1">
        <v>0</v>
      </c>
      <c r="C26" s="1" t="s">
        <v>101</v>
      </c>
      <c r="D26" s="1" t="s">
        <v>3911</v>
      </c>
      <c r="E26" s="1" t="s">
        <v>4035</v>
      </c>
      <c r="F26" s="1" t="s">
        <v>4036</v>
      </c>
      <c r="G26" s="1" t="s">
        <v>16</v>
      </c>
      <c r="I26" s="18">
        <v>42755.322928240741</v>
      </c>
      <c r="J26" s="1" t="s">
        <v>4037</v>
      </c>
      <c r="K26" s="1" t="s">
        <v>18</v>
      </c>
      <c r="L26" s="1" t="s">
        <v>19</v>
      </c>
      <c r="Q26" s="21"/>
    </row>
    <row r="27" spans="1:17" x14ac:dyDescent="0.15">
      <c r="A27" s="1">
        <v>682633</v>
      </c>
      <c r="B27" s="1">
        <v>0</v>
      </c>
      <c r="C27" s="1" t="s">
        <v>1742</v>
      </c>
      <c r="D27" s="1" t="s">
        <v>3911</v>
      </c>
      <c r="E27" s="1" t="s">
        <v>3451</v>
      </c>
      <c r="F27" s="1" t="s">
        <v>3987</v>
      </c>
      <c r="G27" s="1" t="s">
        <v>1056</v>
      </c>
      <c r="I27" s="18">
        <v>42754.458541666667</v>
      </c>
      <c r="J27" s="1" t="s">
        <v>1301</v>
      </c>
      <c r="K27" s="1" t="s">
        <v>18</v>
      </c>
      <c r="L27" s="1" t="s">
        <v>19</v>
      </c>
      <c r="Q27" s="21"/>
    </row>
    <row r="28" spans="1:17" x14ac:dyDescent="0.15">
      <c r="A28" s="1">
        <v>682219</v>
      </c>
      <c r="B28" s="1">
        <v>0</v>
      </c>
      <c r="C28" s="1" t="s">
        <v>3903</v>
      </c>
      <c r="D28" s="1" t="s">
        <v>3714</v>
      </c>
      <c r="E28" s="1" t="s">
        <v>3904</v>
      </c>
      <c r="F28" s="1" t="s">
        <v>3905</v>
      </c>
      <c r="G28" s="1" t="s">
        <v>16</v>
      </c>
      <c r="I28" s="18">
        <v>42753.569374999999</v>
      </c>
      <c r="J28" s="1" t="s">
        <v>17</v>
      </c>
      <c r="K28" s="1" t="s">
        <v>3586</v>
      </c>
      <c r="L28" s="1" t="s">
        <v>19</v>
      </c>
      <c r="Q28" s="21"/>
    </row>
    <row r="29" spans="1:17" x14ac:dyDescent="0.15">
      <c r="A29" s="1">
        <v>682194</v>
      </c>
      <c r="B29" s="1">
        <v>0</v>
      </c>
      <c r="C29" s="1" t="s">
        <v>107</v>
      </c>
      <c r="D29" s="1" t="s">
        <v>27</v>
      </c>
      <c r="E29" s="1" t="s">
        <v>2358</v>
      </c>
      <c r="F29" s="1" t="s">
        <v>2359</v>
      </c>
      <c r="G29" s="1" t="s">
        <v>56</v>
      </c>
      <c r="H29" s="1"/>
      <c r="I29" s="18">
        <v>42753.484212962961</v>
      </c>
      <c r="J29" s="1" t="s">
        <v>2360</v>
      </c>
      <c r="K29" s="1" t="s">
        <v>18</v>
      </c>
      <c r="L29" s="1" t="s">
        <v>19</v>
      </c>
      <c r="Q29" s="21"/>
    </row>
    <row r="30" spans="1:17" x14ac:dyDescent="0.15">
      <c r="A30" s="1">
        <v>682187</v>
      </c>
      <c r="B30" s="1">
        <v>0</v>
      </c>
      <c r="C30" s="1" t="s">
        <v>1742</v>
      </c>
      <c r="D30" s="1" t="s">
        <v>3911</v>
      </c>
      <c r="E30" s="1" t="s">
        <v>3451</v>
      </c>
      <c r="F30" s="1" t="s">
        <v>3987</v>
      </c>
      <c r="G30" s="1" t="s">
        <v>1056</v>
      </c>
      <c r="I30" s="18">
        <v>42753.458634259259</v>
      </c>
      <c r="J30" s="1" t="s">
        <v>1301</v>
      </c>
      <c r="K30" s="1" t="s">
        <v>18</v>
      </c>
      <c r="L30" s="1" t="s">
        <v>19</v>
      </c>
      <c r="Q30" s="21"/>
    </row>
    <row r="31" spans="1:17" x14ac:dyDescent="0.15">
      <c r="A31" s="1">
        <v>681843</v>
      </c>
      <c r="B31" s="1">
        <v>0</v>
      </c>
      <c r="C31" s="1" t="s">
        <v>101</v>
      </c>
      <c r="D31" s="1" t="s">
        <v>27</v>
      </c>
      <c r="E31" s="1" t="s">
        <v>2728</v>
      </c>
      <c r="F31" s="1" t="s">
        <v>2729</v>
      </c>
      <c r="G31" s="1" t="s">
        <v>56</v>
      </c>
      <c r="H31" s="1"/>
      <c r="I31" s="18">
        <v>42752.644942129627</v>
      </c>
      <c r="J31" s="1" t="s">
        <v>2730</v>
      </c>
      <c r="K31" s="1" t="s">
        <v>18</v>
      </c>
      <c r="L31" s="1" t="s">
        <v>19</v>
      </c>
      <c r="Q31" s="21"/>
    </row>
    <row r="32" spans="1:17" x14ac:dyDescent="0.15">
      <c r="A32" s="1">
        <v>681785</v>
      </c>
      <c r="B32" s="1">
        <v>0</v>
      </c>
      <c r="C32" s="1" t="s">
        <v>665</v>
      </c>
      <c r="D32" s="1" t="s">
        <v>3714</v>
      </c>
      <c r="E32" s="1" t="s">
        <v>3857</v>
      </c>
      <c r="F32" s="1" t="s">
        <v>3858</v>
      </c>
      <c r="G32" s="1" t="s">
        <v>1056</v>
      </c>
      <c r="I32" s="18">
        <v>42752.458344907405</v>
      </c>
      <c r="J32" s="1" t="s">
        <v>1301</v>
      </c>
      <c r="K32" s="1" t="s">
        <v>18</v>
      </c>
      <c r="L32" s="1" t="s">
        <v>19</v>
      </c>
      <c r="Q32" s="21"/>
    </row>
    <row r="33" spans="1:17" x14ac:dyDescent="0.15">
      <c r="A33" s="1">
        <v>681306</v>
      </c>
      <c r="B33" s="1">
        <v>0</v>
      </c>
      <c r="C33" s="1" t="s">
        <v>1742</v>
      </c>
      <c r="D33" s="1" t="s">
        <v>27</v>
      </c>
      <c r="E33" s="1" t="s">
        <v>3451</v>
      </c>
      <c r="F33" s="1" t="s">
        <v>3452</v>
      </c>
      <c r="G33" s="1" t="s">
        <v>1056</v>
      </c>
      <c r="I33" s="18">
        <v>42749.458518518521</v>
      </c>
      <c r="J33" s="1" t="s">
        <v>1301</v>
      </c>
      <c r="K33" s="1" t="s">
        <v>18</v>
      </c>
      <c r="L33" s="1" t="s">
        <v>19</v>
      </c>
      <c r="Q33" s="21"/>
    </row>
    <row r="34" spans="1:17" x14ac:dyDescent="0.15">
      <c r="A34" s="1">
        <v>679653</v>
      </c>
      <c r="B34" s="1">
        <v>0</v>
      </c>
      <c r="C34" s="1" t="s">
        <v>462</v>
      </c>
      <c r="D34" s="1" t="s">
        <v>27</v>
      </c>
      <c r="E34" s="1" t="s">
        <v>2805</v>
      </c>
      <c r="F34" s="1" t="s">
        <v>2806</v>
      </c>
      <c r="G34" s="1" t="s">
        <v>23</v>
      </c>
      <c r="I34" s="18">
        <v>42745.354826388888</v>
      </c>
      <c r="J34" s="1" t="s">
        <v>465</v>
      </c>
      <c r="K34" s="1" t="s">
        <v>18</v>
      </c>
      <c r="L34" s="1" t="s">
        <v>19</v>
      </c>
      <c r="Q34" s="21"/>
    </row>
    <row r="35" spans="1:17" x14ac:dyDescent="0.15">
      <c r="A35" s="1">
        <v>679649</v>
      </c>
      <c r="B35" s="1">
        <v>0</v>
      </c>
      <c r="C35" s="1" t="s">
        <v>12</v>
      </c>
      <c r="D35" s="1" t="s">
        <v>27</v>
      </c>
      <c r="E35" s="1" t="s">
        <v>2149</v>
      </c>
      <c r="F35" s="1" t="s">
        <v>2150</v>
      </c>
      <c r="G35" s="1" t="s">
        <v>23</v>
      </c>
      <c r="I35" s="18">
        <v>42745.338356481479</v>
      </c>
      <c r="J35" s="1" t="s">
        <v>2151</v>
      </c>
      <c r="K35" s="1" t="s">
        <v>18</v>
      </c>
      <c r="L35" s="1" t="s">
        <v>19</v>
      </c>
      <c r="Q35" s="21"/>
    </row>
    <row r="36" spans="1:17" x14ac:dyDescent="0.15">
      <c r="A36" s="1">
        <v>679647</v>
      </c>
      <c r="B36" s="1">
        <v>0</v>
      </c>
      <c r="C36" s="1" t="s">
        <v>462</v>
      </c>
      <c r="D36" s="1" t="s">
        <v>27</v>
      </c>
      <c r="E36" s="1" t="s">
        <v>3475</v>
      </c>
      <c r="F36" s="1" t="s">
        <v>3476</v>
      </c>
      <c r="G36" s="1" t="s">
        <v>23</v>
      </c>
      <c r="I36" s="18">
        <v>42745.331689814811</v>
      </c>
      <c r="J36" s="1" t="s">
        <v>465</v>
      </c>
      <c r="K36" s="1" t="s">
        <v>18</v>
      </c>
      <c r="L36" s="1" t="s">
        <v>19</v>
      </c>
      <c r="Q36" s="21"/>
    </row>
    <row r="37" spans="1:17" x14ac:dyDescent="0.15">
      <c r="A37" s="1">
        <v>679646</v>
      </c>
      <c r="B37" s="1">
        <v>0</v>
      </c>
      <c r="C37" s="1" t="s">
        <v>462</v>
      </c>
      <c r="D37" s="1" t="s">
        <v>27</v>
      </c>
      <c r="E37" s="1" t="s">
        <v>3473</v>
      </c>
      <c r="F37" s="1" t="s">
        <v>3474</v>
      </c>
      <c r="G37" s="1" t="s">
        <v>23</v>
      </c>
      <c r="I37" s="18">
        <v>42745.330775462964</v>
      </c>
      <c r="J37" s="1" t="s">
        <v>465</v>
      </c>
      <c r="K37" s="1" t="s">
        <v>18</v>
      </c>
      <c r="L37" s="1" t="s">
        <v>19</v>
      </c>
      <c r="Q37" s="21"/>
    </row>
    <row r="38" spans="1:17" x14ac:dyDescent="0.15">
      <c r="A38" s="1">
        <v>679645</v>
      </c>
      <c r="B38" s="1">
        <v>0</v>
      </c>
      <c r="C38" s="1" t="s">
        <v>462</v>
      </c>
      <c r="D38" s="1" t="s">
        <v>27</v>
      </c>
      <c r="E38" s="1" t="s">
        <v>3477</v>
      </c>
      <c r="F38" s="1" t="s">
        <v>3478</v>
      </c>
      <c r="G38" s="1" t="s">
        <v>23</v>
      </c>
      <c r="I38" s="18">
        <v>42745.329236111109</v>
      </c>
      <c r="J38" s="1" t="s">
        <v>465</v>
      </c>
      <c r="K38" s="1" t="s">
        <v>18</v>
      </c>
      <c r="L38" s="1" t="s">
        <v>19</v>
      </c>
      <c r="Q38" s="21"/>
    </row>
    <row r="39" spans="1:17" x14ac:dyDescent="0.15">
      <c r="A39" s="1">
        <v>679641</v>
      </c>
      <c r="B39" s="1">
        <v>0</v>
      </c>
      <c r="C39" s="1" t="s">
        <v>462</v>
      </c>
      <c r="D39" s="1" t="s">
        <v>27</v>
      </c>
      <c r="E39" s="1" t="s">
        <v>463</v>
      </c>
      <c r="F39" s="1" t="s">
        <v>464</v>
      </c>
      <c r="G39" s="1" t="s">
        <v>23</v>
      </c>
      <c r="I39" s="18">
        <v>42745.325277777774</v>
      </c>
      <c r="J39" s="1" t="s">
        <v>465</v>
      </c>
      <c r="K39" s="1" t="s">
        <v>18</v>
      </c>
      <c r="L39" s="1" t="s">
        <v>19</v>
      </c>
      <c r="Q39" s="21"/>
    </row>
    <row r="40" spans="1:17" x14ac:dyDescent="0.15">
      <c r="A40" s="1">
        <v>679640</v>
      </c>
      <c r="B40" s="1">
        <v>0</v>
      </c>
      <c r="C40" s="1" t="s">
        <v>462</v>
      </c>
      <c r="D40" s="1" t="s">
        <v>27</v>
      </c>
      <c r="E40" s="1" t="s">
        <v>3479</v>
      </c>
      <c r="F40" s="1" t="s">
        <v>3480</v>
      </c>
      <c r="G40" s="1" t="s">
        <v>23</v>
      </c>
      <c r="I40" s="18">
        <v>42745.321747685186</v>
      </c>
      <c r="J40" s="1" t="s">
        <v>465</v>
      </c>
      <c r="K40" s="1" t="s">
        <v>18</v>
      </c>
      <c r="L40" s="1" t="s">
        <v>19</v>
      </c>
      <c r="Q40" s="21"/>
    </row>
    <row r="41" spans="1:17" x14ac:dyDescent="0.15">
      <c r="A41" s="1">
        <v>679484</v>
      </c>
      <c r="B41" s="1">
        <v>0</v>
      </c>
      <c r="C41" s="1" t="s">
        <v>1742</v>
      </c>
      <c r="D41" s="1" t="s">
        <v>27</v>
      </c>
      <c r="E41" s="1" t="s">
        <v>3517</v>
      </c>
      <c r="F41" s="1" t="s">
        <v>3518</v>
      </c>
      <c r="G41" s="1" t="s">
        <v>16</v>
      </c>
      <c r="I41" s="18">
        <v>42744.912662037037</v>
      </c>
      <c r="J41" s="1" t="s">
        <v>3519</v>
      </c>
      <c r="K41" s="1" t="s">
        <v>18</v>
      </c>
      <c r="L41" s="1" t="s">
        <v>19</v>
      </c>
      <c r="Q41" s="21"/>
    </row>
    <row r="42" spans="1:17" x14ac:dyDescent="0.15">
      <c r="A42" s="1">
        <v>678706</v>
      </c>
      <c r="B42" s="1">
        <v>0</v>
      </c>
      <c r="C42" s="1" t="s">
        <v>409</v>
      </c>
      <c r="D42" s="1" t="s">
        <v>27</v>
      </c>
      <c r="E42" s="1" t="s">
        <v>3028</v>
      </c>
      <c r="F42" s="1" t="s">
        <v>3029</v>
      </c>
      <c r="G42" s="1"/>
      <c r="H42" s="1"/>
      <c r="I42" s="18">
        <v>42740.813020833331</v>
      </c>
      <c r="J42" s="1" t="s">
        <v>3030</v>
      </c>
      <c r="K42" s="1" t="s">
        <v>18</v>
      </c>
      <c r="L42" s="1" t="s">
        <v>19</v>
      </c>
      <c r="Q42" s="21"/>
    </row>
    <row r="43" spans="1:17" x14ac:dyDescent="0.15">
      <c r="A43" s="1">
        <v>678461</v>
      </c>
      <c r="B43" s="1">
        <v>0</v>
      </c>
      <c r="C43" s="1" t="s">
        <v>12</v>
      </c>
      <c r="D43" s="1" t="s">
        <v>27</v>
      </c>
      <c r="E43" s="1" t="s">
        <v>1208</v>
      </c>
      <c r="F43" s="1" t="s">
        <v>1209</v>
      </c>
      <c r="G43" s="1" t="s">
        <v>813</v>
      </c>
      <c r="H43" s="1"/>
      <c r="I43" s="18">
        <v>42740.067986111113</v>
      </c>
      <c r="J43" s="1" t="s">
        <v>379</v>
      </c>
      <c r="K43" s="1" t="s">
        <v>18</v>
      </c>
      <c r="L43" s="1" t="s">
        <v>19</v>
      </c>
      <c r="Q43" s="21"/>
    </row>
    <row r="44" spans="1:17" x14ac:dyDescent="0.15">
      <c r="A44" s="1">
        <v>677738</v>
      </c>
      <c r="B44" s="1">
        <v>0</v>
      </c>
      <c r="C44" s="1" t="s">
        <v>1815</v>
      </c>
      <c r="D44" s="1" t="s">
        <v>27</v>
      </c>
      <c r="E44" s="1" t="s">
        <v>2630</v>
      </c>
      <c r="F44" s="1" t="s">
        <v>2631</v>
      </c>
      <c r="G44" s="1" t="s">
        <v>16</v>
      </c>
      <c r="I44" s="18">
        <v>42736.650706018518</v>
      </c>
      <c r="J44" s="1" t="s">
        <v>17</v>
      </c>
      <c r="K44" s="1" t="s">
        <v>18</v>
      </c>
      <c r="L44" s="1" t="s">
        <v>19</v>
      </c>
      <c r="Q44" s="21"/>
    </row>
    <row r="45" spans="1:17" x14ac:dyDescent="0.15">
      <c r="A45" s="1">
        <v>676775</v>
      </c>
      <c r="B45" s="1">
        <v>0</v>
      </c>
      <c r="C45" s="1" t="s">
        <v>137</v>
      </c>
      <c r="D45" s="1" t="s">
        <v>3911</v>
      </c>
      <c r="E45" s="1" t="s">
        <v>4013</v>
      </c>
      <c r="F45" s="1" t="s">
        <v>4014</v>
      </c>
      <c r="G45" s="1"/>
      <c r="H45" s="1"/>
      <c r="I45" s="18">
        <v>42727.376504629632</v>
      </c>
      <c r="J45" s="1" t="s">
        <v>1365</v>
      </c>
      <c r="K45" s="1" t="s">
        <v>18</v>
      </c>
      <c r="L45" s="1" t="s">
        <v>19</v>
      </c>
      <c r="Q45" s="21"/>
    </row>
    <row r="46" spans="1:17" x14ac:dyDescent="0.15">
      <c r="A46" s="1">
        <v>676623</v>
      </c>
      <c r="B46" s="1">
        <v>0</v>
      </c>
      <c r="C46" s="1" t="s">
        <v>1824</v>
      </c>
      <c r="D46" s="1" t="s">
        <v>27</v>
      </c>
      <c r="E46" s="1" t="s">
        <v>3217</v>
      </c>
      <c r="F46" s="1" t="s">
        <v>3218</v>
      </c>
      <c r="G46" s="1" t="s">
        <v>23</v>
      </c>
      <c r="I46" s="18">
        <v>42726.576597222222</v>
      </c>
      <c r="J46" s="1" t="s">
        <v>3219</v>
      </c>
      <c r="K46" s="1" t="s">
        <v>18</v>
      </c>
      <c r="L46" s="1" t="s">
        <v>19</v>
      </c>
      <c r="Q46" s="21"/>
    </row>
    <row r="47" spans="1:17" x14ac:dyDescent="0.15">
      <c r="A47" s="1">
        <v>674203</v>
      </c>
      <c r="B47" s="1">
        <v>0</v>
      </c>
      <c r="C47" s="1" t="s">
        <v>647</v>
      </c>
      <c r="D47" s="1" t="s">
        <v>27</v>
      </c>
      <c r="E47" s="1" t="s">
        <v>648</v>
      </c>
      <c r="F47" s="1" t="s">
        <v>649</v>
      </c>
      <c r="G47" s="1" t="s">
        <v>23</v>
      </c>
      <c r="I47" s="18">
        <v>42718.780682870369</v>
      </c>
      <c r="J47" s="1" t="s">
        <v>24</v>
      </c>
      <c r="K47" s="1" t="s">
        <v>18</v>
      </c>
      <c r="L47" s="1" t="s">
        <v>19</v>
      </c>
      <c r="Q47" s="21"/>
    </row>
    <row r="48" spans="1:17" x14ac:dyDescent="0.15">
      <c r="A48" s="13">
        <v>673759</v>
      </c>
      <c r="B48" s="13">
        <v>0</v>
      </c>
      <c r="C48" s="13" t="s">
        <v>1742</v>
      </c>
      <c r="D48" s="13" t="s">
        <v>4082</v>
      </c>
      <c r="E48" s="13" t="s">
        <v>4110</v>
      </c>
      <c r="F48" s="13" t="s">
        <v>4111</v>
      </c>
      <c r="G48" s="13" t="s">
        <v>1056</v>
      </c>
      <c r="H48" s="13">
        <v>672642</v>
      </c>
      <c r="I48" s="23">
        <v>42717.632476851853</v>
      </c>
      <c r="J48" s="13" t="s">
        <v>609</v>
      </c>
      <c r="K48" s="13" t="s">
        <v>18</v>
      </c>
      <c r="L48" s="13" t="s">
        <v>19</v>
      </c>
      <c r="M48" s="13" t="s">
        <v>4085</v>
      </c>
      <c r="Q48" s="21"/>
    </row>
    <row r="49" spans="1:25" x14ac:dyDescent="0.15">
      <c r="A49" s="1">
        <v>673170</v>
      </c>
      <c r="B49" s="1">
        <v>0</v>
      </c>
      <c r="C49" s="1" t="s">
        <v>647</v>
      </c>
      <c r="D49" s="1" t="s">
        <v>27</v>
      </c>
      <c r="E49" s="1" t="s">
        <v>2539</v>
      </c>
      <c r="F49" s="1" t="s">
        <v>2540</v>
      </c>
      <c r="G49" s="1" t="s">
        <v>23</v>
      </c>
      <c r="I49" s="18">
        <v>42715.780474537038</v>
      </c>
      <c r="J49" s="1" t="s">
        <v>247</v>
      </c>
      <c r="K49" s="1" t="s">
        <v>18</v>
      </c>
      <c r="L49" s="1" t="s">
        <v>19</v>
      </c>
      <c r="Q49" s="21"/>
    </row>
    <row r="50" spans="1:25" x14ac:dyDescent="0.15">
      <c r="A50" s="1">
        <v>672842</v>
      </c>
      <c r="B50" s="1">
        <v>4</v>
      </c>
      <c r="C50" s="1" t="s">
        <v>670</v>
      </c>
      <c r="D50" s="1" t="s">
        <v>4082</v>
      </c>
      <c r="E50" s="1" t="s">
        <v>4117</v>
      </c>
      <c r="F50" s="1" t="s">
        <v>4118</v>
      </c>
      <c r="G50" s="1" t="s">
        <v>353</v>
      </c>
      <c r="H50" s="1">
        <v>181623</v>
      </c>
      <c r="I50" s="22">
        <v>42713.608611111114</v>
      </c>
      <c r="J50" s="1" t="s">
        <v>4119</v>
      </c>
      <c r="K50" s="1" t="s">
        <v>18</v>
      </c>
      <c r="L50" s="1" t="s">
        <v>19</v>
      </c>
      <c r="M50" s="1">
        <v>181623</v>
      </c>
      <c r="N50" s="14" t="s">
        <v>4120</v>
      </c>
      <c r="O50" s="22">
        <v>41344</v>
      </c>
      <c r="P50" s="1">
        <v>449679</v>
      </c>
      <c r="Q50" s="21">
        <f t="shared" si="0"/>
        <v>1369.6086111111144</v>
      </c>
      <c r="R50" s="14" t="s">
        <v>4121</v>
      </c>
      <c r="S50" s="15" t="s">
        <v>4192</v>
      </c>
      <c r="T50" s="1">
        <v>509834</v>
      </c>
      <c r="U50" s="14" t="s">
        <v>952</v>
      </c>
      <c r="V50" s="15" t="s">
        <v>4193</v>
      </c>
      <c r="W50" s="1">
        <v>606101</v>
      </c>
      <c r="X50" s="14" t="s">
        <v>3415</v>
      </c>
      <c r="Y50" s="15" t="s">
        <v>4194</v>
      </c>
    </row>
    <row r="51" spans="1:25" x14ac:dyDescent="0.15">
      <c r="A51" s="1">
        <v>671102</v>
      </c>
      <c r="B51" s="1">
        <v>0</v>
      </c>
      <c r="C51" s="1" t="s">
        <v>26</v>
      </c>
      <c r="D51" s="1" t="s">
        <v>27</v>
      </c>
      <c r="E51" s="1" t="s">
        <v>1213</v>
      </c>
      <c r="F51" s="1" t="s">
        <v>1214</v>
      </c>
      <c r="G51" s="1" t="s">
        <v>23</v>
      </c>
      <c r="I51" s="18">
        <v>42709.26866898148</v>
      </c>
      <c r="J51" s="1" t="s">
        <v>247</v>
      </c>
      <c r="K51" s="1" t="s">
        <v>18</v>
      </c>
      <c r="L51" s="1" t="s">
        <v>19</v>
      </c>
      <c r="Q51" s="21"/>
    </row>
    <row r="52" spans="1:25" x14ac:dyDescent="0.15">
      <c r="A52" s="1">
        <v>669439</v>
      </c>
      <c r="B52" s="1">
        <v>0</v>
      </c>
      <c r="C52" s="1" t="s">
        <v>1742</v>
      </c>
      <c r="D52" s="1" t="s">
        <v>27</v>
      </c>
      <c r="E52" s="1" t="s">
        <v>1743</v>
      </c>
      <c r="F52" s="1" t="s">
        <v>1744</v>
      </c>
      <c r="G52" s="1" t="s">
        <v>1056</v>
      </c>
      <c r="I52" s="18">
        <v>42703.458344907405</v>
      </c>
      <c r="J52" s="1" t="s">
        <v>1301</v>
      </c>
      <c r="K52" s="1" t="s">
        <v>18</v>
      </c>
      <c r="L52" s="1" t="s">
        <v>19</v>
      </c>
      <c r="Q52" s="21"/>
    </row>
    <row r="53" spans="1:25" x14ac:dyDescent="0.15">
      <c r="A53" s="1">
        <v>669136</v>
      </c>
      <c r="B53" s="1">
        <v>0</v>
      </c>
      <c r="C53" s="1" t="s">
        <v>137</v>
      </c>
      <c r="D53" s="1" t="s">
        <v>27</v>
      </c>
      <c r="E53" s="1" t="s">
        <v>940</v>
      </c>
      <c r="F53" s="1" t="s">
        <v>941</v>
      </c>
      <c r="G53" s="1" t="s">
        <v>159</v>
      </c>
      <c r="I53" s="18">
        <v>42702.80091435185</v>
      </c>
      <c r="J53" s="1" t="s">
        <v>699</v>
      </c>
      <c r="K53" s="1" t="s">
        <v>18</v>
      </c>
      <c r="L53" s="1" t="s">
        <v>19</v>
      </c>
      <c r="Q53" s="21"/>
    </row>
    <row r="54" spans="1:25" x14ac:dyDescent="0.15">
      <c r="A54" s="1">
        <v>668970</v>
      </c>
      <c r="B54" s="1">
        <v>0</v>
      </c>
      <c r="C54" s="1" t="s">
        <v>715</v>
      </c>
      <c r="D54" s="1" t="s">
        <v>27</v>
      </c>
      <c r="E54" s="1" t="s">
        <v>716</v>
      </c>
      <c r="F54" s="1" t="s">
        <v>717</v>
      </c>
      <c r="G54" s="1" t="s">
        <v>23</v>
      </c>
      <c r="I54" s="18">
        <v>42702.38621527778</v>
      </c>
      <c r="J54" s="1" t="s">
        <v>718</v>
      </c>
      <c r="K54" s="1" t="s">
        <v>18</v>
      </c>
      <c r="L54" s="1" t="s">
        <v>19</v>
      </c>
      <c r="Q54" s="21"/>
    </row>
    <row r="55" spans="1:25" x14ac:dyDescent="0.15">
      <c r="A55" s="1">
        <v>668830</v>
      </c>
      <c r="B55" s="1">
        <v>0</v>
      </c>
      <c r="C55" s="1" t="s">
        <v>137</v>
      </c>
      <c r="D55" s="1" t="s">
        <v>27</v>
      </c>
      <c r="E55" s="1" t="s">
        <v>697</v>
      </c>
      <c r="F55" s="1" t="s">
        <v>698</v>
      </c>
      <c r="G55" s="1" t="s">
        <v>159</v>
      </c>
      <c r="I55" s="18">
        <v>42700.835798611108</v>
      </c>
      <c r="J55" s="1" t="s">
        <v>699</v>
      </c>
      <c r="K55" s="1" t="s">
        <v>18</v>
      </c>
      <c r="L55" s="1" t="s">
        <v>19</v>
      </c>
      <c r="Q55" s="21"/>
    </row>
    <row r="56" spans="1:25" x14ac:dyDescent="0.15">
      <c r="A56" s="1">
        <v>668724</v>
      </c>
      <c r="B56" s="1">
        <v>0</v>
      </c>
      <c r="C56" s="1" t="s">
        <v>12</v>
      </c>
      <c r="D56" s="1" t="s">
        <v>27</v>
      </c>
      <c r="E56" s="1" t="s">
        <v>1146</v>
      </c>
      <c r="F56" s="1" t="s">
        <v>1147</v>
      </c>
      <c r="G56" s="1" t="s">
        <v>159</v>
      </c>
      <c r="I56" s="18">
        <v>42699.664409722223</v>
      </c>
      <c r="J56" s="1" t="s">
        <v>1148</v>
      </c>
      <c r="K56" s="1" t="s">
        <v>18</v>
      </c>
      <c r="L56" s="1" t="s">
        <v>19</v>
      </c>
      <c r="Q56" s="21"/>
    </row>
    <row r="57" spans="1:25" x14ac:dyDescent="0.15">
      <c r="A57" s="1">
        <v>668552</v>
      </c>
      <c r="B57" s="1">
        <v>0</v>
      </c>
      <c r="C57" s="1" t="s">
        <v>77</v>
      </c>
      <c r="D57" s="1" t="s">
        <v>27</v>
      </c>
      <c r="E57" s="1" t="s">
        <v>1980</v>
      </c>
      <c r="F57" s="1" t="s">
        <v>1981</v>
      </c>
      <c r="G57" s="1" t="s">
        <v>23</v>
      </c>
      <c r="I57" s="18">
        <v>42698.958715277775</v>
      </c>
      <c r="J57" s="1" t="s">
        <v>247</v>
      </c>
      <c r="K57" s="1" t="s">
        <v>18</v>
      </c>
      <c r="L57" s="1" t="s">
        <v>19</v>
      </c>
      <c r="Q57" s="21"/>
    </row>
    <row r="58" spans="1:25" x14ac:dyDescent="0.15">
      <c r="A58" s="1">
        <v>667504</v>
      </c>
      <c r="B58" s="1">
        <v>0</v>
      </c>
      <c r="C58" s="1" t="s">
        <v>3728</v>
      </c>
      <c r="D58" s="1" t="s">
        <v>3714</v>
      </c>
      <c r="E58" s="1" t="s">
        <v>3729</v>
      </c>
      <c r="F58" s="1" t="s">
        <v>3730</v>
      </c>
      <c r="G58" s="1" t="s">
        <v>159</v>
      </c>
      <c r="I58" s="18">
        <v>42695.931863425925</v>
      </c>
      <c r="J58" s="1" t="s">
        <v>3731</v>
      </c>
      <c r="K58" s="1" t="s">
        <v>18</v>
      </c>
      <c r="L58" s="1" t="s">
        <v>19</v>
      </c>
      <c r="Q58" s="21"/>
    </row>
    <row r="59" spans="1:25" x14ac:dyDescent="0.15">
      <c r="A59" s="1">
        <v>667493</v>
      </c>
      <c r="B59" s="1">
        <v>0</v>
      </c>
      <c r="D59" s="1" t="s">
        <v>27</v>
      </c>
      <c r="E59" s="1" t="s">
        <v>3055</v>
      </c>
      <c r="F59" s="1" t="s">
        <v>3056</v>
      </c>
      <c r="G59" s="1" t="s">
        <v>3057</v>
      </c>
      <c r="H59" s="1"/>
      <c r="I59" s="18">
        <v>42695.918576388889</v>
      </c>
      <c r="J59" s="1" t="s">
        <v>3058</v>
      </c>
      <c r="K59" s="1" t="s">
        <v>18</v>
      </c>
      <c r="L59" s="1" t="s">
        <v>19</v>
      </c>
      <c r="Q59" s="21"/>
    </row>
    <row r="60" spans="1:25" x14ac:dyDescent="0.15">
      <c r="A60" s="1">
        <v>667160</v>
      </c>
      <c r="B60" s="1">
        <v>0</v>
      </c>
      <c r="C60" s="1" t="s">
        <v>848</v>
      </c>
      <c r="D60" s="1" t="s">
        <v>3911</v>
      </c>
      <c r="E60" s="1" t="s">
        <v>849</v>
      </c>
      <c r="F60" s="1" t="s">
        <v>4011</v>
      </c>
      <c r="G60" s="1" t="s">
        <v>23</v>
      </c>
      <c r="I60" s="18">
        <v>42695.15152777778</v>
      </c>
      <c r="J60" s="1" t="s">
        <v>4012</v>
      </c>
      <c r="K60" s="1" t="s">
        <v>18</v>
      </c>
      <c r="L60" s="1" t="s">
        <v>19</v>
      </c>
      <c r="Q60" s="21"/>
    </row>
    <row r="61" spans="1:25" x14ac:dyDescent="0.15">
      <c r="A61" s="1">
        <v>666284</v>
      </c>
      <c r="B61" s="1">
        <v>0</v>
      </c>
      <c r="C61" s="1" t="s">
        <v>2363</v>
      </c>
      <c r="D61" s="1" t="s">
        <v>27</v>
      </c>
      <c r="E61" s="1" t="s">
        <v>2364</v>
      </c>
      <c r="F61" s="1" t="s">
        <v>2365</v>
      </c>
      <c r="G61" s="1" t="s">
        <v>558</v>
      </c>
      <c r="H61" s="1"/>
      <c r="I61" s="18">
        <v>42691.536273148151</v>
      </c>
      <c r="J61" s="1" t="s">
        <v>2366</v>
      </c>
      <c r="K61" s="1" t="s">
        <v>18</v>
      </c>
      <c r="L61" s="1" t="s">
        <v>19</v>
      </c>
      <c r="Q61" s="21"/>
    </row>
    <row r="62" spans="1:25" x14ac:dyDescent="0.15">
      <c r="A62" s="1">
        <v>666246</v>
      </c>
      <c r="B62" s="1">
        <v>0</v>
      </c>
      <c r="C62" s="1" t="s">
        <v>923</v>
      </c>
      <c r="D62" s="1" t="s">
        <v>3714</v>
      </c>
      <c r="E62" s="1" t="s">
        <v>3849</v>
      </c>
      <c r="F62" s="1" t="s">
        <v>3850</v>
      </c>
      <c r="G62" s="1" t="s">
        <v>16</v>
      </c>
      <c r="I62" s="18">
        <v>42691.418449074074</v>
      </c>
      <c r="J62" s="1" t="s">
        <v>17</v>
      </c>
      <c r="K62" s="1" t="s">
        <v>18</v>
      </c>
      <c r="L62" s="1" t="s">
        <v>19</v>
      </c>
      <c r="Q62" s="21"/>
    </row>
    <row r="63" spans="1:25" x14ac:dyDescent="0.15">
      <c r="A63" s="1">
        <v>664551</v>
      </c>
      <c r="B63" s="1">
        <v>0</v>
      </c>
      <c r="D63" s="1" t="s">
        <v>27</v>
      </c>
      <c r="E63" s="1" t="s">
        <v>3603</v>
      </c>
      <c r="F63" s="1" t="s">
        <v>3604</v>
      </c>
      <c r="G63" s="1" t="s">
        <v>353</v>
      </c>
      <c r="I63" s="18">
        <v>42685.734432870369</v>
      </c>
      <c r="J63" s="1" t="s">
        <v>155</v>
      </c>
      <c r="K63" s="1" t="s">
        <v>3586</v>
      </c>
      <c r="L63" s="1" t="s">
        <v>19</v>
      </c>
      <c r="Q63" s="21"/>
    </row>
    <row r="64" spans="1:25" x14ac:dyDescent="0.15">
      <c r="A64" s="1">
        <v>664411</v>
      </c>
      <c r="B64" s="1">
        <v>0</v>
      </c>
      <c r="C64" s="1" t="s">
        <v>107</v>
      </c>
      <c r="D64" s="1" t="s">
        <v>27</v>
      </c>
      <c r="E64" s="1" t="s">
        <v>2556</v>
      </c>
      <c r="F64" s="1" t="s">
        <v>2557</v>
      </c>
      <c r="G64" s="1" t="s">
        <v>23</v>
      </c>
      <c r="I64" s="18">
        <v>42685.283391203702</v>
      </c>
      <c r="J64" s="1" t="s">
        <v>2558</v>
      </c>
      <c r="K64" s="1" t="s">
        <v>18</v>
      </c>
      <c r="L64" s="1" t="s">
        <v>19</v>
      </c>
      <c r="Q64" s="21"/>
    </row>
    <row r="65" spans="1:18" x14ac:dyDescent="0.15">
      <c r="A65" s="1">
        <v>664139</v>
      </c>
      <c r="B65" s="1">
        <v>0</v>
      </c>
      <c r="C65" s="1" t="s">
        <v>629</v>
      </c>
      <c r="D65" s="1" t="s">
        <v>27</v>
      </c>
      <c r="E65" s="1" t="s">
        <v>630</v>
      </c>
      <c r="F65" s="1" t="s">
        <v>631</v>
      </c>
      <c r="G65" s="1" t="s">
        <v>23</v>
      </c>
      <c r="I65" s="18">
        <v>42684.564050925925</v>
      </c>
      <c r="J65" s="1" t="s">
        <v>632</v>
      </c>
      <c r="K65" s="1" t="s">
        <v>18</v>
      </c>
      <c r="L65" s="1" t="s">
        <v>19</v>
      </c>
      <c r="Q65" s="21"/>
    </row>
    <row r="66" spans="1:18" x14ac:dyDescent="0.15">
      <c r="A66" s="1">
        <v>663551</v>
      </c>
      <c r="B66" s="1">
        <v>0</v>
      </c>
      <c r="C66" s="1" t="s">
        <v>137</v>
      </c>
      <c r="D66" s="1" t="s">
        <v>27</v>
      </c>
      <c r="E66" s="1" t="s">
        <v>2737</v>
      </c>
      <c r="F66" s="1" t="s">
        <v>2738</v>
      </c>
      <c r="G66" s="1"/>
      <c r="H66" s="1"/>
      <c r="I66" s="18">
        <v>42682.988888888889</v>
      </c>
      <c r="J66" s="1" t="s">
        <v>699</v>
      </c>
      <c r="K66" s="1" t="s">
        <v>18</v>
      </c>
      <c r="L66" s="1" t="s">
        <v>19</v>
      </c>
      <c r="Q66" s="21"/>
    </row>
    <row r="67" spans="1:18" x14ac:dyDescent="0.15">
      <c r="A67" s="1">
        <v>663476</v>
      </c>
      <c r="B67" s="1">
        <v>0</v>
      </c>
      <c r="C67" s="1" t="s">
        <v>522</v>
      </c>
      <c r="D67" s="1" t="s">
        <v>27</v>
      </c>
      <c r="E67" s="1" t="s">
        <v>2379</v>
      </c>
      <c r="F67" s="1" t="s">
        <v>2380</v>
      </c>
      <c r="G67" s="1" t="s">
        <v>23</v>
      </c>
      <c r="I67" s="18">
        <v>42682.843506944446</v>
      </c>
      <c r="J67" s="1" t="s">
        <v>247</v>
      </c>
      <c r="K67" s="1" t="s">
        <v>18</v>
      </c>
      <c r="L67" s="1" t="s">
        <v>19</v>
      </c>
      <c r="Q67" s="21"/>
    </row>
    <row r="68" spans="1:18" x14ac:dyDescent="0.15">
      <c r="A68" s="1">
        <v>663402</v>
      </c>
      <c r="B68" s="1">
        <v>1</v>
      </c>
      <c r="C68" s="1" t="s">
        <v>101</v>
      </c>
      <c r="D68" s="1" t="s">
        <v>27</v>
      </c>
      <c r="E68" s="1" t="s">
        <v>3010</v>
      </c>
      <c r="F68" s="1" t="s">
        <v>3011</v>
      </c>
      <c r="G68" s="1" t="s">
        <v>668</v>
      </c>
      <c r="H68" s="1"/>
      <c r="I68" s="18">
        <v>42682.728900462964</v>
      </c>
      <c r="J68" s="1" t="s">
        <v>258</v>
      </c>
      <c r="K68" s="1" t="s">
        <v>18</v>
      </c>
      <c r="L68" s="1" t="s">
        <v>19</v>
      </c>
      <c r="M68" s="1">
        <v>659561</v>
      </c>
      <c r="N68" s="1" t="s">
        <v>3012</v>
      </c>
      <c r="O68" s="18">
        <v>42669.417685185188</v>
      </c>
      <c r="P68" s="1" t="s">
        <v>3013</v>
      </c>
      <c r="Q68" s="21">
        <f t="shared" si="0"/>
        <v>13.311215277775773</v>
      </c>
      <c r="R68" s="1"/>
    </row>
    <row r="69" spans="1:18" x14ac:dyDescent="0.15">
      <c r="A69" s="1">
        <v>662859</v>
      </c>
      <c r="B69" s="1">
        <v>0</v>
      </c>
      <c r="C69" s="1" t="s">
        <v>576</v>
      </c>
      <c r="D69" s="1" t="s">
        <v>3714</v>
      </c>
      <c r="E69" s="1" t="s">
        <v>2919</v>
      </c>
      <c r="F69" s="1" t="s">
        <v>3741</v>
      </c>
      <c r="G69" s="1" t="s">
        <v>159</v>
      </c>
      <c r="I69" s="18">
        <v>42681.445486111108</v>
      </c>
      <c r="J69" s="1" t="s">
        <v>98</v>
      </c>
      <c r="K69" s="1" t="s">
        <v>18</v>
      </c>
      <c r="L69" s="1" t="s">
        <v>19</v>
      </c>
      <c r="Q69" s="21"/>
    </row>
    <row r="70" spans="1:18" x14ac:dyDescent="0.15">
      <c r="A70" s="1">
        <v>662769</v>
      </c>
      <c r="B70" s="1">
        <v>0</v>
      </c>
      <c r="C70" s="1" t="s">
        <v>1426</v>
      </c>
      <c r="D70" s="1" t="s">
        <v>27</v>
      </c>
      <c r="E70" s="1" t="s">
        <v>1539</v>
      </c>
      <c r="F70" s="1" t="s">
        <v>1540</v>
      </c>
      <c r="G70" s="1" t="s">
        <v>56</v>
      </c>
      <c r="H70" s="1"/>
      <c r="I70" s="18">
        <v>42681.057384259257</v>
      </c>
      <c r="J70" s="1" t="s">
        <v>1541</v>
      </c>
      <c r="K70" s="1" t="s">
        <v>18</v>
      </c>
      <c r="L70" s="1" t="s">
        <v>19</v>
      </c>
      <c r="Q70" s="21"/>
    </row>
    <row r="71" spans="1:18" x14ac:dyDescent="0.15">
      <c r="A71" s="1">
        <v>662767</v>
      </c>
      <c r="B71" s="1">
        <v>0</v>
      </c>
      <c r="C71" s="1" t="s">
        <v>268</v>
      </c>
      <c r="D71" s="1" t="s">
        <v>27</v>
      </c>
      <c r="E71" s="1" t="s">
        <v>2101</v>
      </c>
      <c r="F71" s="1" t="s">
        <v>2102</v>
      </c>
      <c r="G71" s="1" t="s">
        <v>23</v>
      </c>
      <c r="I71" s="18">
        <v>42681.051481481481</v>
      </c>
      <c r="J71" s="1" t="s">
        <v>1623</v>
      </c>
      <c r="K71" s="1" t="s">
        <v>18</v>
      </c>
      <c r="L71" s="1" t="s">
        <v>19</v>
      </c>
      <c r="Q71" s="21"/>
    </row>
    <row r="72" spans="1:18" x14ac:dyDescent="0.15">
      <c r="A72" s="1">
        <v>660760</v>
      </c>
      <c r="B72" s="1">
        <v>0</v>
      </c>
      <c r="C72" s="1" t="s">
        <v>1815</v>
      </c>
      <c r="D72" s="1" t="s">
        <v>3714</v>
      </c>
      <c r="E72" s="1" t="s">
        <v>3835</v>
      </c>
      <c r="F72" s="1" t="s">
        <v>3836</v>
      </c>
      <c r="G72" s="1" t="s">
        <v>16</v>
      </c>
      <c r="I72" s="18">
        <v>42674.12400462963</v>
      </c>
      <c r="J72" s="1" t="s">
        <v>17</v>
      </c>
      <c r="K72" s="1" t="s">
        <v>18</v>
      </c>
      <c r="L72" s="1" t="s">
        <v>19</v>
      </c>
      <c r="Q72" s="21"/>
    </row>
    <row r="73" spans="1:18" x14ac:dyDescent="0.15">
      <c r="A73" s="1">
        <v>659516</v>
      </c>
      <c r="B73" s="1">
        <v>0</v>
      </c>
      <c r="C73" s="1" t="s">
        <v>34</v>
      </c>
      <c r="D73" s="1" t="s">
        <v>27</v>
      </c>
      <c r="E73" s="1" t="s">
        <v>35</v>
      </c>
      <c r="F73" s="1" t="s">
        <v>36</v>
      </c>
      <c r="G73" s="1" t="s">
        <v>23</v>
      </c>
      <c r="I73" s="18">
        <v>42669.373449074075</v>
      </c>
      <c r="J73" s="1" t="s">
        <v>37</v>
      </c>
      <c r="K73" s="1" t="s">
        <v>18</v>
      </c>
      <c r="L73" s="1" t="s">
        <v>19</v>
      </c>
      <c r="Q73" s="21"/>
    </row>
    <row r="74" spans="1:18" x14ac:dyDescent="0.15">
      <c r="A74" s="1">
        <v>659492</v>
      </c>
      <c r="B74" s="1">
        <v>0</v>
      </c>
      <c r="C74" s="1" t="s">
        <v>927</v>
      </c>
      <c r="D74" s="1" t="s">
        <v>27</v>
      </c>
      <c r="E74" s="1" t="s">
        <v>3706</v>
      </c>
      <c r="F74" s="1" t="s">
        <v>3707</v>
      </c>
      <c r="G74" s="1" t="s">
        <v>353</v>
      </c>
      <c r="I74" s="18">
        <v>42669.288206018522</v>
      </c>
      <c r="J74" s="1" t="s">
        <v>24</v>
      </c>
      <c r="K74" s="1" t="s">
        <v>3586</v>
      </c>
      <c r="L74" s="1" t="s">
        <v>19</v>
      </c>
      <c r="Q74" s="21"/>
    </row>
    <row r="75" spans="1:18" x14ac:dyDescent="0.15">
      <c r="A75" s="1">
        <v>659489</v>
      </c>
      <c r="B75" s="1">
        <v>0</v>
      </c>
      <c r="C75" s="1" t="s">
        <v>927</v>
      </c>
      <c r="D75" s="1" t="s">
        <v>27</v>
      </c>
      <c r="E75" s="1" t="s">
        <v>3607</v>
      </c>
      <c r="F75" s="1" t="s">
        <v>3608</v>
      </c>
      <c r="G75" s="1" t="s">
        <v>3609</v>
      </c>
      <c r="I75" s="18">
        <v>42669.283946759257</v>
      </c>
      <c r="J75" s="1" t="s">
        <v>24</v>
      </c>
      <c r="K75" s="1" t="s">
        <v>3586</v>
      </c>
      <c r="L75" s="1" t="s">
        <v>19</v>
      </c>
      <c r="Q75" s="21"/>
    </row>
    <row r="76" spans="1:18" x14ac:dyDescent="0.15">
      <c r="A76" s="1">
        <v>659477</v>
      </c>
      <c r="B76" s="1">
        <v>0</v>
      </c>
      <c r="D76" s="1" t="s">
        <v>27</v>
      </c>
      <c r="E76" s="1" t="s">
        <v>1374</v>
      </c>
      <c r="F76" s="1" t="s">
        <v>1375</v>
      </c>
      <c r="G76" s="1" t="s">
        <v>353</v>
      </c>
      <c r="I76" s="18">
        <v>42669.241064814814</v>
      </c>
      <c r="J76" s="1" t="s">
        <v>40</v>
      </c>
      <c r="K76" s="1" t="s">
        <v>18</v>
      </c>
      <c r="L76" s="1" t="s">
        <v>19</v>
      </c>
      <c r="Q76" s="21"/>
    </row>
    <row r="77" spans="1:18" x14ac:dyDescent="0.15">
      <c r="A77" s="1">
        <v>659475</v>
      </c>
      <c r="B77" s="1">
        <v>1</v>
      </c>
      <c r="C77" s="1" t="s">
        <v>101</v>
      </c>
      <c r="D77" s="1" t="s">
        <v>27</v>
      </c>
      <c r="E77" s="1" t="s">
        <v>1376</v>
      </c>
      <c r="F77" s="1" t="s">
        <v>1377</v>
      </c>
      <c r="G77" s="1" t="s">
        <v>56</v>
      </c>
      <c r="H77" s="1"/>
      <c r="I77" s="18">
        <v>42669.224976851852</v>
      </c>
      <c r="J77" s="1" t="s">
        <v>40</v>
      </c>
      <c r="K77" s="1" t="s">
        <v>18</v>
      </c>
      <c r="L77" s="1" t="s">
        <v>19</v>
      </c>
      <c r="M77" s="1">
        <v>659756</v>
      </c>
      <c r="N77" s="1" t="s">
        <v>1378</v>
      </c>
      <c r="O77" s="18">
        <v>42669.833749999998</v>
      </c>
      <c r="P77" s="1" t="s">
        <v>17</v>
      </c>
      <c r="Q77" s="21">
        <f t="shared" ref="Q77:Q125" si="1">ABS(O77-I77)</f>
        <v>0.60877314814570127</v>
      </c>
      <c r="R77" s="1"/>
    </row>
    <row r="78" spans="1:18" x14ac:dyDescent="0.15">
      <c r="A78" s="1">
        <v>659474</v>
      </c>
      <c r="B78" s="1">
        <v>0</v>
      </c>
      <c r="C78" s="1" t="s">
        <v>101</v>
      </c>
      <c r="D78" s="1" t="s">
        <v>27</v>
      </c>
      <c r="E78" s="1" t="s">
        <v>3615</v>
      </c>
      <c r="F78" s="1" t="s">
        <v>3616</v>
      </c>
      <c r="G78" s="1" t="s">
        <v>2124</v>
      </c>
      <c r="I78" s="18">
        <v>42669.221689814818</v>
      </c>
      <c r="J78" s="1" t="s">
        <v>40</v>
      </c>
      <c r="K78" s="1" t="s">
        <v>3586</v>
      </c>
      <c r="L78" s="1" t="s">
        <v>19</v>
      </c>
      <c r="Q78" s="21"/>
    </row>
    <row r="79" spans="1:18" x14ac:dyDescent="0.15">
      <c r="A79" s="1">
        <v>658555</v>
      </c>
      <c r="B79" s="1">
        <v>0</v>
      </c>
      <c r="C79" s="1" t="s">
        <v>2227</v>
      </c>
      <c r="D79" s="1" t="s">
        <v>3714</v>
      </c>
      <c r="E79" s="1" t="s">
        <v>3829</v>
      </c>
      <c r="F79" s="1" t="s">
        <v>3830</v>
      </c>
      <c r="G79" s="1" t="s">
        <v>16</v>
      </c>
      <c r="I79" s="18">
        <v>42665.917002314818</v>
      </c>
      <c r="J79" s="1" t="s">
        <v>17</v>
      </c>
      <c r="K79" s="1" t="s">
        <v>18</v>
      </c>
      <c r="L79" s="1" t="s">
        <v>19</v>
      </c>
      <c r="Q79" s="21"/>
    </row>
    <row r="80" spans="1:18" x14ac:dyDescent="0.15">
      <c r="A80" s="1">
        <v>658535</v>
      </c>
      <c r="B80" s="1">
        <v>0</v>
      </c>
      <c r="C80" s="1" t="s">
        <v>369</v>
      </c>
      <c r="D80" s="1" t="s">
        <v>27</v>
      </c>
      <c r="E80" s="1" t="s">
        <v>370</v>
      </c>
      <c r="F80" s="1" t="s">
        <v>371</v>
      </c>
      <c r="G80" s="1" t="s">
        <v>372</v>
      </c>
      <c r="H80" s="1"/>
      <c r="I80" s="18">
        <v>42665.756782407407</v>
      </c>
      <c r="J80" s="1" t="s">
        <v>247</v>
      </c>
      <c r="K80" s="1" t="s">
        <v>18</v>
      </c>
      <c r="L80" s="1" t="s">
        <v>19</v>
      </c>
      <c r="Q80" s="21"/>
    </row>
    <row r="81" spans="1:17" x14ac:dyDescent="0.15">
      <c r="A81" s="1">
        <v>658464</v>
      </c>
      <c r="B81" s="1">
        <v>0</v>
      </c>
      <c r="C81" s="1" t="s">
        <v>129</v>
      </c>
      <c r="D81" s="1" t="s">
        <v>3911</v>
      </c>
      <c r="E81" s="1" t="s">
        <v>3922</v>
      </c>
      <c r="F81" s="1" t="s">
        <v>3923</v>
      </c>
      <c r="G81" s="1" t="s">
        <v>16</v>
      </c>
      <c r="I81" s="18">
        <v>42665.001562500001</v>
      </c>
      <c r="J81" s="1" t="s">
        <v>17</v>
      </c>
      <c r="K81" s="1" t="s">
        <v>18</v>
      </c>
      <c r="L81" s="1" t="s">
        <v>19</v>
      </c>
      <c r="Q81" s="21"/>
    </row>
    <row r="82" spans="1:17" x14ac:dyDescent="0.15">
      <c r="A82" s="1">
        <v>658440</v>
      </c>
      <c r="B82" s="1">
        <v>0</v>
      </c>
      <c r="C82" s="1" t="s">
        <v>50</v>
      </c>
      <c r="D82" s="1" t="s">
        <v>3714</v>
      </c>
      <c r="E82" s="1" t="s">
        <v>3767</v>
      </c>
      <c r="F82" s="1" t="s">
        <v>3768</v>
      </c>
      <c r="G82" s="1" t="s">
        <v>23</v>
      </c>
      <c r="I82" s="18">
        <v>42664.959062499998</v>
      </c>
      <c r="J82" s="1" t="s">
        <v>17</v>
      </c>
      <c r="K82" s="1" t="s">
        <v>18</v>
      </c>
      <c r="L82" s="1" t="s">
        <v>19</v>
      </c>
      <c r="Q82" s="21"/>
    </row>
    <row r="83" spans="1:17" x14ac:dyDescent="0.15">
      <c r="A83" s="1">
        <v>658114</v>
      </c>
      <c r="B83" s="1">
        <v>0</v>
      </c>
      <c r="C83" s="1" t="s">
        <v>984</v>
      </c>
      <c r="D83" s="1" t="s">
        <v>27</v>
      </c>
      <c r="E83" s="1" t="s">
        <v>985</v>
      </c>
      <c r="F83" s="1" t="s">
        <v>986</v>
      </c>
      <c r="G83" s="1" t="s">
        <v>23</v>
      </c>
      <c r="I83" s="18">
        <v>42664.170451388891</v>
      </c>
      <c r="J83" s="1" t="s">
        <v>987</v>
      </c>
      <c r="K83" s="1" t="s">
        <v>18</v>
      </c>
      <c r="L83" s="1" t="s">
        <v>19</v>
      </c>
      <c r="Q83" s="21"/>
    </row>
    <row r="84" spans="1:17" x14ac:dyDescent="0.15">
      <c r="A84" s="1">
        <v>656817</v>
      </c>
      <c r="B84" s="1">
        <v>0</v>
      </c>
      <c r="C84" s="1" t="s">
        <v>77</v>
      </c>
      <c r="D84" s="1" t="s">
        <v>3714</v>
      </c>
      <c r="E84" s="1" t="s">
        <v>3827</v>
      </c>
      <c r="F84" s="1" t="s">
        <v>3828</v>
      </c>
      <c r="G84" s="1" t="s">
        <v>16</v>
      </c>
      <c r="I84" s="18">
        <v>42660.917175925926</v>
      </c>
      <c r="J84" s="1" t="s">
        <v>17</v>
      </c>
      <c r="K84" s="1" t="s">
        <v>18</v>
      </c>
      <c r="L84" s="1" t="s">
        <v>19</v>
      </c>
      <c r="Q84" s="21"/>
    </row>
    <row r="85" spans="1:17" x14ac:dyDescent="0.15">
      <c r="A85" s="1">
        <v>656752</v>
      </c>
      <c r="B85" s="1">
        <v>0</v>
      </c>
      <c r="C85" s="1" t="s">
        <v>3788</v>
      </c>
      <c r="D85" s="1" t="s">
        <v>3714</v>
      </c>
      <c r="E85" s="1" t="s">
        <v>3789</v>
      </c>
      <c r="F85" s="1" t="s">
        <v>3790</v>
      </c>
      <c r="G85" s="1" t="s">
        <v>558</v>
      </c>
      <c r="H85" s="1"/>
      <c r="I85" s="18">
        <v>42660.786956018521</v>
      </c>
      <c r="J85" s="1" t="s">
        <v>1420</v>
      </c>
      <c r="K85" s="1" t="s">
        <v>18</v>
      </c>
      <c r="L85" s="1" t="s">
        <v>19</v>
      </c>
      <c r="Q85" s="21"/>
    </row>
    <row r="86" spans="1:17" x14ac:dyDescent="0.15">
      <c r="A86" s="1">
        <v>656485</v>
      </c>
      <c r="B86" s="1">
        <v>0</v>
      </c>
      <c r="C86" s="1" t="s">
        <v>2227</v>
      </c>
      <c r="D86" s="1" t="s">
        <v>27</v>
      </c>
      <c r="E86" s="1" t="s">
        <v>2769</v>
      </c>
      <c r="F86" s="1" t="s">
        <v>2770</v>
      </c>
      <c r="G86" s="1" t="s">
        <v>23</v>
      </c>
      <c r="I86" s="18">
        <v>42660.143217592595</v>
      </c>
      <c r="J86" s="1" t="s">
        <v>2771</v>
      </c>
      <c r="K86" s="1" t="s">
        <v>18</v>
      </c>
      <c r="L86" s="1" t="s">
        <v>19</v>
      </c>
      <c r="Q86" s="21"/>
    </row>
    <row r="87" spans="1:17" x14ac:dyDescent="0.15">
      <c r="A87" s="1">
        <v>655904</v>
      </c>
      <c r="B87" s="1">
        <v>0</v>
      </c>
      <c r="C87" s="1" t="s">
        <v>280</v>
      </c>
      <c r="D87" s="1" t="s">
        <v>27</v>
      </c>
      <c r="E87" s="1" t="s">
        <v>2361</v>
      </c>
      <c r="F87" s="1" t="s">
        <v>2362</v>
      </c>
      <c r="G87" s="1" t="s">
        <v>23</v>
      </c>
      <c r="I87" s="18">
        <v>42657.156053240738</v>
      </c>
      <c r="J87" s="1" t="s">
        <v>247</v>
      </c>
      <c r="K87" s="1" t="s">
        <v>18</v>
      </c>
      <c r="L87" s="1" t="s">
        <v>19</v>
      </c>
      <c r="Q87" s="21"/>
    </row>
    <row r="88" spans="1:17" x14ac:dyDescent="0.15">
      <c r="A88" s="1">
        <v>655152</v>
      </c>
      <c r="B88" s="1">
        <v>0</v>
      </c>
      <c r="C88" s="1" t="s">
        <v>12</v>
      </c>
      <c r="D88" s="1" t="s">
        <v>3714</v>
      </c>
      <c r="E88" s="1" t="s">
        <v>3866</v>
      </c>
      <c r="F88" s="1" t="s">
        <v>3867</v>
      </c>
      <c r="G88" s="1" t="s">
        <v>16</v>
      </c>
      <c r="I88" s="18">
        <v>42655.581967592596</v>
      </c>
      <c r="J88" s="1" t="s">
        <v>17</v>
      </c>
      <c r="K88" s="1" t="s">
        <v>18</v>
      </c>
      <c r="L88" s="1" t="s">
        <v>19</v>
      </c>
      <c r="Q88" s="21"/>
    </row>
    <row r="89" spans="1:17" x14ac:dyDescent="0.15">
      <c r="A89" s="1">
        <v>654183</v>
      </c>
      <c r="B89" s="1">
        <v>0</v>
      </c>
      <c r="C89" s="1" t="s">
        <v>12</v>
      </c>
      <c r="D89" s="1" t="s">
        <v>27</v>
      </c>
      <c r="E89" s="1" t="s">
        <v>377</v>
      </c>
      <c r="F89" s="1" t="s">
        <v>378</v>
      </c>
      <c r="G89" s="1" t="s">
        <v>23</v>
      </c>
      <c r="I89" s="18">
        <v>42651.317569444444</v>
      </c>
      <c r="J89" s="1" t="s">
        <v>379</v>
      </c>
      <c r="K89" s="1" t="s">
        <v>18</v>
      </c>
      <c r="L89" s="1" t="s">
        <v>19</v>
      </c>
      <c r="Q89" s="21"/>
    </row>
    <row r="90" spans="1:17" x14ac:dyDescent="0.15">
      <c r="A90" s="1">
        <v>653749</v>
      </c>
      <c r="B90" s="1">
        <v>0</v>
      </c>
      <c r="C90" s="1" t="s">
        <v>12</v>
      </c>
      <c r="D90" s="1" t="s">
        <v>27</v>
      </c>
      <c r="E90" s="1" t="s">
        <v>3120</v>
      </c>
      <c r="F90" s="1" t="s">
        <v>3121</v>
      </c>
      <c r="G90" s="1" t="s">
        <v>23</v>
      </c>
      <c r="I90" s="18">
        <v>42650.052754629629</v>
      </c>
      <c r="J90" s="1" t="s">
        <v>311</v>
      </c>
      <c r="K90" s="1" t="s">
        <v>18</v>
      </c>
      <c r="L90" s="1" t="s">
        <v>19</v>
      </c>
      <c r="Q90" s="21"/>
    </row>
    <row r="91" spans="1:17" x14ac:dyDescent="0.15">
      <c r="A91" s="1">
        <v>653555</v>
      </c>
      <c r="B91" s="1">
        <v>0</v>
      </c>
      <c r="C91" s="1" t="s">
        <v>34</v>
      </c>
      <c r="D91" s="1" t="s">
        <v>27</v>
      </c>
      <c r="E91" s="1" t="s">
        <v>2107</v>
      </c>
      <c r="F91" s="1" t="s">
        <v>2108</v>
      </c>
      <c r="G91" s="1" t="s">
        <v>23</v>
      </c>
      <c r="I91" s="18">
        <v>42649.621261574073</v>
      </c>
      <c r="J91" s="1" t="s">
        <v>2109</v>
      </c>
      <c r="K91" s="1" t="s">
        <v>18</v>
      </c>
      <c r="L91" s="1" t="s">
        <v>19</v>
      </c>
      <c r="Q91" s="21"/>
    </row>
    <row r="92" spans="1:17" x14ac:dyDescent="0.15">
      <c r="A92" s="1">
        <v>653134</v>
      </c>
      <c r="B92" s="1">
        <v>0</v>
      </c>
      <c r="C92" s="1" t="s">
        <v>576</v>
      </c>
      <c r="D92" s="1" t="s">
        <v>27</v>
      </c>
      <c r="E92" s="1" t="s">
        <v>2919</v>
      </c>
      <c r="F92" s="1" t="s">
        <v>2920</v>
      </c>
      <c r="G92" s="1" t="s">
        <v>23</v>
      </c>
      <c r="I92" s="18">
        <v>42648.667986111112</v>
      </c>
      <c r="J92" s="1" t="s">
        <v>98</v>
      </c>
      <c r="K92" s="1" t="s">
        <v>18</v>
      </c>
      <c r="L92" s="1" t="s">
        <v>19</v>
      </c>
      <c r="Q92" s="21"/>
    </row>
    <row r="93" spans="1:17" x14ac:dyDescent="0.15">
      <c r="A93" s="1">
        <v>652548</v>
      </c>
      <c r="B93" s="1">
        <v>0</v>
      </c>
      <c r="C93" s="1" t="s">
        <v>101</v>
      </c>
      <c r="D93" s="1" t="s">
        <v>3714</v>
      </c>
      <c r="E93" s="1" t="s">
        <v>3806</v>
      </c>
      <c r="F93" s="1" t="s">
        <v>3807</v>
      </c>
      <c r="G93" s="1" t="s">
        <v>23</v>
      </c>
      <c r="I93" s="18">
        <v>42647.097094907411</v>
      </c>
      <c r="J93" s="1" t="s">
        <v>98</v>
      </c>
      <c r="K93" s="1" t="s">
        <v>18</v>
      </c>
      <c r="L93" s="1" t="s">
        <v>19</v>
      </c>
      <c r="Q93" s="21"/>
    </row>
    <row r="94" spans="1:17" x14ac:dyDescent="0.15">
      <c r="A94" s="1">
        <v>652410</v>
      </c>
      <c r="B94" s="1">
        <v>0</v>
      </c>
      <c r="C94" s="1" t="s">
        <v>12</v>
      </c>
      <c r="D94" s="1" t="s">
        <v>3911</v>
      </c>
      <c r="E94" s="1" t="s">
        <v>4023</v>
      </c>
      <c r="F94" s="1" t="s">
        <v>3931</v>
      </c>
      <c r="G94" s="1" t="s">
        <v>16</v>
      </c>
      <c r="I94" s="18">
        <v>42646.857905092591</v>
      </c>
      <c r="J94" s="1" t="s">
        <v>17</v>
      </c>
      <c r="K94" s="1" t="s">
        <v>18</v>
      </c>
      <c r="L94" s="1" t="s">
        <v>19</v>
      </c>
      <c r="Q94" s="21"/>
    </row>
    <row r="95" spans="1:17" x14ac:dyDescent="0.15">
      <c r="A95" s="1">
        <v>651331</v>
      </c>
      <c r="B95" s="1">
        <v>0</v>
      </c>
      <c r="D95" s="1" t="s">
        <v>3911</v>
      </c>
      <c r="E95" s="1" t="s">
        <v>3959</v>
      </c>
      <c r="F95" s="1" t="s">
        <v>3960</v>
      </c>
      <c r="G95" s="1" t="s">
        <v>16</v>
      </c>
      <c r="I95" s="18">
        <v>42642.353298611109</v>
      </c>
      <c r="J95" s="1" t="s">
        <v>17</v>
      </c>
      <c r="K95" s="1" t="s">
        <v>18</v>
      </c>
      <c r="L95" s="1" t="s">
        <v>19</v>
      </c>
      <c r="Q95" s="21"/>
    </row>
    <row r="96" spans="1:17" x14ac:dyDescent="0.15">
      <c r="A96" s="1">
        <v>650084</v>
      </c>
      <c r="B96" s="1">
        <v>0</v>
      </c>
      <c r="C96" s="1" t="s">
        <v>12</v>
      </c>
      <c r="D96" s="1" t="s">
        <v>3911</v>
      </c>
      <c r="E96" s="1" t="s">
        <v>4054</v>
      </c>
      <c r="F96" s="1" t="s">
        <v>4055</v>
      </c>
      <c r="G96" s="1" t="s">
        <v>23</v>
      </c>
      <c r="I96" s="18">
        <v>42638.384629629632</v>
      </c>
      <c r="J96" s="1" t="s">
        <v>4056</v>
      </c>
      <c r="K96" s="1" t="s">
        <v>18</v>
      </c>
      <c r="L96" s="1" t="s">
        <v>19</v>
      </c>
      <c r="Q96" s="21"/>
    </row>
    <row r="97" spans="1:17" x14ac:dyDescent="0.15">
      <c r="A97" s="1">
        <v>649659</v>
      </c>
      <c r="B97" s="1">
        <v>0</v>
      </c>
      <c r="C97" s="1" t="s">
        <v>12</v>
      </c>
      <c r="D97" s="1" t="s">
        <v>27</v>
      </c>
      <c r="E97" s="1" t="s">
        <v>1873</v>
      </c>
      <c r="F97" s="1" t="s">
        <v>557</v>
      </c>
      <c r="G97" s="1" t="s">
        <v>558</v>
      </c>
      <c r="H97" s="1"/>
      <c r="I97" s="18">
        <v>42636.543495370373</v>
      </c>
      <c r="J97" s="1" t="s">
        <v>76</v>
      </c>
      <c r="K97" s="1" t="s">
        <v>18</v>
      </c>
      <c r="L97" s="1" t="s">
        <v>19</v>
      </c>
      <c r="Q97" s="21"/>
    </row>
    <row r="98" spans="1:17" x14ac:dyDescent="0.15">
      <c r="A98" s="1">
        <v>649040</v>
      </c>
      <c r="B98" s="1">
        <v>0</v>
      </c>
      <c r="C98" s="1" t="s">
        <v>3700</v>
      </c>
      <c r="D98" s="1" t="s">
        <v>27</v>
      </c>
      <c r="E98" s="1" t="s">
        <v>3701</v>
      </c>
      <c r="F98" s="1" t="s">
        <v>3702</v>
      </c>
      <c r="G98" s="1" t="s">
        <v>1056</v>
      </c>
      <c r="I98" s="18">
        <v>42634.740706018521</v>
      </c>
      <c r="J98" s="1" t="s">
        <v>1057</v>
      </c>
      <c r="K98" s="1" t="s">
        <v>3586</v>
      </c>
      <c r="L98" s="1" t="s">
        <v>19</v>
      </c>
      <c r="Q98" s="21"/>
    </row>
    <row r="99" spans="1:17" x14ac:dyDescent="0.15">
      <c r="A99" s="1">
        <v>649039</v>
      </c>
      <c r="B99" s="1">
        <v>0</v>
      </c>
      <c r="C99" s="1" t="s">
        <v>1053</v>
      </c>
      <c r="D99" s="1" t="s">
        <v>27</v>
      </c>
      <c r="E99" s="1" t="s">
        <v>1054</v>
      </c>
      <c r="F99" s="1" t="s">
        <v>1055</v>
      </c>
      <c r="G99" s="1" t="s">
        <v>1056</v>
      </c>
      <c r="I99" s="18">
        <v>42634.740613425929</v>
      </c>
      <c r="J99" s="1" t="s">
        <v>1057</v>
      </c>
      <c r="K99" s="1" t="s">
        <v>18</v>
      </c>
      <c r="L99" s="1" t="s">
        <v>19</v>
      </c>
      <c r="Q99" s="21"/>
    </row>
    <row r="100" spans="1:17" x14ac:dyDescent="0.15">
      <c r="A100" s="1">
        <v>647926</v>
      </c>
      <c r="B100" s="1">
        <v>0</v>
      </c>
      <c r="C100" s="1" t="s">
        <v>3929</v>
      </c>
      <c r="D100" s="1" t="s">
        <v>3911</v>
      </c>
      <c r="E100" s="1" t="s">
        <v>3930</v>
      </c>
      <c r="F100" s="1" t="s">
        <v>3931</v>
      </c>
      <c r="G100" s="1" t="s">
        <v>16</v>
      </c>
      <c r="I100" s="18">
        <v>42630.497129629628</v>
      </c>
      <c r="J100" s="1" t="s">
        <v>17</v>
      </c>
      <c r="K100" s="1" t="s">
        <v>18</v>
      </c>
      <c r="L100" s="1" t="s">
        <v>19</v>
      </c>
      <c r="Q100" s="21"/>
    </row>
    <row r="101" spans="1:17" x14ac:dyDescent="0.15">
      <c r="A101" s="1">
        <v>646178</v>
      </c>
      <c r="B101" s="1">
        <v>0</v>
      </c>
      <c r="C101" s="1" t="s">
        <v>268</v>
      </c>
      <c r="D101" s="1" t="s">
        <v>3714</v>
      </c>
      <c r="E101" s="1" t="s">
        <v>2674</v>
      </c>
      <c r="F101" s="1" t="s">
        <v>3766</v>
      </c>
      <c r="G101" s="1" t="s">
        <v>16</v>
      </c>
      <c r="I101" s="18">
        <v>42625.971666666665</v>
      </c>
      <c r="J101" s="1" t="s">
        <v>17</v>
      </c>
      <c r="K101" s="1" t="s">
        <v>18</v>
      </c>
      <c r="L101" s="1" t="s">
        <v>19</v>
      </c>
      <c r="Q101" s="21"/>
    </row>
    <row r="102" spans="1:17" x14ac:dyDescent="0.15">
      <c r="A102" s="1">
        <v>645028</v>
      </c>
      <c r="B102" s="1">
        <v>0</v>
      </c>
      <c r="C102" s="1" t="s">
        <v>305</v>
      </c>
      <c r="D102" s="1" t="s">
        <v>27</v>
      </c>
      <c r="E102" s="1" t="s">
        <v>972</v>
      </c>
      <c r="F102" s="1" t="s">
        <v>973</v>
      </c>
      <c r="G102" s="1" t="s">
        <v>23</v>
      </c>
      <c r="I102" s="18">
        <v>42621.297037037039</v>
      </c>
      <c r="J102" s="1" t="s">
        <v>974</v>
      </c>
      <c r="K102" s="1" t="s">
        <v>18</v>
      </c>
      <c r="L102" s="1" t="s">
        <v>19</v>
      </c>
      <c r="Q102" s="21"/>
    </row>
    <row r="103" spans="1:17" x14ac:dyDescent="0.15">
      <c r="A103" s="1">
        <v>643948</v>
      </c>
      <c r="B103" s="1">
        <v>0</v>
      </c>
      <c r="C103" s="1" t="s">
        <v>50</v>
      </c>
      <c r="D103" s="1" t="s">
        <v>27</v>
      </c>
      <c r="E103" s="1" t="s">
        <v>1149</v>
      </c>
      <c r="F103" s="1" t="s">
        <v>1150</v>
      </c>
      <c r="G103" s="1" t="s">
        <v>23</v>
      </c>
      <c r="I103" s="18">
        <v>42616.908321759256</v>
      </c>
      <c r="J103" s="1" t="s">
        <v>1151</v>
      </c>
      <c r="K103" s="1" t="s">
        <v>18</v>
      </c>
      <c r="L103" s="1" t="s">
        <v>19</v>
      </c>
      <c r="Q103" s="21"/>
    </row>
    <row r="104" spans="1:17" x14ac:dyDescent="0.15">
      <c r="A104" s="1">
        <v>643939</v>
      </c>
      <c r="B104" s="1">
        <v>0</v>
      </c>
      <c r="C104" s="1" t="s">
        <v>984</v>
      </c>
      <c r="D104" s="1" t="s">
        <v>3714</v>
      </c>
      <c r="E104" s="1" t="s">
        <v>3831</v>
      </c>
      <c r="F104" s="1" t="s">
        <v>3832</v>
      </c>
      <c r="G104" s="1" t="s">
        <v>16</v>
      </c>
      <c r="I104" s="18">
        <v>42616.799386574072</v>
      </c>
      <c r="J104" s="1" t="s">
        <v>17</v>
      </c>
      <c r="K104" s="1" t="s">
        <v>18</v>
      </c>
      <c r="L104" s="1" t="s">
        <v>19</v>
      </c>
      <c r="Q104" s="21"/>
    </row>
    <row r="105" spans="1:17" x14ac:dyDescent="0.15">
      <c r="A105" s="1">
        <v>643665</v>
      </c>
      <c r="B105" s="1">
        <v>0</v>
      </c>
      <c r="C105" s="1" t="s">
        <v>3503</v>
      </c>
      <c r="D105" s="1" t="s">
        <v>27</v>
      </c>
      <c r="E105" s="1" t="s">
        <v>3504</v>
      </c>
      <c r="F105" s="1" t="s">
        <v>3505</v>
      </c>
      <c r="G105" s="1" t="s">
        <v>16</v>
      </c>
      <c r="I105" s="18">
        <v>42615.592766203707</v>
      </c>
      <c r="J105" s="1" t="s">
        <v>17</v>
      </c>
      <c r="K105" s="1" t="s">
        <v>18</v>
      </c>
      <c r="L105" s="1" t="s">
        <v>19</v>
      </c>
      <c r="Q105" s="21"/>
    </row>
    <row r="106" spans="1:17" x14ac:dyDescent="0.15">
      <c r="A106" s="1">
        <v>643629</v>
      </c>
      <c r="B106" s="1">
        <v>0</v>
      </c>
      <c r="C106" s="1" t="s">
        <v>1742</v>
      </c>
      <c r="D106" s="1" t="s">
        <v>3911</v>
      </c>
      <c r="E106" s="1" t="s">
        <v>3946</v>
      </c>
      <c r="F106" s="1" t="s">
        <v>3947</v>
      </c>
      <c r="G106" s="1" t="s">
        <v>1056</v>
      </c>
      <c r="I106" s="18">
        <v>42615.458402777775</v>
      </c>
      <c r="J106" s="1" t="s">
        <v>1301</v>
      </c>
      <c r="K106" s="1" t="s">
        <v>18</v>
      </c>
      <c r="L106" s="1" t="s">
        <v>19</v>
      </c>
      <c r="Q106" s="21"/>
    </row>
    <row r="107" spans="1:17" x14ac:dyDescent="0.15">
      <c r="A107" s="1">
        <v>640571</v>
      </c>
      <c r="B107" s="1">
        <v>0</v>
      </c>
      <c r="C107" s="1" t="s">
        <v>2058</v>
      </c>
      <c r="D107" s="1" t="s">
        <v>27</v>
      </c>
      <c r="E107" s="1" t="s">
        <v>2059</v>
      </c>
      <c r="F107" s="1" t="s">
        <v>2060</v>
      </c>
      <c r="G107" s="1" t="s">
        <v>16</v>
      </c>
      <c r="I107" s="18">
        <v>42606.476030092592</v>
      </c>
      <c r="J107" s="1" t="s">
        <v>17</v>
      </c>
      <c r="K107" s="1" t="s">
        <v>18</v>
      </c>
      <c r="L107" s="1" t="s">
        <v>19</v>
      </c>
      <c r="Q107" s="21"/>
    </row>
    <row r="108" spans="1:17" x14ac:dyDescent="0.15">
      <c r="A108" s="1">
        <v>640191</v>
      </c>
      <c r="B108" s="1">
        <v>0</v>
      </c>
      <c r="C108" s="1" t="s">
        <v>137</v>
      </c>
      <c r="D108" s="1" t="s">
        <v>27</v>
      </c>
      <c r="E108" s="1" t="s">
        <v>2639</v>
      </c>
      <c r="F108" s="1" t="s">
        <v>2640</v>
      </c>
      <c r="G108" s="1" t="s">
        <v>23</v>
      </c>
      <c r="I108" s="18">
        <v>42605.520578703705</v>
      </c>
      <c r="J108" s="1" t="s">
        <v>205</v>
      </c>
      <c r="K108" s="1" t="s">
        <v>18</v>
      </c>
      <c r="L108" s="1" t="s">
        <v>19</v>
      </c>
      <c r="Q108" s="21"/>
    </row>
    <row r="109" spans="1:17" x14ac:dyDescent="0.15">
      <c r="A109" s="1">
        <v>640177</v>
      </c>
      <c r="B109" s="1">
        <v>0</v>
      </c>
      <c r="C109" s="1" t="s">
        <v>137</v>
      </c>
      <c r="D109" s="1" t="s">
        <v>27</v>
      </c>
      <c r="E109" s="1" t="s">
        <v>2113</v>
      </c>
      <c r="F109" s="1" t="s">
        <v>204</v>
      </c>
      <c r="G109" s="1" t="s">
        <v>23</v>
      </c>
      <c r="I109" s="18">
        <v>42605.495416666665</v>
      </c>
      <c r="J109" s="1" t="s">
        <v>205</v>
      </c>
      <c r="K109" s="1" t="s">
        <v>18</v>
      </c>
      <c r="L109" s="1" t="s">
        <v>19</v>
      </c>
      <c r="Q109" s="21"/>
    </row>
    <row r="110" spans="1:17" x14ac:dyDescent="0.15">
      <c r="A110" s="1">
        <v>639702</v>
      </c>
      <c r="B110" s="1">
        <v>0</v>
      </c>
      <c r="C110" s="1" t="s">
        <v>3412</v>
      </c>
      <c r="D110" s="1" t="s">
        <v>27</v>
      </c>
      <c r="E110" s="1" t="s">
        <v>3413</v>
      </c>
      <c r="F110" s="1" t="s">
        <v>3414</v>
      </c>
      <c r="G110" s="1" t="s">
        <v>353</v>
      </c>
      <c r="I110" s="18">
        <v>42604.032222222224</v>
      </c>
      <c r="J110" s="1" t="s">
        <v>3415</v>
      </c>
      <c r="K110" s="1" t="s">
        <v>18</v>
      </c>
      <c r="L110" s="1" t="s">
        <v>19</v>
      </c>
      <c r="Q110" s="21"/>
    </row>
    <row r="111" spans="1:17" x14ac:dyDescent="0.15">
      <c r="A111" s="1">
        <v>639451</v>
      </c>
      <c r="B111" s="1">
        <v>0</v>
      </c>
      <c r="C111" s="1" t="s">
        <v>12</v>
      </c>
      <c r="D111" s="1" t="s">
        <v>13</v>
      </c>
      <c r="E111" s="1" t="s">
        <v>14</v>
      </c>
      <c r="F111" s="1" t="s">
        <v>15</v>
      </c>
      <c r="G111" s="1" t="s">
        <v>16</v>
      </c>
      <c r="I111" s="18">
        <v>42601.880694444444</v>
      </c>
      <c r="J111" s="1" t="s">
        <v>17</v>
      </c>
      <c r="K111" s="1" t="s">
        <v>18</v>
      </c>
      <c r="L111" s="1" t="s">
        <v>19</v>
      </c>
      <c r="Q111" s="21"/>
    </row>
    <row r="112" spans="1:17" x14ac:dyDescent="0.15">
      <c r="A112" s="1">
        <v>638615</v>
      </c>
      <c r="B112" s="1">
        <v>0</v>
      </c>
      <c r="C112" s="1" t="s">
        <v>629</v>
      </c>
      <c r="D112" s="1" t="s">
        <v>27</v>
      </c>
      <c r="E112" s="1" t="s">
        <v>1879</v>
      </c>
      <c r="F112" s="1" t="s">
        <v>1880</v>
      </c>
      <c r="G112" s="1" t="s">
        <v>23</v>
      </c>
      <c r="I112" s="18">
        <v>42599.655578703707</v>
      </c>
      <c r="J112" s="1" t="s">
        <v>632</v>
      </c>
      <c r="K112" s="1" t="s">
        <v>18</v>
      </c>
      <c r="L112" s="1" t="s">
        <v>19</v>
      </c>
      <c r="Q112" s="21"/>
    </row>
    <row r="113" spans="1:19" x14ac:dyDescent="0.15">
      <c r="A113" s="1">
        <v>638166</v>
      </c>
      <c r="B113" s="1">
        <v>0</v>
      </c>
      <c r="C113" s="1" t="s">
        <v>3285</v>
      </c>
      <c r="D113" s="1" t="s">
        <v>27</v>
      </c>
      <c r="E113" s="1" t="s">
        <v>3286</v>
      </c>
      <c r="F113" s="1" t="s">
        <v>3287</v>
      </c>
      <c r="G113" s="1" t="s">
        <v>110</v>
      </c>
      <c r="H113" s="1">
        <v>639688</v>
      </c>
      <c r="I113" s="18">
        <v>42598.43204861111</v>
      </c>
      <c r="J113" s="1" t="s">
        <v>17</v>
      </c>
      <c r="K113" s="1" t="s">
        <v>18</v>
      </c>
      <c r="L113" s="1" t="s">
        <v>19</v>
      </c>
      <c r="Q113" s="21"/>
    </row>
    <row r="114" spans="1:19" x14ac:dyDescent="0.15">
      <c r="A114" s="1">
        <v>637320</v>
      </c>
      <c r="B114" s="1">
        <v>0</v>
      </c>
      <c r="C114" s="1" t="s">
        <v>50</v>
      </c>
      <c r="D114" s="1" t="s">
        <v>27</v>
      </c>
      <c r="E114" s="1" t="s">
        <v>1522</v>
      </c>
      <c r="F114" s="1" t="s">
        <v>1523</v>
      </c>
      <c r="G114" s="1" t="s">
        <v>540</v>
      </c>
      <c r="I114" s="18">
        <v>42594.704618055555</v>
      </c>
      <c r="J114" s="1" t="s">
        <v>454</v>
      </c>
      <c r="K114" s="1" t="s">
        <v>18</v>
      </c>
      <c r="L114" s="1" t="s">
        <v>19</v>
      </c>
      <c r="Q114" s="21"/>
    </row>
    <row r="115" spans="1:19" x14ac:dyDescent="0.15">
      <c r="A115" s="1">
        <v>634394</v>
      </c>
      <c r="B115" s="1">
        <v>0</v>
      </c>
      <c r="C115" s="1" t="s">
        <v>12</v>
      </c>
      <c r="D115" s="1" t="s">
        <v>27</v>
      </c>
      <c r="E115" s="1" t="s">
        <v>236</v>
      </c>
      <c r="F115" s="1" t="s">
        <v>237</v>
      </c>
      <c r="G115" s="1" t="s">
        <v>23</v>
      </c>
      <c r="I115" s="18">
        <v>42586.752824074072</v>
      </c>
      <c r="J115" s="1" t="s">
        <v>238</v>
      </c>
      <c r="K115" s="1" t="s">
        <v>18</v>
      </c>
      <c r="L115" s="1" t="s">
        <v>19</v>
      </c>
      <c r="Q115" s="21"/>
    </row>
    <row r="116" spans="1:19" x14ac:dyDescent="0.15">
      <c r="A116" s="1">
        <v>632849</v>
      </c>
      <c r="B116" s="1">
        <v>0</v>
      </c>
      <c r="C116" s="1" t="s">
        <v>65</v>
      </c>
      <c r="D116" s="1" t="s">
        <v>3714</v>
      </c>
      <c r="E116" s="1" t="s">
        <v>2111</v>
      </c>
      <c r="F116" s="1" t="s">
        <v>3813</v>
      </c>
      <c r="G116" s="1" t="s">
        <v>540</v>
      </c>
      <c r="I116" s="18">
        <v>42580.886203703703</v>
      </c>
      <c r="J116" s="1" t="s">
        <v>17</v>
      </c>
      <c r="K116" s="1" t="s">
        <v>18</v>
      </c>
      <c r="L116" s="1" t="s">
        <v>19</v>
      </c>
      <c r="Q116" s="21"/>
    </row>
    <row r="117" spans="1:19" x14ac:dyDescent="0.15">
      <c r="A117" s="1">
        <v>632846</v>
      </c>
      <c r="B117" s="1">
        <v>0</v>
      </c>
      <c r="C117" s="1" t="s">
        <v>137</v>
      </c>
      <c r="D117" s="1" t="s">
        <v>3911</v>
      </c>
      <c r="E117" s="1" t="s">
        <v>4024</v>
      </c>
      <c r="F117" s="1" t="s">
        <v>4025</v>
      </c>
      <c r="G117" s="1" t="s">
        <v>16</v>
      </c>
      <c r="I117" s="18">
        <v>42580.883113425924</v>
      </c>
      <c r="J117" s="1" t="s">
        <v>17</v>
      </c>
      <c r="K117" s="1" t="s">
        <v>18</v>
      </c>
      <c r="L117" s="1" t="s">
        <v>19</v>
      </c>
      <c r="Q117" s="21"/>
    </row>
    <row r="118" spans="1:19" x14ac:dyDescent="0.15">
      <c r="A118" s="1">
        <v>632709</v>
      </c>
      <c r="B118" s="1">
        <v>0</v>
      </c>
      <c r="C118" s="1" t="s">
        <v>12</v>
      </c>
      <c r="D118" s="1" t="s">
        <v>27</v>
      </c>
      <c r="E118" s="1" t="s">
        <v>1670</v>
      </c>
      <c r="F118" s="1" t="s">
        <v>1671</v>
      </c>
      <c r="G118" s="1" t="s">
        <v>23</v>
      </c>
      <c r="I118" s="18">
        <v>42580.539456018516</v>
      </c>
      <c r="J118" s="1" t="s">
        <v>76</v>
      </c>
      <c r="K118" s="1" t="s">
        <v>18</v>
      </c>
      <c r="L118" s="1" t="s">
        <v>19</v>
      </c>
      <c r="Q118" s="21"/>
    </row>
    <row r="119" spans="1:19" x14ac:dyDescent="0.15">
      <c r="A119" s="1">
        <v>631052</v>
      </c>
      <c r="B119" s="1">
        <v>0</v>
      </c>
      <c r="C119" s="1" t="s">
        <v>409</v>
      </c>
      <c r="D119" s="1" t="s">
        <v>27</v>
      </c>
      <c r="E119" s="1" t="s">
        <v>525</v>
      </c>
      <c r="F119" s="1" t="s">
        <v>526</v>
      </c>
      <c r="G119" s="1" t="s">
        <v>16</v>
      </c>
      <c r="I119" s="18">
        <v>42576.639594907407</v>
      </c>
      <c r="J119" s="1" t="s">
        <v>17</v>
      </c>
      <c r="K119" s="1" t="s">
        <v>18</v>
      </c>
      <c r="L119" s="1" t="s">
        <v>19</v>
      </c>
      <c r="Q119" s="21"/>
    </row>
    <row r="120" spans="1:19" x14ac:dyDescent="0.15">
      <c r="A120" s="1">
        <v>630870</v>
      </c>
      <c r="B120" s="1">
        <v>0</v>
      </c>
      <c r="C120" s="1" t="s">
        <v>2384</v>
      </c>
      <c r="D120" s="1" t="s">
        <v>27</v>
      </c>
      <c r="E120" s="1" t="s">
        <v>2385</v>
      </c>
      <c r="F120" s="1" t="s">
        <v>2386</v>
      </c>
      <c r="G120" s="1" t="s">
        <v>23</v>
      </c>
      <c r="I120" s="18">
        <v>42575.27553240741</v>
      </c>
      <c r="J120" s="1" t="s">
        <v>247</v>
      </c>
      <c r="K120" s="1" t="s">
        <v>18</v>
      </c>
      <c r="L120" s="1" t="s">
        <v>19</v>
      </c>
      <c r="Q120" s="21"/>
    </row>
    <row r="121" spans="1:19" x14ac:dyDescent="0.15">
      <c r="A121" s="1">
        <v>630654</v>
      </c>
      <c r="B121" s="1">
        <v>0</v>
      </c>
      <c r="C121" s="1" t="s">
        <v>12</v>
      </c>
      <c r="D121" s="1" t="s">
        <v>27</v>
      </c>
      <c r="E121" s="1" t="s">
        <v>2809</v>
      </c>
      <c r="F121" s="1" t="s">
        <v>2810</v>
      </c>
      <c r="G121" s="1" t="s">
        <v>23</v>
      </c>
      <c r="I121" s="18">
        <v>42573.685474537036</v>
      </c>
      <c r="J121" s="1" t="s">
        <v>76</v>
      </c>
      <c r="K121" s="1" t="s">
        <v>18</v>
      </c>
      <c r="L121" s="1" t="s">
        <v>19</v>
      </c>
      <c r="Q121" s="21"/>
    </row>
    <row r="122" spans="1:19" x14ac:dyDescent="0.15">
      <c r="A122" s="1">
        <v>630547</v>
      </c>
      <c r="B122" s="1">
        <v>0</v>
      </c>
      <c r="C122" s="1" t="s">
        <v>137</v>
      </c>
      <c r="D122" s="1" t="s">
        <v>27</v>
      </c>
      <c r="E122" s="1" t="s">
        <v>556</v>
      </c>
      <c r="F122" s="1" t="s">
        <v>557</v>
      </c>
      <c r="G122" s="1" t="s">
        <v>558</v>
      </c>
      <c r="H122" s="1"/>
      <c r="I122" s="18">
        <v>42573.355370370373</v>
      </c>
      <c r="J122" s="1" t="s">
        <v>205</v>
      </c>
      <c r="K122" s="1" t="s">
        <v>18</v>
      </c>
      <c r="L122" s="1" t="s">
        <v>19</v>
      </c>
      <c r="Q122" s="21"/>
    </row>
    <row r="123" spans="1:19" x14ac:dyDescent="0.15">
      <c r="A123" s="1">
        <v>630544</v>
      </c>
      <c r="B123" s="1">
        <v>0</v>
      </c>
      <c r="C123" s="1" t="s">
        <v>137</v>
      </c>
      <c r="D123" s="1" t="s">
        <v>27</v>
      </c>
      <c r="E123" s="1" t="s">
        <v>559</v>
      </c>
      <c r="F123" s="1" t="s">
        <v>557</v>
      </c>
      <c r="G123" s="1" t="s">
        <v>558</v>
      </c>
      <c r="H123" s="1"/>
      <c r="I123" s="18">
        <v>42573.346921296295</v>
      </c>
      <c r="J123" s="1" t="s">
        <v>205</v>
      </c>
      <c r="K123" s="1" t="s">
        <v>18</v>
      </c>
      <c r="L123" s="1" t="s">
        <v>19</v>
      </c>
      <c r="Q123" s="21"/>
    </row>
    <row r="124" spans="1:19" x14ac:dyDescent="0.15">
      <c r="A124" s="1">
        <v>629919</v>
      </c>
      <c r="B124" s="1">
        <v>0</v>
      </c>
      <c r="C124" s="1" t="s">
        <v>12</v>
      </c>
      <c r="D124" s="1" t="s">
        <v>27</v>
      </c>
      <c r="E124" s="1" t="s">
        <v>3567</v>
      </c>
      <c r="F124" s="1" t="s">
        <v>3568</v>
      </c>
      <c r="G124" s="1" t="s">
        <v>23</v>
      </c>
      <c r="I124" s="18">
        <v>42571.788888888892</v>
      </c>
      <c r="J124" s="1" t="s">
        <v>632</v>
      </c>
      <c r="K124" s="1" t="s">
        <v>18</v>
      </c>
      <c r="L124" s="1" t="s">
        <v>19</v>
      </c>
      <c r="Q124" s="21"/>
    </row>
    <row r="125" spans="1:19" x14ac:dyDescent="0.15">
      <c r="A125" s="1">
        <v>629668</v>
      </c>
      <c r="B125" s="1">
        <v>2</v>
      </c>
      <c r="C125" s="1" t="s">
        <v>670</v>
      </c>
      <c r="D125" s="1" t="s">
        <v>4082</v>
      </c>
      <c r="E125" s="1" t="s">
        <v>4123</v>
      </c>
      <c r="F125" s="1" t="s">
        <v>4124</v>
      </c>
      <c r="G125" s="1" t="s">
        <v>1577</v>
      </c>
      <c r="H125" s="1">
        <v>624214</v>
      </c>
      <c r="I125" s="22">
        <v>42570.949745370373</v>
      </c>
      <c r="J125" s="1" t="s">
        <v>98</v>
      </c>
      <c r="K125" s="1" t="s">
        <v>18</v>
      </c>
      <c r="L125" s="1" t="s">
        <v>19</v>
      </c>
      <c r="M125" s="1">
        <v>624214</v>
      </c>
      <c r="N125" s="14" t="s">
        <v>2317</v>
      </c>
      <c r="O125" s="22">
        <v>42550</v>
      </c>
      <c r="P125" s="1">
        <v>638465</v>
      </c>
      <c r="Q125" s="21">
        <f t="shared" si="1"/>
        <v>20.949745370373421</v>
      </c>
      <c r="R125" s="14" t="s">
        <v>4125</v>
      </c>
      <c r="S125" s="15" t="s">
        <v>4195</v>
      </c>
    </row>
    <row r="126" spans="1:19" x14ac:dyDescent="0.15">
      <c r="A126" s="1">
        <v>629131</v>
      </c>
      <c r="B126" s="1">
        <v>0</v>
      </c>
      <c r="C126" s="1" t="s">
        <v>3979</v>
      </c>
      <c r="D126" s="1" t="s">
        <v>3911</v>
      </c>
      <c r="E126" s="1" t="s">
        <v>3980</v>
      </c>
      <c r="F126" s="1" t="s">
        <v>3981</v>
      </c>
      <c r="G126" s="1" t="s">
        <v>1577</v>
      </c>
      <c r="I126" s="18">
        <v>42569.733449074076</v>
      </c>
      <c r="J126" s="1" t="s">
        <v>3982</v>
      </c>
      <c r="K126" s="1" t="s">
        <v>18</v>
      </c>
      <c r="L126" s="1" t="s">
        <v>19</v>
      </c>
      <c r="Q126" s="21"/>
    </row>
    <row r="127" spans="1:19" x14ac:dyDescent="0.15">
      <c r="A127" s="1">
        <v>628890</v>
      </c>
      <c r="B127" s="1">
        <v>0</v>
      </c>
      <c r="C127" s="1" t="s">
        <v>12</v>
      </c>
      <c r="D127" s="1" t="s">
        <v>27</v>
      </c>
      <c r="E127" s="1" t="s">
        <v>1366</v>
      </c>
      <c r="F127" s="1" t="s">
        <v>1367</v>
      </c>
      <c r="G127" s="1" t="s">
        <v>23</v>
      </c>
      <c r="I127" s="18">
        <v>42567.638159722221</v>
      </c>
      <c r="J127" s="1" t="s">
        <v>632</v>
      </c>
      <c r="K127" s="1" t="s">
        <v>18</v>
      </c>
      <c r="L127" s="1" t="s">
        <v>19</v>
      </c>
      <c r="Q127" s="21"/>
    </row>
    <row r="128" spans="1:19" x14ac:dyDescent="0.15">
      <c r="A128" s="1">
        <v>628304</v>
      </c>
      <c r="B128" s="1">
        <v>0</v>
      </c>
      <c r="C128" s="1" t="s">
        <v>12</v>
      </c>
      <c r="D128" s="1" t="s">
        <v>27</v>
      </c>
      <c r="E128" s="1" t="s">
        <v>1666</v>
      </c>
      <c r="F128" s="1" t="s">
        <v>1667</v>
      </c>
      <c r="G128" s="1" t="s">
        <v>23</v>
      </c>
      <c r="I128" s="18">
        <v>42565.721979166665</v>
      </c>
      <c r="J128" s="1" t="s">
        <v>632</v>
      </c>
      <c r="K128" s="1" t="s">
        <v>18</v>
      </c>
      <c r="L128" s="1" t="s">
        <v>19</v>
      </c>
      <c r="Q128" s="21"/>
    </row>
    <row r="129" spans="1:17" x14ac:dyDescent="0.15">
      <c r="A129" s="1">
        <v>627355</v>
      </c>
      <c r="B129" s="1">
        <v>0</v>
      </c>
      <c r="C129" s="1" t="s">
        <v>2246</v>
      </c>
      <c r="D129" s="1" t="s">
        <v>27</v>
      </c>
      <c r="E129" s="1" t="s">
        <v>2247</v>
      </c>
      <c r="F129" s="1" t="s">
        <v>2248</v>
      </c>
      <c r="G129" s="1" t="s">
        <v>540</v>
      </c>
      <c r="I129" s="18">
        <v>42563.241851851853</v>
      </c>
      <c r="J129" s="1" t="s">
        <v>17</v>
      </c>
      <c r="K129" s="1" t="s">
        <v>18</v>
      </c>
      <c r="L129" s="1" t="s">
        <v>19</v>
      </c>
      <c r="Q129" s="21"/>
    </row>
    <row r="130" spans="1:17" x14ac:dyDescent="0.15">
      <c r="A130" s="1">
        <v>626792</v>
      </c>
      <c r="B130" s="1">
        <v>0</v>
      </c>
      <c r="D130" s="1" t="s">
        <v>3714</v>
      </c>
      <c r="E130" s="1" t="s">
        <v>3744</v>
      </c>
      <c r="F130" s="1" t="s">
        <v>3745</v>
      </c>
      <c r="G130" s="1" t="s">
        <v>16</v>
      </c>
      <c r="I130" s="18">
        <v>42559.885891203703</v>
      </c>
      <c r="J130" s="1" t="s">
        <v>17</v>
      </c>
      <c r="K130" s="1" t="s">
        <v>18</v>
      </c>
      <c r="L130" s="1" t="s">
        <v>19</v>
      </c>
      <c r="Q130" s="21"/>
    </row>
    <row r="131" spans="1:17" x14ac:dyDescent="0.15">
      <c r="A131" s="1">
        <v>625575</v>
      </c>
      <c r="B131" s="1">
        <v>0</v>
      </c>
      <c r="C131" s="1" t="s">
        <v>2753</v>
      </c>
      <c r="D131" s="1" t="s">
        <v>27</v>
      </c>
      <c r="E131" s="1" t="s">
        <v>2754</v>
      </c>
      <c r="F131" s="1" t="s">
        <v>2755</v>
      </c>
      <c r="G131" s="1" t="s">
        <v>23</v>
      </c>
      <c r="I131" s="18">
        <v>42555.370243055557</v>
      </c>
      <c r="J131" s="1" t="s">
        <v>851</v>
      </c>
      <c r="K131" s="1" t="s">
        <v>18</v>
      </c>
      <c r="L131" s="1" t="s">
        <v>19</v>
      </c>
      <c r="Q131" s="21"/>
    </row>
    <row r="132" spans="1:17" x14ac:dyDescent="0.15">
      <c r="A132" s="1">
        <v>625541</v>
      </c>
      <c r="B132" s="1">
        <v>0</v>
      </c>
      <c r="C132" s="1" t="s">
        <v>12</v>
      </c>
      <c r="D132" s="1" t="s">
        <v>3714</v>
      </c>
      <c r="E132" s="1" t="s">
        <v>3791</v>
      </c>
      <c r="F132" s="1" t="s">
        <v>3792</v>
      </c>
      <c r="G132" s="1" t="s">
        <v>56</v>
      </c>
      <c r="H132" s="1"/>
      <c r="I132" s="18">
        <v>42555.278854166667</v>
      </c>
      <c r="J132" s="1" t="s">
        <v>632</v>
      </c>
      <c r="K132" s="1" t="s">
        <v>18</v>
      </c>
      <c r="L132" s="1" t="s">
        <v>19</v>
      </c>
      <c r="Q132" s="21"/>
    </row>
    <row r="133" spans="1:17" x14ac:dyDescent="0.15">
      <c r="A133" s="1">
        <v>625404</v>
      </c>
      <c r="B133" s="1">
        <v>0</v>
      </c>
      <c r="C133" s="1" t="s">
        <v>2854</v>
      </c>
      <c r="D133" s="1" t="s">
        <v>27</v>
      </c>
      <c r="E133" s="1" t="s">
        <v>3303</v>
      </c>
      <c r="F133" s="1" t="s">
        <v>3304</v>
      </c>
      <c r="G133" s="1" t="s">
        <v>558</v>
      </c>
      <c r="H133" s="1"/>
      <c r="I133" s="18">
        <v>42553.654363425929</v>
      </c>
      <c r="J133" s="1" t="s">
        <v>2151</v>
      </c>
      <c r="K133" s="1" t="s">
        <v>18</v>
      </c>
      <c r="L133" s="1" t="s">
        <v>19</v>
      </c>
      <c r="Q133" s="21"/>
    </row>
    <row r="134" spans="1:17" x14ac:dyDescent="0.15">
      <c r="A134" s="13">
        <v>624820</v>
      </c>
      <c r="B134" s="13">
        <v>0</v>
      </c>
      <c r="C134" s="13" t="s">
        <v>65</v>
      </c>
      <c r="D134" s="13" t="s">
        <v>4082</v>
      </c>
      <c r="E134" s="13" t="s">
        <v>4112</v>
      </c>
      <c r="F134" s="13" t="s">
        <v>4113</v>
      </c>
      <c r="G134" s="13" t="s">
        <v>159</v>
      </c>
      <c r="H134" s="13">
        <v>627455</v>
      </c>
      <c r="I134" s="23">
        <v>42551.6403587963</v>
      </c>
      <c r="J134" s="13" t="s">
        <v>17</v>
      </c>
      <c r="K134" s="13" t="s">
        <v>18</v>
      </c>
      <c r="L134" s="13" t="s">
        <v>19</v>
      </c>
      <c r="M134" s="13" t="s">
        <v>4085</v>
      </c>
      <c r="Q134" s="21"/>
    </row>
    <row r="135" spans="1:17" x14ac:dyDescent="0.15">
      <c r="A135" s="1">
        <v>624011</v>
      </c>
      <c r="B135" s="1">
        <v>0</v>
      </c>
      <c r="C135" s="1" t="s">
        <v>1824</v>
      </c>
      <c r="D135" s="1" t="s">
        <v>27</v>
      </c>
      <c r="E135" s="1" t="s">
        <v>3469</v>
      </c>
      <c r="F135" s="1" t="s">
        <v>3470</v>
      </c>
      <c r="G135" s="1" t="s">
        <v>56</v>
      </c>
      <c r="H135" s="1"/>
      <c r="I135" s="18">
        <v>42549.721631944441</v>
      </c>
      <c r="J135" s="1" t="s">
        <v>3255</v>
      </c>
      <c r="K135" s="1" t="s">
        <v>18</v>
      </c>
      <c r="L135" s="1" t="s">
        <v>19</v>
      </c>
      <c r="Q135" s="21"/>
    </row>
    <row r="136" spans="1:17" x14ac:dyDescent="0.15">
      <c r="A136" s="1">
        <v>623378</v>
      </c>
      <c r="B136" s="1">
        <v>0</v>
      </c>
      <c r="C136" s="1" t="s">
        <v>1824</v>
      </c>
      <c r="D136" s="1" t="s">
        <v>27</v>
      </c>
      <c r="E136" s="1" t="s">
        <v>3253</v>
      </c>
      <c r="F136" s="1" t="s">
        <v>3254</v>
      </c>
      <c r="G136" s="1" t="s">
        <v>56</v>
      </c>
      <c r="H136" s="1"/>
      <c r="I136" s="18">
        <v>42547.583993055552</v>
      </c>
      <c r="J136" s="1" t="s">
        <v>3255</v>
      </c>
      <c r="K136" s="1" t="s">
        <v>18</v>
      </c>
      <c r="L136" s="1" t="s">
        <v>19</v>
      </c>
      <c r="Q136" s="21"/>
    </row>
    <row r="137" spans="1:17" x14ac:dyDescent="0.15">
      <c r="A137" s="1">
        <v>623319</v>
      </c>
      <c r="B137" s="1">
        <v>0</v>
      </c>
      <c r="C137" s="1" t="s">
        <v>927</v>
      </c>
      <c r="D137" s="1" t="s">
        <v>27</v>
      </c>
      <c r="E137" s="1" t="s">
        <v>2892</v>
      </c>
      <c r="F137" s="1" t="s">
        <v>2893</v>
      </c>
      <c r="G137" s="1" t="s">
        <v>23</v>
      </c>
      <c r="I137" s="18">
        <v>42546.662303240744</v>
      </c>
      <c r="J137" s="1" t="s">
        <v>508</v>
      </c>
      <c r="K137" s="1" t="s">
        <v>18</v>
      </c>
      <c r="L137" s="1" t="s">
        <v>19</v>
      </c>
      <c r="Q137" s="21"/>
    </row>
    <row r="138" spans="1:17" x14ac:dyDescent="0.15">
      <c r="A138" s="1">
        <v>623185</v>
      </c>
      <c r="B138" s="1">
        <v>0</v>
      </c>
      <c r="D138" s="1" t="s">
        <v>3714</v>
      </c>
      <c r="E138" s="1" t="s">
        <v>3732</v>
      </c>
      <c r="F138" s="1" t="s">
        <v>3733</v>
      </c>
      <c r="G138" s="1" t="s">
        <v>16</v>
      </c>
      <c r="I138" s="18">
        <v>42545.87300925926</v>
      </c>
      <c r="J138" s="1" t="s">
        <v>17</v>
      </c>
      <c r="K138" s="1" t="s">
        <v>18</v>
      </c>
      <c r="L138" s="1" t="s">
        <v>19</v>
      </c>
      <c r="Q138" s="21"/>
    </row>
    <row r="139" spans="1:17" x14ac:dyDescent="0.15">
      <c r="A139" s="1">
        <v>622634</v>
      </c>
      <c r="B139" s="1">
        <v>0</v>
      </c>
      <c r="C139" s="1" t="s">
        <v>137</v>
      </c>
      <c r="D139" s="1" t="s">
        <v>27</v>
      </c>
      <c r="E139" s="1" t="s">
        <v>203</v>
      </c>
      <c r="F139" s="1" t="s">
        <v>204</v>
      </c>
      <c r="G139" s="1" t="s">
        <v>23</v>
      </c>
      <c r="I139" s="18">
        <v>42544.401759259257</v>
      </c>
      <c r="J139" s="1" t="s">
        <v>205</v>
      </c>
      <c r="K139" s="1" t="s">
        <v>18</v>
      </c>
      <c r="L139" s="1" t="s">
        <v>19</v>
      </c>
      <c r="Q139" s="21"/>
    </row>
    <row r="140" spans="1:17" x14ac:dyDescent="0.15">
      <c r="A140" s="1">
        <v>622522</v>
      </c>
      <c r="B140" s="1">
        <v>0</v>
      </c>
      <c r="D140" s="1" t="s">
        <v>27</v>
      </c>
      <c r="E140" s="1" t="s">
        <v>452</v>
      </c>
      <c r="F140" s="1" t="s">
        <v>453</v>
      </c>
      <c r="G140" s="1" t="s">
        <v>23</v>
      </c>
      <c r="I140" s="18">
        <v>42543.993703703702</v>
      </c>
      <c r="J140" s="1" t="s">
        <v>454</v>
      </c>
      <c r="K140" s="1" t="s">
        <v>18</v>
      </c>
      <c r="L140" s="1" t="s">
        <v>19</v>
      </c>
      <c r="Q140" s="21"/>
    </row>
    <row r="141" spans="1:17" x14ac:dyDescent="0.15">
      <c r="A141" s="1">
        <v>622271</v>
      </c>
      <c r="B141" s="1">
        <v>0</v>
      </c>
      <c r="C141" s="1" t="s">
        <v>137</v>
      </c>
      <c r="D141" s="1" t="s">
        <v>27</v>
      </c>
      <c r="E141" s="1" t="s">
        <v>1364</v>
      </c>
      <c r="F141" s="1" t="s">
        <v>204</v>
      </c>
      <c r="G141" s="1" t="s">
        <v>23</v>
      </c>
      <c r="I141" s="18">
        <v>42543.51290509259</v>
      </c>
      <c r="J141" s="1" t="s">
        <v>1365</v>
      </c>
      <c r="K141" s="1" t="s">
        <v>18</v>
      </c>
      <c r="L141" s="1" t="s">
        <v>19</v>
      </c>
      <c r="Q141" s="21"/>
    </row>
    <row r="142" spans="1:17" x14ac:dyDescent="0.15">
      <c r="A142" s="1">
        <v>622196</v>
      </c>
      <c r="B142" s="1">
        <v>0</v>
      </c>
      <c r="C142" s="1" t="s">
        <v>3961</v>
      </c>
      <c r="D142" s="1" t="s">
        <v>3911</v>
      </c>
      <c r="E142" s="1" t="s">
        <v>3962</v>
      </c>
      <c r="F142" s="1" t="s">
        <v>3963</v>
      </c>
      <c r="G142" s="1" t="s">
        <v>16</v>
      </c>
      <c r="I142" s="18">
        <v>42543.297997685186</v>
      </c>
      <c r="J142" s="1" t="s">
        <v>17</v>
      </c>
      <c r="K142" s="1" t="s">
        <v>18</v>
      </c>
      <c r="L142" s="1" t="s">
        <v>19</v>
      </c>
      <c r="Q142" s="21"/>
    </row>
    <row r="143" spans="1:17" x14ac:dyDescent="0.15">
      <c r="A143" s="1">
        <v>622183</v>
      </c>
      <c r="B143" s="1">
        <v>0</v>
      </c>
      <c r="D143" s="1" t="s">
        <v>3714</v>
      </c>
      <c r="E143" s="1" t="s">
        <v>3717</v>
      </c>
      <c r="F143" s="1" t="s">
        <v>3718</v>
      </c>
      <c r="G143" s="1" t="s">
        <v>1577</v>
      </c>
      <c r="I143" s="18">
        <v>42543.230868055558</v>
      </c>
      <c r="J143" s="1" t="s">
        <v>3719</v>
      </c>
      <c r="K143" s="1" t="s">
        <v>18</v>
      </c>
      <c r="L143" s="1" t="s">
        <v>19</v>
      </c>
      <c r="Q143" s="21"/>
    </row>
    <row r="144" spans="1:17" x14ac:dyDescent="0.15">
      <c r="A144" s="1">
        <v>621845</v>
      </c>
      <c r="B144" s="1">
        <v>0</v>
      </c>
      <c r="C144" s="1" t="s">
        <v>137</v>
      </c>
      <c r="D144" s="1" t="s">
        <v>3911</v>
      </c>
      <c r="E144" s="1" t="s">
        <v>3934</v>
      </c>
      <c r="F144" s="1" t="s">
        <v>3935</v>
      </c>
      <c r="G144" s="1" t="s">
        <v>16</v>
      </c>
      <c r="I144" s="18">
        <v>42542.402499999997</v>
      </c>
      <c r="J144" s="1" t="s">
        <v>17</v>
      </c>
      <c r="K144" s="1" t="s">
        <v>18</v>
      </c>
      <c r="L144" s="1" t="s">
        <v>19</v>
      </c>
      <c r="Q144" s="21"/>
    </row>
    <row r="145" spans="1:22" x14ac:dyDescent="0.15">
      <c r="A145" s="1">
        <v>621843</v>
      </c>
      <c r="B145" s="1">
        <v>0</v>
      </c>
      <c r="C145" s="1" t="s">
        <v>1313</v>
      </c>
      <c r="D145" s="1" t="s">
        <v>27</v>
      </c>
      <c r="E145" s="1" t="s">
        <v>1772</v>
      </c>
      <c r="F145" s="1" t="s">
        <v>1773</v>
      </c>
      <c r="G145" s="1" t="s">
        <v>540</v>
      </c>
      <c r="I145" s="18">
        <v>42542.3984375</v>
      </c>
      <c r="J145" s="1" t="s">
        <v>17</v>
      </c>
      <c r="K145" s="1" t="s">
        <v>18</v>
      </c>
      <c r="L145" s="1" t="s">
        <v>19</v>
      </c>
      <c r="Q145" s="21"/>
    </row>
    <row r="146" spans="1:22" x14ac:dyDescent="0.15">
      <c r="A146" s="1">
        <v>620966</v>
      </c>
      <c r="B146" s="1">
        <v>0</v>
      </c>
      <c r="C146" s="1" t="s">
        <v>137</v>
      </c>
      <c r="D146" s="1" t="s">
        <v>27</v>
      </c>
      <c r="E146" s="1" t="s">
        <v>2471</v>
      </c>
      <c r="F146" s="1" t="s">
        <v>2472</v>
      </c>
      <c r="G146" s="1" t="s">
        <v>23</v>
      </c>
      <c r="I146" s="18">
        <v>42538.191608796296</v>
      </c>
      <c r="J146" s="1" t="s">
        <v>1365</v>
      </c>
      <c r="K146" s="1" t="s">
        <v>18</v>
      </c>
      <c r="L146" s="1" t="s">
        <v>19</v>
      </c>
      <c r="Q146" s="21"/>
    </row>
    <row r="147" spans="1:22" x14ac:dyDescent="0.15">
      <c r="A147" s="1">
        <v>620961</v>
      </c>
      <c r="B147" s="1">
        <v>0</v>
      </c>
      <c r="C147" s="1" t="s">
        <v>137</v>
      </c>
      <c r="D147" s="1" t="s">
        <v>27</v>
      </c>
      <c r="E147" s="1" t="s">
        <v>2469</v>
      </c>
      <c r="F147" s="1" t="s">
        <v>2470</v>
      </c>
      <c r="G147" s="1" t="s">
        <v>23</v>
      </c>
      <c r="I147" s="18">
        <v>42538.150092592594</v>
      </c>
      <c r="J147" s="1" t="s">
        <v>1365</v>
      </c>
      <c r="K147" s="1" t="s">
        <v>18</v>
      </c>
      <c r="L147" s="1" t="s">
        <v>19</v>
      </c>
      <c r="Q147" s="21"/>
    </row>
    <row r="148" spans="1:22" x14ac:dyDescent="0.15">
      <c r="A148" s="1">
        <v>620952</v>
      </c>
      <c r="B148" s="1">
        <v>0</v>
      </c>
      <c r="C148" s="1" t="s">
        <v>280</v>
      </c>
      <c r="D148" s="1" t="s">
        <v>27</v>
      </c>
      <c r="E148" s="1" t="s">
        <v>1867</v>
      </c>
      <c r="F148" s="1" t="s">
        <v>1868</v>
      </c>
      <c r="G148" s="1" t="s">
        <v>540</v>
      </c>
      <c r="I148" s="18">
        <v>42538.138958333337</v>
      </c>
      <c r="J148" s="1" t="s">
        <v>17</v>
      </c>
      <c r="K148" s="1" t="s">
        <v>18</v>
      </c>
      <c r="L148" s="1" t="s">
        <v>19</v>
      </c>
      <c r="Q148" s="21"/>
    </row>
    <row r="149" spans="1:22" x14ac:dyDescent="0.15">
      <c r="A149" s="1">
        <v>620937</v>
      </c>
      <c r="B149" s="1">
        <v>0</v>
      </c>
      <c r="C149" s="1" t="s">
        <v>2227</v>
      </c>
      <c r="D149" s="1" t="s">
        <v>27</v>
      </c>
      <c r="E149" s="1" t="s">
        <v>2228</v>
      </c>
      <c r="F149" s="1" t="s">
        <v>2229</v>
      </c>
      <c r="G149" s="1" t="s">
        <v>23</v>
      </c>
      <c r="I149" s="18">
        <v>42538.088900462964</v>
      </c>
      <c r="J149" s="1" t="s">
        <v>2230</v>
      </c>
      <c r="K149" s="1" t="s">
        <v>18</v>
      </c>
      <c r="L149" s="1" t="s">
        <v>19</v>
      </c>
      <c r="Q149" s="21"/>
    </row>
    <row r="150" spans="1:22" x14ac:dyDescent="0.15">
      <c r="A150" s="1">
        <v>620766</v>
      </c>
      <c r="B150" s="1">
        <v>0</v>
      </c>
      <c r="C150" s="1" t="s">
        <v>3720</v>
      </c>
      <c r="D150" s="1" t="s">
        <v>3714</v>
      </c>
      <c r="E150" s="1" t="s">
        <v>3721</v>
      </c>
      <c r="F150" s="1" t="s">
        <v>3722</v>
      </c>
      <c r="G150" s="1" t="s">
        <v>16</v>
      </c>
      <c r="I150" s="18">
        <v>42537.681655092594</v>
      </c>
      <c r="J150" s="1" t="s">
        <v>17</v>
      </c>
      <c r="K150" s="1" t="s">
        <v>18</v>
      </c>
      <c r="L150" s="1" t="s">
        <v>19</v>
      </c>
      <c r="Q150" s="21"/>
    </row>
    <row r="151" spans="1:22" x14ac:dyDescent="0.15">
      <c r="A151" s="1">
        <v>620553</v>
      </c>
      <c r="B151" s="1">
        <v>1</v>
      </c>
      <c r="C151" s="1" t="s">
        <v>101</v>
      </c>
      <c r="D151" s="1" t="s">
        <v>27</v>
      </c>
      <c r="E151" s="1" t="s">
        <v>1621</v>
      </c>
      <c r="F151" s="1" t="s">
        <v>1622</v>
      </c>
      <c r="G151" s="1" t="s">
        <v>23</v>
      </c>
      <c r="I151" s="18">
        <v>42537.153344907405</v>
      </c>
      <c r="J151" s="1" t="s">
        <v>1623</v>
      </c>
      <c r="K151" s="1" t="s">
        <v>18</v>
      </c>
      <c r="L151" s="1" t="s">
        <v>19</v>
      </c>
      <c r="M151" s="1">
        <v>620749</v>
      </c>
      <c r="N151" s="1" t="s">
        <v>1624</v>
      </c>
      <c r="O151" s="18">
        <v>42537.652037037034</v>
      </c>
      <c r="P151" s="1" t="s">
        <v>17</v>
      </c>
      <c r="Q151" s="21">
        <f t="shared" ref="Q151:Q188" si="2">ABS(O151-I151)</f>
        <v>0.4986921296294895</v>
      </c>
      <c r="R151" s="1"/>
    </row>
    <row r="152" spans="1:22" x14ac:dyDescent="0.15">
      <c r="A152" s="1">
        <v>619405</v>
      </c>
      <c r="B152" s="1">
        <v>0</v>
      </c>
      <c r="C152" s="1" t="s">
        <v>12</v>
      </c>
      <c r="D152" s="1" t="s">
        <v>27</v>
      </c>
      <c r="E152" s="1" t="s">
        <v>3098</v>
      </c>
      <c r="F152" s="1" t="s">
        <v>3099</v>
      </c>
      <c r="G152" s="1"/>
      <c r="H152" s="1"/>
      <c r="I152" s="18">
        <v>42533.416724537034</v>
      </c>
      <c r="J152" s="1" t="s">
        <v>379</v>
      </c>
      <c r="K152" s="1" t="s">
        <v>18</v>
      </c>
      <c r="L152" s="1" t="s">
        <v>19</v>
      </c>
      <c r="Q152" s="21"/>
    </row>
    <row r="153" spans="1:22" x14ac:dyDescent="0.15">
      <c r="A153" s="1">
        <v>619380</v>
      </c>
      <c r="B153" s="1">
        <v>0</v>
      </c>
      <c r="C153" s="1" t="s">
        <v>268</v>
      </c>
      <c r="D153" s="1" t="s">
        <v>27</v>
      </c>
      <c r="E153" s="1" t="s">
        <v>741</v>
      </c>
      <c r="F153" s="1" t="s">
        <v>742</v>
      </c>
      <c r="G153" s="1" t="s">
        <v>16</v>
      </c>
      <c r="I153" s="18">
        <v>42533.175462962965</v>
      </c>
      <c r="J153" s="1" t="s">
        <v>17</v>
      </c>
      <c r="K153" s="1" t="s">
        <v>18</v>
      </c>
      <c r="L153" s="1" t="s">
        <v>19</v>
      </c>
      <c r="Q153" s="21"/>
    </row>
    <row r="154" spans="1:22" x14ac:dyDescent="0.15">
      <c r="A154" s="1">
        <v>619375</v>
      </c>
      <c r="B154" s="1">
        <v>0</v>
      </c>
      <c r="C154" s="1" t="s">
        <v>65</v>
      </c>
      <c r="D154" s="1" t="s">
        <v>3911</v>
      </c>
      <c r="E154" s="1" t="s">
        <v>4043</v>
      </c>
      <c r="F154" s="1" t="s">
        <v>4044</v>
      </c>
      <c r="G154" s="1" t="s">
        <v>16</v>
      </c>
      <c r="I154" s="18">
        <v>42533.167280092595</v>
      </c>
      <c r="J154" s="1" t="s">
        <v>17</v>
      </c>
      <c r="K154" s="1" t="s">
        <v>18</v>
      </c>
      <c r="L154" s="1" t="s">
        <v>19</v>
      </c>
      <c r="Q154" s="21"/>
    </row>
    <row r="155" spans="1:22" x14ac:dyDescent="0.15">
      <c r="A155" s="1">
        <v>619217</v>
      </c>
      <c r="B155" s="1">
        <v>2</v>
      </c>
      <c r="C155" s="1" t="s">
        <v>1391</v>
      </c>
      <c r="D155" s="1" t="s">
        <v>27</v>
      </c>
      <c r="E155" s="1" t="s">
        <v>1392</v>
      </c>
      <c r="F155" s="1" t="s">
        <v>1393</v>
      </c>
      <c r="G155" s="1" t="s">
        <v>16</v>
      </c>
      <c r="I155" s="18">
        <v>42531.976377314815</v>
      </c>
      <c r="J155" s="1" t="s">
        <v>1394</v>
      </c>
      <c r="K155" s="1" t="s">
        <v>18</v>
      </c>
      <c r="L155" s="1" t="s">
        <v>19</v>
      </c>
      <c r="M155" s="1">
        <v>619368</v>
      </c>
      <c r="N155" s="1" t="s">
        <v>1395</v>
      </c>
      <c r="O155" s="18">
        <v>42533.159201388888</v>
      </c>
      <c r="P155" s="1" t="s">
        <v>17</v>
      </c>
      <c r="Q155" s="21">
        <f t="shared" si="2"/>
        <v>1.1828240740724141</v>
      </c>
      <c r="R155" s="1">
        <v>619270</v>
      </c>
      <c r="S155" s="1" t="s">
        <v>1396</v>
      </c>
      <c r="T155" s="2" t="s">
        <v>4156</v>
      </c>
      <c r="U155" s="1" t="s">
        <v>98</v>
      </c>
      <c r="V155" s="1"/>
    </row>
    <row r="156" spans="1:22" x14ac:dyDescent="0.15">
      <c r="A156" s="1">
        <v>618237</v>
      </c>
      <c r="B156" s="1">
        <v>0</v>
      </c>
      <c r="C156" s="1" t="s">
        <v>296</v>
      </c>
      <c r="D156" s="1" t="s">
        <v>27</v>
      </c>
      <c r="E156" s="1" t="s">
        <v>1135</v>
      </c>
      <c r="F156" s="1" t="s">
        <v>1136</v>
      </c>
      <c r="G156" s="1"/>
      <c r="H156" s="1"/>
      <c r="I156" s="18">
        <v>42529.393159722225</v>
      </c>
      <c r="J156" s="1" t="s">
        <v>68</v>
      </c>
      <c r="K156" s="1" t="s">
        <v>18</v>
      </c>
      <c r="L156" s="1" t="s">
        <v>19</v>
      </c>
      <c r="Q156" s="21"/>
    </row>
    <row r="157" spans="1:22" x14ac:dyDescent="0.15">
      <c r="A157" s="1">
        <v>617735</v>
      </c>
      <c r="B157" s="1">
        <v>0</v>
      </c>
      <c r="C157" s="1" t="s">
        <v>424</v>
      </c>
      <c r="D157" s="1" t="s">
        <v>3911</v>
      </c>
      <c r="E157" s="1" t="s">
        <v>3964</v>
      </c>
      <c r="F157" s="1" t="s">
        <v>3965</v>
      </c>
      <c r="G157" s="1" t="s">
        <v>540</v>
      </c>
      <c r="I157" s="18">
        <v>42527.834074074075</v>
      </c>
      <c r="J157" s="1" t="s">
        <v>17</v>
      </c>
      <c r="K157" s="1" t="s">
        <v>18</v>
      </c>
      <c r="L157" s="1" t="s">
        <v>19</v>
      </c>
      <c r="Q157" s="21"/>
    </row>
    <row r="158" spans="1:22" x14ac:dyDescent="0.15">
      <c r="A158" s="1">
        <v>617648</v>
      </c>
      <c r="B158" s="1">
        <v>0</v>
      </c>
      <c r="C158" s="1" t="s">
        <v>829</v>
      </c>
      <c r="D158" s="1" t="s">
        <v>3714</v>
      </c>
      <c r="E158" s="1" t="s">
        <v>3851</v>
      </c>
      <c r="F158" s="1" t="s">
        <v>3852</v>
      </c>
      <c r="G158" s="1" t="s">
        <v>16</v>
      </c>
      <c r="I158" s="18">
        <v>42527.69358796296</v>
      </c>
      <c r="J158" s="1" t="s">
        <v>17</v>
      </c>
      <c r="K158" s="1" t="s">
        <v>18</v>
      </c>
      <c r="L158" s="1" t="s">
        <v>19</v>
      </c>
      <c r="Q158" s="21"/>
    </row>
    <row r="159" spans="1:22" x14ac:dyDescent="0.15">
      <c r="A159" s="1">
        <v>617495</v>
      </c>
      <c r="B159" s="1">
        <v>0</v>
      </c>
      <c r="C159" s="1" t="s">
        <v>2304</v>
      </c>
      <c r="D159" s="1" t="s">
        <v>27</v>
      </c>
      <c r="E159" s="1" t="s">
        <v>2676</v>
      </c>
      <c r="F159" s="1" t="s">
        <v>2677</v>
      </c>
      <c r="G159" s="1" t="s">
        <v>23</v>
      </c>
      <c r="I159" s="18">
        <v>42527.179872685185</v>
      </c>
      <c r="J159" s="1" t="s">
        <v>247</v>
      </c>
      <c r="K159" s="1" t="s">
        <v>18</v>
      </c>
      <c r="L159" s="1" t="s">
        <v>19</v>
      </c>
      <c r="Q159" s="21"/>
    </row>
    <row r="160" spans="1:22" x14ac:dyDescent="0.15">
      <c r="A160" s="1">
        <v>617105</v>
      </c>
      <c r="B160" s="1">
        <v>0</v>
      </c>
      <c r="C160" s="1" t="s">
        <v>137</v>
      </c>
      <c r="D160" s="1" t="s">
        <v>27</v>
      </c>
      <c r="E160" s="1" t="s">
        <v>3523</v>
      </c>
      <c r="F160" s="1" t="s">
        <v>3524</v>
      </c>
      <c r="G160" s="1"/>
      <c r="H160" s="1"/>
      <c r="I160" s="18">
        <v>42524.430972222224</v>
      </c>
      <c r="J160" s="1" t="s">
        <v>205</v>
      </c>
      <c r="K160" s="1" t="s">
        <v>18</v>
      </c>
      <c r="L160" s="1" t="s">
        <v>19</v>
      </c>
      <c r="Q160" s="21"/>
    </row>
    <row r="161" spans="1:18" x14ac:dyDescent="0.15">
      <c r="A161" s="1">
        <v>616970</v>
      </c>
      <c r="B161" s="1">
        <v>0</v>
      </c>
      <c r="C161" s="1" t="s">
        <v>305</v>
      </c>
      <c r="D161" s="1" t="s">
        <v>27</v>
      </c>
      <c r="E161" s="1" t="s">
        <v>938</v>
      </c>
      <c r="F161" s="1" t="s">
        <v>939</v>
      </c>
      <c r="G161" s="1" t="s">
        <v>16</v>
      </c>
      <c r="I161" s="18">
        <v>42524.025347222225</v>
      </c>
      <c r="J161" s="1" t="s">
        <v>17</v>
      </c>
      <c r="K161" s="1" t="s">
        <v>18</v>
      </c>
      <c r="L161" s="1" t="s">
        <v>19</v>
      </c>
      <c r="Q161" s="21"/>
    </row>
    <row r="162" spans="1:18" x14ac:dyDescent="0.15">
      <c r="A162" s="1">
        <v>616907</v>
      </c>
      <c r="B162" s="1">
        <v>0</v>
      </c>
      <c r="C162" s="1" t="s">
        <v>26</v>
      </c>
      <c r="D162" s="1" t="s">
        <v>27</v>
      </c>
      <c r="E162" s="1" t="s">
        <v>2489</v>
      </c>
      <c r="F162" s="1" t="s">
        <v>2490</v>
      </c>
      <c r="G162" s="1" t="s">
        <v>56</v>
      </c>
      <c r="H162" s="1"/>
      <c r="I162" s="18">
        <v>42523.901145833333</v>
      </c>
      <c r="J162" s="1" t="s">
        <v>247</v>
      </c>
      <c r="K162" s="1" t="s">
        <v>18</v>
      </c>
      <c r="L162" s="1" t="s">
        <v>19</v>
      </c>
      <c r="Q162" s="21"/>
    </row>
    <row r="163" spans="1:18" x14ac:dyDescent="0.15">
      <c r="A163" s="1">
        <v>616623</v>
      </c>
      <c r="B163" s="1">
        <v>1</v>
      </c>
      <c r="C163" s="1" t="s">
        <v>65</v>
      </c>
      <c r="D163" s="1" t="s">
        <v>3714</v>
      </c>
      <c r="E163" s="1" t="s">
        <v>3801</v>
      </c>
      <c r="F163" s="1" t="s">
        <v>3802</v>
      </c>
      <c r="G163" s="1" t="s">
        <v>23</v>
      </c>
      <c r="I163" s="18">
        <v>42522.955069444448</v>
      </c>
      <c r="J163" s="1" t="s">
        <v>2235</v>
      </c>
      <c r="K163" s="1" t="s">
        <v>18</v>
      </c>
      <c r="L163" s="1" t="s">
        <v>19</v>
      </c>
      <c r="M163" s="1">
        <v>621492</v>
      </c>
      <c r="N163" s="1" t="s">
        <v>3803</v>
      </c>
      <c r="O163" s="18">
        <v>42541.521122685182</v>
      </c>
      <c r="P163" s="1" t="s">
        <v>17</v>
      </c>
      <c r="Q163" s="21">
        <f t="shared" si="2"/>
        <v>18.566053240734618</v>
      </c>
      <c r="R163" s="1"/>
    </row>
    <row r="164" spans="1:18" x14ac:dyDescent="0.15">
      <c r="A164" s="1">
        <v>614989</v>
      </c>
      <c r="B164" s="1">
        <v>0</v>
      </c>
      <c r="C164" s="1" t="s">
        <v>848</v>
      </c>
      <c r="D164" s="1" t="s">
        <v>27</v>
      </c>
      <c r="E164" s="1" t="s">
        <v>2637</v>
      </c>
      <c r="F164" s="1" t="s">
        <v>2638</v>
      </c>
      <c r="G164" s="1" t="s">
        <v>23</v>
      </c>
      <c r="I164" s="18">
        <v>42516.476319444446</v>
      </c>
      <c r="J164" s="1" t="s">
        <v>851</v>
      </c>
      <c r="K164" s="1" t="s">
        <v>18</v>
      </c>
      <c r="L164" s="1" t="s">
        <v>19</v>
      </c>
      <c r="Q164" s="21"/>
    </row>
    <row r="165" spans="1:18" x14ac:dyDescent="0.15">
      <c r="A165" s="1">
        <v>614934</v>
      </c>
      <c r="B165" s="1">
        <v>0</v>
      </c>
      <c r="C165" s="1" t="s">
        <v>1313</v>
      </c>
      <c r="D165" s="1" t="s">
        <v>27</v>
      </c>
      <c r="E165" s="1" t="s">
        <v>2551</v>
      </c>
      <c r="F165" s="1" t="s">
        <v>2552</v>
      </c>
      <c r="G165" s="1" t="s">
        <v>23</v>
      </c>
      <c r="I165" s="18">
        <v>42516.272094907406</v>
      </c>
      <c r="J165" s="1" t="s">
        <v>2553</v>
      </c>
      <c r="K165" s="1" t="s">
        <v>18</v>
      </c>
      <c r="L165" s="1" t="s">
        <v>19</v>
      </c>
      <c r="Q165" s="21"/>
    </row>
    <row r="166" spans="1:18" x14ac:dyDescent="0.15">
      <c r="A166" s="1">
        <v>614405</v>
      </c>
      <c r="B166" s="1">
        <v>1</v>
      </c>
      <c r="C166" s="1" t="s">
        <v>1824</v>
      </c>
      <c r="D166" s="1" t="s">
        <v>27</v>
      </c>
      <c r="E166" s="1" t="s">
        <v>2465</v>
      </c>
      <c r="F166" s="1" t="s">
        <v>850</v>
      </c>
      <c r="G166" s="1"/>
      <c r="H166" s="1"/>
      <c r="I166" s="18">
        <v>42514.694039351853</v>
      </c>
      <c r="J166" s="1" t="s">
        <v>1827</v>
      </c>
      <c r="K166" s="1" t="s">
        <v>18</v>
      </c>
      <c r="L166" s="1" t="s">
        <v>19</v>
      </c>
      <c r="M166" s="1">
        <v>593691</v>
      </c>
      <c r="N166" s="1" t="s">
        <v>2466</v>
      </c>
      <c r="O166" s="18">
        <v>42439.501736111109</v>
      </c>
      <c r="P166" s="1" t="s">
        <v>17</v>
      </c>
      <c r="Q166" s="21">
        <f t="shared" si="2"/>
        <v>75.192303240743058</v>
      </c>
      <c r="R166" s="1"/>
    </row>
    <row r="167" spans="1:18" x14ac:dyDescent="0.15">
      <c r="A167" s="1">
        <v>613971</v>
      </c>
      <c r="B167" s="1">
        <v>0</v>
      </c>
      <c r="C167" s="1" t="s">
        <v>848</v>
      </c>
      <c r="D167" s="1" t="s">
        <v>27</v>
      </c>
      <c r="E167" s="1" t="s">
        <v>849</v>
      </c>
      <c r="F167" s="1" t="s">
        <v>850</v>
      </c>
      <c r="G167" s="1"/>
      <c r="H167" s="1"/>
      <c r="I167" s="18">
        <v>42513.430011574077</v>
      </c>
      <c r="J167" s="1" t="s">
        <v>851</v>
      </c>
      <c r="K167" s="1" t="s">
        <v>18</v>
      </c>
      <c r="L167" s="1" t="s">
        <v>19</v>
      </c>
      <c r="Q167" s="21"/>
    </row>
    <row r="168" spans="1:18" x14ac:dyDescent="0.15">
      <c r="A168" s="1">
        <v>613949</v>
      </c>
      <c r="B168" s="1">
        <v>0</v>
      </c>
      <c r="C168" s="1" t="s">
        <v>305</v>
      </c>
      <c r="D168" s="1" t="s">
        <v>27</v>
      </c>
      <c r="E168" s="1" t="s">
        <v>2626</v>
      </c>
      <c r="F168" s="1" t="s">
        <v>2627</v>
      </c>
      <c r="G168" s="1" t="s">
        <v>23</v>
      </c>
      <c r="I168" s="18">
        <v>42513.335868055554</v>
      </c>
      <c r="J168" s="1" t="s">
        <v>2628</v>
      </c>
      <c r="K168" s="1" t="s">
        <v>18</v>
      </c>
      <c r="L168" s="1" t="s">
        <v>19</v>
      </c>
      <c r="Q168" s="21"/>
    </row>
    <row r="169" spans="1:18" x14ac:dyDescent="0.15">
      <c r="A169" s="1">
        <v>613915</v>
      </c>
      <c r="B169" s="1">
        <v>0</v>
      </c>
      <c r="C169" s="1" t="s">
        <v>280</v>
      </c>
      <c r="D169" s="1" t="s">
        <v>27</v>
      </c>
      <c r="E169" s="1" t="s">
        <v>644</v>
      </c>
      <c r="F169" s="1" t="s">
        <v>645</v>
      </c>
      <c r="G169" s="1" t="s">
        <v>540</v>
      </c>
      <c r="I169" s="18">
        <v>42513.227800925924</v>
      </c>
      <c r="J169" s="1" t="s">
        <v>17</v>
      </c>
      <c r="K169" s="1" t="s">
        <v>18</v>
      </c>
      <c r="L169" s="1" t="s">
        <v>19</v>
      </c>
      <c r="Q169" s="21"/>
    </row>
    <row r="170" spans="1:18" x14ac:dyDescent="0.15">
      <c r="A170" s="1">
        <v>613869</v>
      </c>
      <c r="B170" s="1">
        <v>0</v>
      </c>
      <c r="C170" s="1" t="s">
        <v>268</v>
      </c>
      <c r="D170" s="1" t="s">
        <v>27</v>
      </c>
      <c r="E170" s="1" t="s">
        <v>1688</v>
      </c>
      <c r="F170" s="1" t="s">
        <v>1689</v>
      </c>
      <c r="G170" s="1" t="s">
        <v>23</v>
      </c>
      <c r="I170" s="18">
        <v>42512.822071759256</v>
      </c>
      <c r="J170" s="1" t="s">
        <v>68</v>
      </c>
      <c r="K170" s="1" t="s">
        <v>18</v>
      </c>
      <c r="L170" s="1" t="s">
        <v>19</v>
      </c>
      <c r="Q170" s="21"/>
    </row>
    <row r="171" spans="1:18" x14ac:dyDescent="0.15">
      <c r="A171" s="1">
        <v>613698</v>
      </c>
      <c r="B171" s="1">
        <v>0</v>
      </c>
      <c r="C171" s="1" t="s">
        <v>2173</v>
      </c>
      <c r="D171" s="1" t="s">
        <v>27</v>
      </c>
      <c r="E171" s="1" t="s">
        <v>2174</v>
      </c>
      <c r="F171" s="1" t="s">
        <v>2175</v>
      </c>
      <c r="G171" s="1" t="s">
        <v>23</v>
      </c>
      <c r="I171" s="18">
        <v>42510.873333333337</v>
      </c>
      <c r="J171" s="1" t="s">
        <v>454</v>
      </c>
      <c r="K171" s="1" t="s">
        <v>18</v>
      </c>
      <c r="L171" s="1" t="s">
        <v>19</v>
      </c>
      <c r="Q171" s="21"/>
    </row>
    <row r="172" spans="1:18" x14ac:dyDescent="0.15">
      <c r="A172" s="1">
        <v>613575</v>
      </c>
      <c r="B172" s="1">
        <v>0</v>
      </c>
      <c r="C172" s="1" t="s">
        <v>4051</v>
      </c>
      <c r="D172" s="1" t="s">
        <v>3911</v>
      </c>
      <c r="E172" s="1" t="s">
        <v>4052</v>
      </c>
      <c r="F172" s="1" t="s">
        <v>4053</v>
      </c>
      <c r="G172" s="1" t="s">
        <v>23</v>
      </c>
      <c r="I172" s="18">
        <v>42510.665173611109</v>
      </c>
      <c r="J172" s="1" t="s">
        <v>40</v>
      </c>
      <c r="K172" s="1" t="s">
        <v>18</v>
      </c>
      <c r="L172" s="1" t="s">
        <v>19</v>
      </c>
      <c r="Q172" s="21"/>
    </row>
    <row r="173" spans="1:18" x14ac:dyDescent="0.15">
      <c r="A173" s="1">
        <v>613266</v>
      </c>
      <c r="B173" s="1">
        <v>0</v>
      </c>
      <c r="C173" s="1" t="s">
        <v>2304</v>
      </c>
      <c r="D173" s="1" t="s">
        <v>27</v>
      </c>
      <c r="E173" s="1" t="s">
        <v>2305</v>
      </c>
      <c r="F173" s="1" t="s">
        <v>2306</v>
      </c>
      <c r="G173" s="1" t="s">
        <v>23</v>
      </c>
      <c r="I173" s="18">
        <v>42509.823495370372</v>
      </c>
      <c r="J173" s="1" t="s">
        <v>247</v>
      </c>
      <c r="K173" s="1" t="s">
        <v>18</v>
      </c>
      <c r="L173" s="1" t="s">
        <v>19</v>
      </c>
      <c r="Q173" s="21"/>
    </row>
    <row r="174" spans="1:18" x14ac:dyDescent="0.15">
      <c r="A174" s="1">
        <v>613160</v>
      </c>
      <c r="B174" s="1">
        <v>0</v>
      </c>
      <c r="C174" s="1" t="s">
        <v>12</v>
      </c>
      <c r="D174" s="1" t="s">
        <v>27</v>
      </c>
      <c r="E174" s="1" t="s">
        <v>2874</v>
      </c>
      <c r="F174" s="1" t="s">
        <v>2875</v>
      </c>
      <c r="G174" s="1" t="s">
        <v>159</v>
      </c>
      <c r="I174" s="18">
        <v>42509.564421296294</v>
      </c>
      <c r="J174" s="1" t="s">
        <v>2876</v>
      </c>
      <c r="K174" s="1" t="s">
        <v>18</v>
      </c>
      <c r="L174" s="1" t="s">
        <v>19</v>
      </c>
      <c r="Q174" s="21"/>
    </row>
    <row r="175" spans="1:18" x14ac:dyDescent="0.15">
      <c r="A175" s="1">
        <v>612364</v>
      </c>
      <c r="B175" s="1">
        <v>0</v>
      </c>
      <c r="C175" s="1" t="s">
        <v>2173</v>
      </c>
      <c r="D175" s="1" t="s">
        <v>27</v>
      </c>
      <c r="E175" s="1" t="s">
        <v>2852</v>
      </c>
      <c r="F175" s="1" t="s">
        <v>2853</v>
      </c>
      <c r="G175" s="1" t="s">
        <v>23</v>
      </c>
      <c r="I175" s="18">
        <v>42507.084849537037</v>
      </c>
      <c r="J175" s="1" t="s">
        <v>454</v>
      </c>
      <c r="K175" s="1" t="s">
        <v>18</v>
      </c>
      <c r="L175" s="1" t="s">
        <v>19</v>
      </c>
      <c r="Q175" s="21"/>
    </row>
    <row r="176" spans="1:18" x14ac:dyDescent="0.15">
      <c r="A176" s="1">
        <v>612132</v>
      </c>
      <c r="B176" s="1">
        <v>0</v>
      </c>
      <c r="C176" s="1" t="s">
        <v>848</v>
      </c>
      <c r="D176" s="1" t="s">
        <v>27</v>
      </c>
      <c r="E176" s="1" t="s">
        <v>2928</v>
      </c>
      <c r="F176" s="1" t="s">
        <v>2929</v>
      </c>
      <c r="G176" s="1" t="s">
        <v>813</v>
      </c>
      <c r="H176" s="1"/>
      <c r="I176" s="18">
        <v>42506.520868055559</v>
      </c>
      <c r="J176" s="1" t="s">
        <v>851</v>
      </c>
      <c r="K176" s="1" t="s">
        <v>18</v>
      </c>
      <c r="L176" s="1" t="s">
        <v>19</v>
      </c>
      <c r="Q176" s="21"/>
    </row>
    <row r="177" spans="1:22" x14ac:dyDescent="0.15">
      <c r="A177" s="1">
        <v>612049</v>
      </c>
      <c r="B177" s="1">
        <v>0</v>
      </c>
      <c r="C177" s="1" t="s">
        <v>50</v>
      </c>
      <c r="D177" s="1" t="s">
        <v>27</v>
      </c>
      <c r="E177" s="1" t="s">
        <v>2820</v>
      </c>
      <c r="F177" s="1" t="s">
        <v>2821</v>
      </c>
      <c r="G177" s="1" t="s">
        <v>2822</v>
      </c>
      <c r="H177" s="1"/>
      <c r="I177" s="18">
        <v>42505.839270833334</v>
      </c>
      <c r="J177" s="1" t="s">
        <v>17</v>
      </c>
      <c r="K177" s="1" t="s">
        <v>18</v>
      </c>
      <c r="L177" s="1" t="s">
        <v>19</v>
      </c>
      <c r="Q177" s="21"/>
    </row>
    <row r="178" spans="1:22" x14ac:dyDescent="0.15">
      <c r="A178" s="1">
        <v>611963</v>
      </c>
      <c r="B178" s="1">
        <v>0</v>
      </c>
      <c r="C178" s="1" t="s">
        <v>20</v>
      </c>
      <c r="D178" s="1" t="s">
        <v>13</v>
      </c>
      <c r="E178" s="1" t="s">
        <v>21</v>
      </c>
      <c r="F178" s="1" t="s">
        <v>22</v>
      </c>
      <c r="G178" s="1" t="s">
        <v>23</v>
      </c>
      <c r="I178" s="18">
        <v>42504.30572916667</v>
      </c>
      <c r="J178" s="1" t="s">
        <v>24</v>
      </c>
      <c r="K178" s="1" t="s">
        <v>18</v>
      </c>
      <c r="L178" s="1" t="s">
        <v>19</v>
      </c>
      <c r="Q178" s="21"/>
    </row>
    <row r="179" spans="1:22" x14ac:dyDescent="0.15">
      <c r="A179" s="1">
        <v>611962</v>
      </c>
      <c r="B179" s="1">
        <v>0</v>
      </c>
      <c r="C179" s="1" t="s">
        <v>20</v>
      </c>
      <c r="D179" s="1" t="s">
        <v>13</v>
      </c>
      <c r="E179" s="1" t="s">
        <v>25</v>
      </c>
      <c r="F179" s="1" t="s">
        <v>22</v>
      </c>
      <c r="G179" s="1" t="s">
        <v>23</v>
      </c>
      <c r="I179" s="18">
        <v>42504.304791666669</v>
      </c>
      <c r="J179" s="1" t="s">
        <v>24</v>
      </c>
      <c r="K179" s="1" t="s">
        <v>18</v>
      </c>
      <c r="L179" s="1" t="s">
        <v>19</v>
      </c>
      <c r="Q179" s="21"/>
    </row>
    <row r="180" spans="1:22" x14ac:dyDescent="0.15">
      <c r="A180" s="1">
        <v>611961</v>
      </c>
      <c r="B180" s="1">
        <v>0</v>
      </c>
      <c r="C180" s="1" t="s">
        <v>20</v>
      </c>
      <c r="D180" s="1" t="s">
        <v>3711</v>
      </c>
      <c r="E180" s="1" t="s">
        <v>3712</v>
      </c>
      <c r="F180" s="1" t="s">
        <v>22</v>
      </c>
      <c r="G180" s="1" t="s">
        <v>23</v>
      </c>
      <c r="I180" s="18">
        <v>42504.303935185184</v>
      </c>
      <c r="J180" s="1" t="s">
        <v>24</v>
      </c>
      <c r="K180" s="1" t="s">
        <v>18</v>
      </c>
      <c r="L180" s="1" t="s">
        <v>19</v>
      </c>
      <c r="Q180" s="21"/>
    </row>
    <row r="181" spans="1:22" x14ac:dyDescent="0.15">
      <c r="A181" s="1">
        <v>611955</v>
      </c>
      <c r="B181" s="1">
        <v>0</v>
      </c>
      <c r="C181" s="1" t="s">
        <v>2173</v>
      </c>
      <c r="D181" s="1" t="s">
        <v>27</v>
      </c>
      <c r="E181" s="1" t="s">
        <v>2617</v>
      </c>
      <c r="F181" s="1" t="s">
        <v>2618</v>
      </c>
      <c r="G181" s="1" t="s">
        <v>23</v>
      </c>
      <c r="I181" s="18">
        <v>42504.294733796298</v>
      </c>
      <c r="J181" s="1" t="s">
        <v>24</v>
      </c>
      <c r="K181" s="1" t="s">
        <v>18</v>
      </c>
      <c r="L181" s="1" t="s">
        <v>19</v>
      </c>
      <c r="Q181" s="21"/>
    </row>
    <row r="182" spans="1:22" x14ac:dyDescent="0.15">
      <c r="A182" s="1">
        <v>611887</v>
      </c>
      <c r="B182" s="1">
        <v>0</v>
      </c>
      <c r="C182" s="1" t="s">
        <v>2173</v>
      </c>
      <c r="D182" s="1" t="s">
        <v>27</v>
      </c>
      <c r="E182" s="1" t="s">
        <v>2344</v>
      </c>
      <c r="F182" s="1" t="s">
        <v>2345</v>
      </c>
      <c r="G182" s="1"/>
      <c r="H182" s="1"/>
      <c r="I182" s="18">
        <v>42503.936319444445</v>
      </c>
      <c r="J182" s="1" t="s">
        <v>454</v>
      </c>
      <c r="K182" s="1" t="s">
        <v>18</v>
      </c>
      <c r="L182" s="1" t="s">
        <v>19</v>
      </c>
      <c r="Q182" s="21"/>
    </row>
    <row r="183" spans="1:22" x14ac:dyDescent="0.15">
      <c r="A183" s="1">
        <v>610985</v>
      </c>
      <c r="B183" s="1">
        <v>0</v>
      </c>
      <c r="C183" s="1" t="s">
        <v>522</v>
      </c>
      <c r="D183" s="1" t="s">
        <v>27</v>
      </c>
      <c r="E183" s="1" t="s">
        <v>3146</v>
      </c>
      <c r="F183" s="1" t="s">
        <v>3147</v>
      </c>
      <c r="G183" s="1" t="s">
        <v>16</v>
      </c>
      <c r="I183" s="18">
        <v>42501.392881944441</v>
      </c>
      <c r="J183" s="1" t="s">
        <v>17</v>
      </c>
      <c r="K183" s="1" t="s">
        <v>18</v>
      </c>
      <c r="L183" s="1" t="s">
        <v>19</v>
      </c>
      <c r="Q183" s="21"/>
    </row>
    <row r="184" spans="1:22" x14ac:dyDescent="0.15">
      <c r="A184" s="1">
        <v>610799</v>
      </c>
      <c r="B184" s="1">
        <v>1</v>
      </c>
      <c r="C184" s="1" t="s">
        <v>576</v>
      </c>
      <c r="D184" s="1" t="s">
        <v>27</v>
      </c>
      <c r="E184" s="1" t="s">
        <v>1382</v>
      </c>
      <c r="F184" s="1" t="s">
        <v>1383</v>
      </c>
      <c r="G184" s="1" t="s">
        <v>16</v>
      </c>
      <c r="I184" s="18">
        <v>42500.824236111112</v>
      </c>
      <c r="J184" s="1" t="s">
        <v>1384</v>
      </c>
      <c r="K184" s="1" t="s">
        <v>18</v>
      </c>
      <c r="L184" s="1" t="s">
        <v>19</v>
      </c>
      <c r="M184" s="1">
        <v>590360</v>
      </c>
      <c r="N184" s="1" t="s">
        <v>1385</v>
      </c>
      <c r="O184" s="18">
        <v>42426.946377314816</v>
      </c>
      <c r="P184" s="1" t="s">
        <v>1386</v>
      </c>
      <c r="Q184" s="21">
        <f t="shared" si="2"/>
        <v>73.877858796295186</v>
      </c>
      <c r="R184" s="1"/>
    </row>
    <row r="185" spans="1:22" x14ac:dyDescent="0.15">
      <c r="A185" s="1">
        <v>610646</v>
      </c>
      <c r="B185" s="1">
        <v>0</v>
      </c>
      <c r="C185" s="1" t="s">
        <v>2157</v>
      </c>
      <c r="D185" s="1" t="s">
        <v>27</v>
      </c>
      <c r="E185" s="1" t="s">
        <v>2158</v>
      </c>
      <c r="F185" s="1" t="s">
        <v>2159</v>
      </c>
      <c r="G185" s="1" t="s">
        <v>16</v>
      </c>
      <c r="I185" s="18">
        <v>42500.439328703702</v>
      </c>
      <c r="J185" s="1" t="s">
        <v>17</v>
      </c>
      <c r="K185" s="1" t="s">
        <v>18</v>
      </c>
      <c r="L185" s="1" t="s">
        <v>19</v>
      </c>
      <c r="Q185" s="21"/>
    </row>
    <row r="186" spans="1:22" x14ac:dyDescent="0.15">
      <c r="A186" s="1">
        <v>610642</v>
      </c>
      <c r="B186" s="1">
        <v>0</v>
      </c>
      <c r="D186" s="1" t="s">
        <v>3911</v>
      </c>
      <c r="E186" s="1" t="s">
        <v>4074</v>
      </c>
      <c r="F186" s="1" t="s">
        <v>3935</v>
      </c>
      <c r="G186" s="1" t="s">
        <v>16</v>
      </c>
      <c r="I186" s="18">
        <v>42500.428055555552</v>
      </c>
      <c r="J186" s="1" t="s">
        <v>17</v>
      </c>
      <c r="K186" s="1" t="s">
        <v>18</v>
      </c>
      <c r="L186" s="1" t="s">
        <v>19</v>
      </c>
      <c r="Q186" s="21"/>
    </row>
    <row r="187" spans="1:22" x14ac:dyDescent="0.15">
      <c r="A187" s="1">
        <v>610600</v>
      </c>
      <c r="B187" s="1">
        <v>0</v>
      </c>
      <c r="C187" s="1" t="s">
        <v>137</v>
      </c>
      <c r="D187" s="1" t="s">
        <v>27</v>
      </c>
      <c r="E187" s="1" t="s">
        <v>734</v>
      </c>
      <c r="F187" s="1" t="s">
        <v>735</v>
      </c>
      <c r="G187" s="1" t="s">
        <v>540</v>
      </c>
      <c r="I187" s="18">
        <v>42500.27611111111</v>
      </c>
      <c r="J187" s="1" t="s">
        <v>736</v>
      </c>
      <c r="K187" s="1" t="s">
        <v>18</v>
      </c>
      <c r="L187" s="1" t="s">
        <v>19</v>
      </c>
      <c r="Q187" s="21"/>
    </row>
    <row r="188" spans="1:22" x14ac:dyDescent="0.15">
      <c r="A188" s="1">
        <v>609680</v>
      </c>
      <c r="B188" s="1">
        <v>2</v>
      </c>
      <c r="C188" s="1" t="s">
        <v>2018</v>
      </c>
      <c r="D188" s="1" t="s">
        <v>27</v>
      </c>
      <c r="E188" s="1" t="s">
        <v>2019</v>
      </c>
      <c r="F188" s="1" t="s">
        <v>2020</v>
      </c>
      <c r="G188" s="1" t="s">
        <v>353</v>
      </c>
      <c r="I188" s="18">
        <v>42496.057789351849</v>
      </c>
      <c r="J188" s="1" t="s">
        <v>2021</v>
      </c>
      <c r="K188" s="1" t="s">
        <v>18</v>
      </c>
      <c r="L188" s="1" t="s">
        <v>19</v>
      </c>
      <c r="M188" s="1">
        <v>633638</v>
      </c>
      <c r="N188" s="1" t="s">
        <v>2022</v>
      </c>
      <c r="O188" s="18">
        <v>42584.752187500002</v>
      </c>
      <c r="P188" s="1" t="s">
        <v>98</v>
      </c>
      <c r="Q188" s="21">
        <f t="shared" si="2"/>
        <v>88.694398148152686</v>
      </c>
      <c r="R188" s="1">
        <v>612207</v>
      </c>
      <c r="S188" s="1" t="s">
        <v>2022</v>
      </c>
      <c r="T188" s="3" t="s">
        <v>4168</v>
      </c>
      <c r="U188" s="1" t="s">
        <v>2023</v>
      </c>
      <c r="V188" s="1"/>
    </row>
    <row r="189" spans="1:22" x14ac:dyDescent="0.15">
      <c r="A189" s="1">
        <v>609382</v>
      </c>
      <c r="B189" s="1">
        <v>0</v>
      </c>
      <c r="C189" s="1" t="s">
        <v>3713</v>
      </c>
      <c r="D189" s="1" t="s">
        <v>3714</v>
      </c>
      <c r="E189" s="1" t="s">
        <v>3822</v>
      </c>
      <c r="F189" s="1" t="s">
        <v>3823</v>
      </c>
      <c r="G189" s="1" t="s">
        <v>1056</v>
      </c>
      <c r="I189" s="18">
        <v>42495.208310185182</v>
      </c>
      <c r="J189" s="1" t="s">
        <v>2558</v>
      </c>
      <c r="K189" s="1" t="s">
        <v>18</v>
      </c>
      <c r="L189" s="1" t="s">
        <v>19</v>
      </c>
      <c r="Q189" s="21"/>
    </row>
    <row r="190" spans="1:22" x14ac:dyDescent="0.15">
      <c r="A190" s="1">
        <v>609286</v>
      </c>
      <c r="B190" s="1">
        <v>0</v>
      </c>
      <c r="C190" s="1" t="s">
        <v>2854</v>
      </c>
      <c r="D190" s="1" t="s">
        <v>27</v>
      </c>
      <c r="E190" s="1" t="s">
        <v>3004</v>
      </c>
      <c r="F190" s="1" t="s">
        <v>3005</v>
      </c>
      <c r="G190" s="1" t="s">
        <v>16</v>
      </c>
      <c r="I190" s="18">
        <v>42494.906539351854</v>
      </c>
      <c r="J190" s="1" t="s">
        <v>2366</v>
      </c>
      <c r="K190" s="1" t="s">
        <v>18</v>
      </c>
      <c r="L190" s="1" t="s">
        <v>19</v>
      </c>
      <c r="Q190" s="21"/>
    </row>
    <row r="191" spans="1:22" x14ac:dyDescent="0.15">
      <c r="A191" s="1">
        <v>609134</v>
      </c>
      <c r="B191" s="1">
        <v>0</v>
      </c>
      <c r="C191" s="1" t="s">
        <v>107</v>
      </c>
      <c r="D191" s="1" t="s">
        <v>27</v>
      </c>
      <c r="E191" s="1" t="s">
        <v>108</v>
      </c>
      <c r="F191" s="1" t="s">
        <v>109</v>
      </c>
      <c r="G191" s="1" t="s">
        <v>110</v>
      </c>
      <c r="I191" s="18">
        <v>42494.647083333337</v>
      </c>
      <c r="J191" s="1" t="s">
        <v>17</v>
      </c>
      <c r="K191" s="1" t="s">
        <v>18</v>
      </c>
      <c r="L191" s="1" t="s">
        <v>19</v>
      </c>
      <c r="Q191" s="21"/>
    </row>
    <row r="192" spans="1:22" x14ac:dyDescent="0.15">
      <c r="A192" s="1">
        <v>608156</v>
      </c>
      <c r="B192" s="1">
        <v>0</v>
      </c>
      <c r="C192" s="1" t="s">
        <v>305</v>
      </c>
      <c r="D192" s="1" t="s">
        <v>27</v>
      </c>
      <c r="E192" s="1" t="s">
        <v>977</v>
      </c>
      <c r="F192" s="1" t="s">
        <v>978</v>
      </c>
      <c r="G192" s="1" t="s">
        <v>23</v>
      </c>
      <c r="I192" s="18">
        <v>42490.48033564815</v>
      </c>
      <c r="J192" s="1" t="s">
        <v>311</v>
      </c>
      <c r="K192" s="1" t="s">
        <v>18</v>
      </c>
      <c r="L192" s="1" t="s">
        <v>19</v>
      </c>
      <c r="Q192" s="21"/>
    </row>
    <row r="193" spans="1:18" x14ac:dyDescent="0.15">
      <c r="A193" s="13">
        <v>607723</v>
      </c>
      <c r="B193" s="13">
        <v>0</v>
      </c>
      <c r="C193" s="12"/>
      <c r="D193" s="13" t="s">
        <v>4082</v>
      </c>
      <c r="E193" s="13" t="s">
        <v>4093</v>
      </c>
      <c r="F193" s="13" t="s">
        <v>4094</v>
      </c>
      <c r="G193" s="13" t="s">
        <v>16</v>
      </c>
      <c r="H193" s="13">
        <v>590803</v>
      </c>
      <c r="I193" s="23">
        <v>42488.950277777774</v>
      </c>
      <c r="J193" s="13" t="s">
        <v>17</v>
      </c>
      <c r="K193" s="13" t="s">
        <v>18</v>
      </c>
      <c r="L193" s="13" t="s">
        <v>19</v>
      </c>
      <c r="M193" s="13" t="s">
        <v>4085</v>
      </c>
      <c r="Q193" s="21"/>
    </row>
    <row r="194" spans="1:18" x14ac:dyDescent="0.15">
      <c r="A194" s="1">
        <v>607483</v>
      </c>
      <c r="B194" s="1">
        <v>0</v>
      </c>
      <c r="C194" s="1" t="s">
        <v>77</v>
      </c>
      <c r="D194" s="1" t="s">
        <v>27</v>
      </c>
      <c r="E194" s="1" t="s">
        <v>1985</v>
      </c>
      <c r="F194" s="1" t="s">
        <v>1986</v>
      </c>
      <c r="G194" s="1" t="s">
        <v>23</v>
      </c>
      <c r="I194" s="18">
        <v>42488.44158564815</v>
      </c>
      <c r="J194" s="1" t="s">
        <v>1987</v>
      </c>
      <c r="K194" s="1" t="s">
        <v>18</v>
      </c>
      <c r="L194" s="1" t="s">
        <v>19</v>
      </c>
      <c r="Q194" s="21"/>
    </row>
    <row r="195" spans="1:18" x14ac:dyDescent="0.15">
      <c r="A195" s="1">
        <v>606390</v>
      </c>
      <c r="B195" s="1">
        <v>0</v>
      </c>
      <c r="C195" s="1" t="s">
        <v>793</v>
      </c>
      <c r="D195" s="1" t="s">
        <v>27</v>
      </c>
      <c r="E195" s="1" t="s">
        <v>794</v>
      </c>
      <c r="F195" s="1" t="s">
        <v>795</v>
      </c>
      <c r="G195" s="1" t="s">
        <v>23</v>
      </c>
      <c r="I195" s="18">
        <v>42485.714270833334</v>
      </c>
      <c r="J195" s="1" t="s">
        <v>311</v>
      </c>
      <c r="K195" s="1" t="s">
        <v>18</v>
      </c>
      <c r="L195" s="1" t="s">
        <v>19</v>
      </c>
      <c r="Q195" s="21"/>
    </row>
    <row r="196" spans="1:18" x14ac:dyDescent="0.15">
      <c r="A196" s="1">
        <v>606115</v>
      </c>
      <c r="B196" s="1">
        <v>0</v>
      </c>
      <c r="C196" s="1" t="s">
        <v>101</v>
      </c>
      <c r="D196" s="1" t="s">
        <v>27</v>
      </c>
      <c r="E196" s="1" t="s">
        <v>1897</v>
      </c>
      <c r="F196" s="1" t="s">
        <v>1898</v>
      </c>
      <c r="G196" s="1"/>
      <c r="H196" s="1"/>
      <c r="I196" s="18">
        <v>42483.169062499997</v>
      </c>
      <c r="J196" s="1" t="s">
        <v>987</v>
      </c>
      <c r="K196" s="1" t="s">
        <v>18</v>
      </c>
      <c r="L196" s="1" t="s">
        <v>19</v>
      </c>
      <c r="Q196" s="21"/>
    </row>
    <row r="197" spans="1:18" x14ac:dyDescent="0.15">
      <c r="A197" s="1">
        <v>605910</v>
      </c>
      <c r="B197" s="1">
        <v>0</v>
      </c>
      <c r="C197" s="1" t="s">
        <v>77</v>
      </c>
      <c r="D197" s="1" t="s">
        <v>27</v>
      </c>
      <c r="E197" s="1" t="s">
        <v>2432</v>
      </c>
      <c r="F197" s="1" t="s">
        <v>2433</v>
      </c>
      <c r="G197" s="1"/>
      <c r="H197" s="1"/>
      <c r="I197" s="18">
        <v>42482.503206018519</v>
      </c>
      <c r="J197" s="1" t="s">
        <v>247</v>
      </c>
      <c r="K197" s="1" t="s">
        <v>18</v>
      </c>
      <c r="L197" s="1" t="s">
        <v>19</v>
      </c>
      <c r="Q197" s="21"/>
    </row>
    <row r="198" spans="1:18" x14ac:dyDescent="0.15">
      <c r="A198" s="1">
        <v>605766</v>
      </c>
      <c r="B198" s="1">
        <v>0</v>
      </c>
      <c r="C198" s="1" t="s">
        <v>1426</v>
      </c>
      <c r="D198" s="1" t="s">
        <v>27</v>
      </c>
      <c r="E198" s="1" t="s">
        <v>1865</v>
      </c>
      <c r="F198" s="1" t="s">
        <v>1866</v>
      </c>
      <c r="G198" s="1"/>
      <c r="H198" s="1"/>
      <c r="I198" s="18">
        <v>42481.951990740738</v>
      </c>
      <c r="J198" s="1" t="s">
        <v>247</v>
      </c>
      <c r="K198" s="1" t="s">
        <v>18</v>
      </c>
      <c r="L198" s="1" t="s">
        <v>19</v>
      </c>
      <c r="Q198" s="21"/>
    </row>
    <row r="199" spans="1:18" x14ac:dyDescent="0.15">
      <c r="A199" s="1">
        <v>605491</v>
      </c>
      <c r="B199" s="1">
        <v>0</v>
      </c>
      <c r="C199" s="1" t="s">
        <v>12</v>
      </c>
      <c r="D199" s="1" t="s">
        <v>27</v>
      </c>
      <c r="E199" s="1" t="s">
        <v>1895</v>
      </c>
      <c r="F199" s="1" t="s">
        <v>1896</v>
      </c>
      <c r="G199" s="1" t="s">
        <v>16</v>
      </c>
      <c r="I199" s="18">
        <v>42481.458425925928</v>
      </c>
      <c r="J199" s="1" t="s">
        <v>17</v>
      </c>
      <c r="K199" s="1" t="s">
        <v>18</v>
      </c>
      <c r="L199" s="1" t="s">
        <v>19</v>
      </c>
      <c r="Q199" s="21"/>
    </row>
    <row r="200" spans="1:18" x14ac:dyDescent="0.15">
      <c r="A200" s="1">
        <v>604901</v>
      </c>
      <c r="B200" s="1">
        <v>0</v>
      </c>
      <c r="C200" s="1" t="s">
        <v>305</v>
      </c>
      <c r="D200" s="1" t="s">
        <v>27</v>
      </c>
      <c r="E200" s="1" t="s">
        <v>2118</v>
      </c>
      <c r="F200" s="1" t="s">
        <v>2119</v>
      </c>
      <c r="G200" s="1" t="s">
        <v>23</v>
      </c>
      <c r="I200" s="18">
        <v>42479.901238425926</v>
      </c>
      <c r="J200" s="1" t="s">
        <v>311</v>
      </c>
      <c r="K200" s="1" t="s">
        <v>18</v>
      </c>
      <c r="L200" s="1" t="s">
        <v>19</v>
      </c>
      <c r="Q200" s="21"/>
    </row>
    <row r="201" spans="1:18" x14ac:dyDescent="0.15">
      <c r="A201" s="1">
        <v>603732</v>
      </c>
      <c r="B201" s="1">
        <v>0</v>
      </c>
      <c r="C201" s="1" t="s">
        <v>305</v>
      </c>
      <c r="D201" s="1" t="s">
        <v>27</v>
      </c>
      <c r="E201" s="1" t="s">
        <v>1195</v>
      </c>
      <c r="F201" s="1" t="s">
        <v>1196</v>
      </c>
      <c r="G201" s="1" t="s">
        <v>23</v>
      </c>
      <c r="I201" s="18">
        <v>42474.926215277781</v>
      </c>
      <c r="J201" s="1" t="s">
        <v>311</v>
      </c>
      <c r="K201" s="1" t="s">
        <v>18</v>
      </c>
      <c r="L201" s="1" t="s">
        <v>19</v>
      </c>
      <c r="Q201" s="21"/>
    </row>
    <row r="202" spans="1:18" x14ac:dyDescent="0.15">
      <c r="A202" s="1">
        <v>603129</v>
      </c>
      <c r="B202" s="1">
        <v>0</v>
      </c>
      <c r="C202" s="1" t="s">
        <v>369</v>
      </c>
      <c r="D202" s="1" t="s">
        <v>3911</v>
      </c>
      <c r="E202" s="1" t="s">
        <v>3924</v>
      </c>
      <c r="F202" s="1" t="s">
        <v>3925</v>
      </c>
      <c r="G202" s="1"/>
      <c r="H202" s="1"/>
      <c r="I202" s="18">
        <v>42473.606377314813</v>
      </c>
      <c r="J202" s="1" t="s">
        <v>3926</v>
      </c>
      <c r="K202" s="1" t="s">
        <v>18</v>
      </c>
      <c r="L202" s="1" t="s">
        <v>19</v>
      </c>
      <c r="Q202" s="21"/>
    </row>
    <row r="203" spans="1:18" x14ac:dyDescent="0.15">
      <c r="A203" s="1">
        <v>602185</v>
      </c>
      <c r="B203" s="1">
        <v>0</v>
      </c>
      <c r="C203" s="1" t="s">
        <v>50</v>
      </c>
      <c r="D203" s="1" t="s">
        <v>27</v>
      </c>
      <c r="E203" s="1" t="s">
        <v>625</v>
      </c>
      <c r="F203" s="1" t="s">
        <v>626</v>
      </c>
      <c r="G203" s="1" t="s">
        <v>16</v>
      </c>
      <c r="I203" s="18">
        <v>42471.328240740739</v>
      </c>
      <c r="J203" s="1" t="s">
        <v>17</v>
      </c>
      <c r="K203" s="1" t="s">
        <v>18</v>
      </c>
      <c r="L203" s="1" t="s">
        <v>19</v>
      </c>
      <c r="Q203" s="21"/>
    </row>
    <row r="204" spans="1:18" x14ac:dyDescent="0.15">
      <c r="A204" s="1">
        <v>602117</v>
      </c>
      <c r="B204" s="1">
        <v>1</v>
      </c>
      <c r="C204" s="1" t="s">
        <v>12</v>
      </c>
      <c r="D204" s="1" t="s">
        <v>4082</v>
      </c>
      <c r="E204" s="1" t="s">
        <v>4126</v>
      </c>
      <c r="F204" s="1" t="s">
        <v>4127</v>
      </c>
      <c r="G204" s="1" t="s">
        <v>23</v>
      </c>
      <c r="H204" s="1">
        <v>601362</v>
      </c>
      <c r="I204" s="22">
        <v>42470.666759259257</v>
      </c>
      <c r="J204" s="1" t="s">
        <v>4128</v>
      </c>
      <c r="K204" s="1" t="s">
        <v>18</v>
      </c>
      <c r="L204" s="1" t="s">
        <v>19</v>
      </c>
      <c r="M204" s="1">
        <v>601362</v>
      </c>
      <c r="N204" s="14" t="s">
        <v>379</v>
      </c>
      <c r="O204" s="22">
        <v>42467</v>
      </c>
      <c r="Q204" s="21">
        <f t="shared" ref="Q204:Q261" si="3">ABS(O204-I204)</f>
        <v>3.6667592592566507</v>
      </c>
    </row>
    <row r="205" spans="1:18" x14ac:dyDescent="0.15">
      <c r="A205" s="1">
        <v>601801</v>
      </c>
      <c r="B205" s="1">
        <v>0</v>
      </c>
      <c r="C205" s="1" t="s">
        <v>3713</v>
      </c>
      <c r="D205" s="1" t="s">
        <v>3714</v>
      </c>
      <c r="E205" s="1" t="s">
        <v>3715</v>
      </c>
      <c r="F205" s="1" t="s">
        <v>3716</v>
      </c>
      <c r="G205" s="1" t="s">
        <v>668</v>
      </c>
      <c r="H205" s="1"/>
      <c r="I205" s="18">
        <v>42468.657581018517</v>
      </c>
      <c r="J205" s="1" t="s">
        <v>2558</v>
      </c>
      <c r="K205" s="1" t="s">
        <v>18</v>
      </c>
      <c r="L205" s="1" t="s">
        <v>19</v>
      </c>
      <c r="Q205" s="21"/>
    </row>
    <row r="206" spans="1:18" x14ac:dyDescent="0.15">
      <c r="A206" s="1">
        <v>601629</v>
      </c>
      <c r="B206" s="1">
        <v>1</v>
      </c>
      <c r="C206" s="1" t="s">
        <v>505</v>
      </c>
      <c r="D206" s="1" t="s">
        <v>27</v>
      </c>
      <c r="E206" s="1" t="s">
        <v>506</v>
      </c>
      <c r="F206" s="1" t="s">
        <v>507</v>
      </c>
      <c r="G206" s="1" t="s">
        <v>23</v>
      </c>
      <c r="I206" s="18">
        <v>42467.945543981485</v>
      </c>
      <c r="J206" s="1" t="s">
        <v>508</v>
      </c>
      <c r="K206" s="1" t="s">
        <v>18</v>
      </c>
      <c r="L206" s="1" t="s">
        <v>19</v>
      </c>
      <c r="M206" s="1">
        <v>602821</v>
      </c>
      <c r="N206" s="1" t="s">
        <v>509</v>
      </c>
      <c r="O206" s="18">
        <v>42472.973032407404</v>
      </c>
      <c r="P206" s="1" t="s">
        <v>504</v>
      </c>
      <c r="Q206" s="21">
        <f t="shared" si="3"/>
        <v>5.0274884259197279</v>
      </c>
      <c r="R206" s="1"/>
    </row>
    <row r="207" spans="1:18" x14ac:dyDescent="0.15">
      <c r="A207" s="1">
        <v>600777</v>
      </c>
      <c r="B207" s="1">
        <v>0</v>
      </c>
      <c r="C207" s="1" t="s">
        <v>12</v>
      </c>
      <c r="D207" s="1" t="s">
        <v>27</v>
      </c>
      <c r="E207" s="1" t="s">
        <v>652</v>
      </c>
      <c r="F207" s="1" t="s">
        <v>653</v>
      </c>
      <c r="G207" s="1"/>
      <c r="H207" s="1"/>
      <c r="I207" s="18">
        <v>42465.770509259259</v>
      </c>
      <c r="J207" s="1" t="s">
        <v>454</v>
      </c>
      <c r="K207" s="1" t="s">
        <v>18</v>
      </c>
      <c r="L207" s="1" t="s">
        <v>19</v>
      </c>
      <c r="Q207" s="21"/>
    </row>
    <row r="208" spans="1:18" x14ac:dyDescent="0.15">
      <c r="A208" s="1">
        <v>600182</v>
      </c>
      <c r="B208" s="1">
        <v>0</v>
      </c>
      <c r="C208" s="1" t="s">
        <v>244</v>
      </c>
      <c r="D208" s="1" t="s">
        <v>27</v>
      </c>
      <c r="E208" s="1" t="s">
        <v>245</v>
      </c>
      <c r="F208" s="1" t="s">
        <v>246</v>
      </c>
      <c r="G208" s="1" t="s">
        <v>23</v>
      </c>
      <c r="I208" s="18">
        <v>42463.302719907406</v>
      </c>
      <c r="J208" s="1" t="s">
        <v>247</v>
      </c>
      <c r="K208" s="1" t="s">
        <v>18</v>
      </c>
      <c r="L208" s="1" t="s">
        <v>19</v>
      </c>
      <c r="Q208" s="21"/>
    </row>
    <row r="209" spans="1:18" x14ac:dyDescent="0.15">
      <c r="A209" s="1">
        <v>599866</v>
      </c>
      <c r="B209" s="1">
        <v>0</v>
      </c>
      <c r="C209" s="1" t="s">
        <v>268</v>
      </c>
      <c r="D209" s="1" t="s">
        <v>27</v>
      </c>
      <c r="E209" s="1" t="s">
        <v>1890</v>
      </c>
      <c r="F209" s="1" t="s">
        <v>1891</v>
      </c>
      <c r="G209" s="1" t="s">
        <v>16</v>
      </c>
      <c r="I209" s="18">
        <v>42461.601319444446</v>
      </c>
      <c r="J209" s="1" t="s">
        <v>17</v>
      </c>
      <c r="K209" s="1" t="s">
        <v>18</v>
      </c>
      <c r="L209" s="1" t="s">
        <v>19</v>
      </c>
      <c r="Q209" s="21"/>
    </row>
    <row r="210" spans="1:18" x14ac:dyDescent="0.15">
      <c r="A210" s="13">
        <v>599860</v>
      </c>
      <c r="B210" s="13">
        <v>0</v>
      </c>
      <c r="C210" s="12"/>
      <c r="D210" s="13" t="s">
        <v>4082</v>
      </c>
      <c r="E210" s="13" t="s">
        <v>4093</v>
      </c>
      <c r="F210" s="13" t="s">
        <v>4107</v>
      </c>
      <c r="G210" s="13" t="s">
        <v>16</v>
      </c>
      <c r="H210" s="13">
        <v>590803</v>
      </c>
      <c r="I210" s="23">
        <v>42461.585995370369</v>
      </c>
      <c r="J210" s="13" t="s">
        <v>17</v>
      </c>
      <c r="K210" s="13" t="s">
        <v>18</v>
      </c>
      <c r="L210" s="13" t="s">
        <v>19</v>
      </c>
      <c r="M210" s="13" t="s">
        <v>4085</v>
      </c>
      <c r="Q210" s="21"/>
    </row>
    <row r="211" spans="1:18" x14ac:dyDescent="0.15">
      <c r="A211" s="1">
        <v>599627</v>
      </c>
      <c r="B211" s="1">
        <v>0</v>
      </c>
      <c r="C211" s="1" t="s">
        <v>268</v>
      </c>
      <c r="D211" s="1" t="s">
        <v>27</v>
      </c>
      <c r="E211" s="1" t="s">
        <v>768</v>
      </c>
      <c r="F211" s="1" t="s">
        <v>769</v>
      </c>
      <c r="G211" s="1" t="s">
        <v>16</v>
      </c>
      <c r="I211" s="18">
        <v>42460.865486111114</v>
      </c>
      <c r="J211" s="1" t="s">
        <v>17</v>
      </c>
      <c r="K211" s="1" t="s">
        <v>18</v>
      </c>
      <c r="L211" s="1" t="s">
        <v>19</v>
      </c>
      <c r="Q211" s="21"/>
    </row>
    <row r="212" spans="1:18" x14ac:dyDescent="0.15">
      <c r="A212" s="1">
        <v>599081</v>
      </c>
      <c r="B212" s="1">
        <v>0</v>
      </c>
      <c r="C212" s="1" t="s">
        <v>470</v>
      </c>
      <c r="D212" s="1" t="s">
        <v>27</v>
      </c>
      <c r="E212" s="1" t="s">
        <v>3419</v>
      </c>
      <c r="F212" s="1" t="s">
        <v>3420</v>
      </c>
      <c r="G212" s="1" t="s">
        <v>23</v>
      </c>
      <c r="I212" s="18">
        <v>42459.483773148146</v>
      </c>
      <c r="J212" s="1" t="s">
        <v>1026</v>
      </c>
      <c r="K212" s="1" t="s">
        <v>18</v>
      </c>
      <c r="L212" s="1" t="s">
        <v>19</v>
      </c>
      <c r="Q212" s="21"/>
    </row>
    <row r="213" spans="1:18" x14ac:dyDescent="0.15">
      <c r="A213" s="1">
        <v>599067</v>
      </c>
      <c r="B213" s="1">
        <v>0</v>
      </c>
      <c r="C213" s="1" t="s">
        <v>101</v>
      </c>
      <c r="D213" s="1" t="s">
        <v>27</v>
      </c>
      <c r="E213" s="1" t="s">
        <v>316</v>
      </c>
      <c r="F213" s="1" t="s">
        <v>317</v>
      </c>
      <c r="G213" s="1" t="s">
        <v>16</v>
      </c>
      <c r="I213" s="18">
        <v>42459.464456018519</v>
      </c>
      <c r="J213" s="1" t="s">
        <v>17</v>
      </c>
      <c r="K213" s="1" t="s">
        <v>18</v>
      </c>
      <c r="L213" s="1" t="s">
        <v>19</v>
      </c>
      <c r="Q213" s="21"/>
    </row>
    <row r="214" spans="1:18" x14ac:dyDescent="0.15">
      <c r="A214" s="1">
        <v>599003</v>
      </c>
      <c r="B214" s="1">
        <v>0</v>
      </c>
      <c r="C214" s="1" t="s">
        <v>101</v>
      </c>
      <c r="D214" s="1" t="s">
        <v>27</v>
      </c>
      <c r="E214" s="1" t="s">
        <v>1619</v>
      </c>
      <c r="F214" s="1" t="s">
        <v>1620</v>
      </c>
      <c r="G214" s="1" t="s">
        <v>16</v>
      </c>
      <c r="I214" s="18">
        <v>42459.319768518515</v>
      </c>
      <c r="J214" s="1" t="s">
        <v>17</v>
      </c>
      <c r="K214" s="1" t="s">
        <v>18</v>
      </c>
      <c r="L214" s="1" t="s">
        <v>19</v>
      </c>
      <c r="Q214" s="21"/>
    </row>
    <row r="215" spans="1:18" x14ac:dyDescent="0.15">
      <c r="A215" s="1">
        <v>598165</v>
      </c>
      <c r="B215" s="1">
        <v>0</v>
      </c>
      <c r="C215" s="1" t="s">
        <v>305</v>
      </c>
      <c r="D215" s="1" t="s">
        <v>27</v>
      </c>
      <c r="E215" s="1" t="s">
        <v>2572</v>
      </c>
      <c r="F215" s="1" t="s">
        <v>2573</v>
      </c>
      <c r="G215" s="1"/>
      <c r="H215" s="1"/>
      <c r="I215" s="18">
        <v>42455.698819444442</v>
      </c>
      <c r="J215" s="1" t="s">
        <v>247</v>
      </c>
      <c r="K215" s="1" t="s">
        <v>18</v>
      </c>
      <c r="L215" s="1" t="s">
        <v>19</v>
      </c>
      <c r="Q215" s="21"/>
    </row>
    <row r="216" spans="1:18" x14ac:dyDescent="0.15">
      <c r="A216" s="1">
        <v>597625</v>
      </c>
      <c r="B216" s="1">
        <v>0</v>
      </c>
      <c r="C216" s="1" t="s">
        <v>1758</v>
      </c>
      <c r="D216" s="1" t="s">
        <v>27</v>
      </c>
      <c r="E216" s="1" t="s">
        <v>1759</v>
      </c>
      <c r="F216" s="1" t="s">
        <v>1760</v>
      </c>
      <c r="G216" s="1" t="s">
        <v>23</v>
      </c>
      <c r="I216" s="18">
        <v>42453.625162037039</v>
      </c>
      <c r="J216" s="1" t="s">
        <v>1026</v>
      </c>
      <c r="K216" s="1" t="s">
        <v>18</v>
      </c>
      <c r="L216" s="1" t="s">
        <v>19</v>
      </c>
      <c r="Q216" s="21"/>
    </row>
    <row r="217" spans="1:18" x14ac:dyDescent="0.15">
      <c r="A217" s="1">
        <v>597532</v>
      </c>
      <c r="B217" s="1">
        <v>0</v>
      </c>
      <c r="C217" s="1" t="s">
        <v>927</v>
      </c>
      <c r="D217" s="1" t="s">
        <v>27</v>
      </c>
      <c r="E217" s="1" t="s">
        <v>1635</v>
      </c>
      <c r="F217" s="1" t="s">
        <v>1636</v>
      </c>
      <c r="G217" s="1"/>
      <c r="H217" s="1"/>
      <c r="I217" s="18">
        <v>42453.30201388889</v>
      </c>
      <c r="J217" s="1" t="s">
        <v>247</v>
      </c>
      <c r="K217" s="1" t="s">
        <v>18</v>
      </c>
      <c r="L217" s="1" t="s">
        <v>19</v>
      </c>
      <c r="Q217" s="21"/>
    </row>
    <row r="218" spans="1:18" x14ac:dyDescent="0.15">
      <c r="A218" s="1">
        <v>597333</v>
      </c>
      <c r="B218" s="1">
        <v>0</v>
      </c>
      <c r="C218" s="1" t="s">
        <v>1742</v>
      </c>
      <c r="D218" s="1" t="s">
        <v>3714</v>
      </c>
      <c r="E218" s="1" t="s">
        <v>3811</v>
      </c>
      <c r="F218" s="1" t="s">
        <v>3812</v>
      </c>
      <c r="G218" s="1" t="s">
        <v>1056</v>
      </c>
      <c r="I218" s="18">
        <v>42452.773055555554</v>
      </c>
      <c r="J218" s="1" t="s">
        <v>1608</v>
      </c>
      <c r="K218" s="1" t="s">
        <v>18</v>
      </c>
      <c r="L218" s="1" t="s">
        <v>19</v>
      </c>
      <c r="Q218" s="21"/>
    </row>
    <row r="219" spans="1:18" x14ac:dyDescent="0.15">
      <c r="A219" s="13">
        <v>596314</v>
      </c>
      <c r="B219" s="13">
        <v>0</v>
      </c>
      <c r="C219" s="13" t="s">
        <v>1742</v>
      </c>
      <c r="D219" s="13" t="s">
        <v>4082</v>
      </c>
      <c r="E219" s="13" t="s">
        <v>4090</v>
      </c>
      <c r="F219" s="13" t="s">
        <v>4091</v>
      </c>
      <c r="G219" s="13" t="s">
        <v>1056</v>
      </c>
      <c r="H219" s="13">
        <v>579179</v>
      </c>
      <c r="I219" s="23">
        <v>42449.500659722224</v>
      </c>
      <c r="J219" s="13" t="s">
        <v>4092</v>
      </c>
      <c r="K219" s="13" t="s">
        <v>18</v>
      </c>
      <c r="L219" s="13" t="s">
        <v>19</v>
      </c>
      <c r="M219" s="13" t="s">
        <v>4085</v>
      </c>
      <c r="Q219" s="21"/>
    </row>
    <row r="220" spans="1:18" x14ac:dyDescent="0.15">
      <c r="A220" s="1">
        <v>595836</v>
      </c>
      <c r="B220" s="1">
        <v>0</v>
      </c>
      <c r="C220" s="1" t="s">
        <v>2227</v>
      </c>
      <c r="D220" s="1" t="s">
        <v>27</v>
      </c>
      <c r="E220" s="1" t="s">
        <v>2910</v>
      </c>
      <c r="F220" s="1" t="s">
        <v>2911</v>
      </c>
      <c r="G220" s="1"/>
      <c r="H220" s="1"/>
      <c r="I220" s="18">
        <v>42446.827222222222</v>
      </c>
      <c r="J220" s="1" t="s">
        <v>40</v>
      </c>
      <c r="K220" s="1" t="s">
        <v>18</v>
      </c>
      <c r="L220" s="1" t="s">
        <v>19</v>
      </c>
      <c r="Q220" s="21"/>
    </row>
    <row r="221" spans="1:18" x14ac:dyDescent="0.15">
      <c r="A221" s="1">
        <v>595834</v>
      </c>
      <c r="B221" s="1">
        <v>0</v>
      </c>
      <c r="C221" s="1" t="s">
        <v>2227</v>
      </c>
      <c r="D221" s="1" t="s">
        <v>27</v>
      </c>
      <c r="E221" s="1" t="s">
        <v>3681</v>
      </c>
      <c r="F221" s="1" t="s">
        <v>3682</v>
      </c>
      <c r="G221" s="1" t="s">
        <v>159</v>
      </c>
      <c r="I221" s="18">
        <v>42446.823460648149</v>
      </c>
      <c r="J221" s="1" t="s">
        <v>758</v>
      </c>
      <c r="K221" s="1" t="s">
        <v>3586</v>
      </c>
      <c r="L221" s="1" t="s">
        <v>19</v>
      </c>
      <c r="Q221" s="21"/>
    </row>
    <row r="222" spans="1:18" x14ac:dyDescent="0.15">
      <c r="A222" s="1">
        <v>595259</v>
      </c>
      <c r="B222" s="1">
        <v>1</v>
      </c>
      <c r="C222" s="1" t="s">
        <v>101</v>
      </c>
      <c r="D222" s="1" t="s">
        <v>27</v>
      </c>
      <c r="E222" s="1" t="s">
        <v>221</v>
      </c>
      <c r="F222" s="1" t="s">
        <v>222</v>
      </c>
      <c r="G222" s="1" t="s">
        <v>16</v>
      </c>
      <c r="I222" s="18">
        <v>42445.361064814817</v>
      </c>
      <c r="J222" s="1" t="s">
        <v>17</v>
      </c>
      <c r="K222" s="1" t="s">
        <v>18</v>
      </c>
      <c r="L222" s="1" t="s">
        <v>19</v>
      </c>
      <c r="M222" s="1">
        <v>594912</v>
      </c>
      <c r="N222" s="1" t="s">
        <v>223</v>
      </c>
      <c r="O222" s="18">
        <v>42444.3516087963</v>
      </c>
      <c r="P222" s="1" t="s">
        <v>224</v>
      </c>
      <c r="Q222" s="21">
        <f t="shared" si="3"/>
        <v>1.0094560185170849</v>
      </c>
      <c r="R222" s="1"/>
    </row>
    <row r="223" spans="1:18" x14ac:dyDescent="0.15">
      <c r="A223" s="1">
        <v>594574</v>
      </c>
      <c r="B223" s="1">
        <v>1</v>
      </c>
      <c r="C223" s="1" t="s">
        <v>101</v>
      </c>
      <c r="D223" s="1" t="s">
        <v>27</v>
      </c>
      <c r="E223" s="1" t="s">
        <v>2698</v>
      </c>
      <c r="F223" s="1" t="s">
        <v>2699</v>
      </c>
      <c r="G223" s="1"/>
      <c r="H223" s="1"/>
      <c r="I223" s="18">
        <v>42443.668749999997</v>
      </c>
      <c r="J223" s="1" t="s">
        <v>2700</v>
      </c>
      <c r="K223" s="1" t="s">
        <v>18</v>
      </c>
      <c r="L223" s="1" t="s">
        <v>19</v>
      </c>
      <c r="M223" s="1">
        <v>595485</v>
      </c>
      <c r="N223" s="1" t="s">
        <v>2701</v>
      </c>
      <c r="O223" s="18">
        <v>42445.958912037036</v>
      </c>
      <c r="P223" s="1" t="s">
        <v>758</v>
      </c>
      <c r="Q223" s="21">
        <f t="shared" si="3"/>
        <v>2.2901620370394085</v>
      </c>
      <c r="R223" s="1"/>
    </row>
    <row r="224" spans="1:18" x14ac:dyDescent="0.15">
      <c r="A224" s="1">
        <v>594004</v>
      </c>
      <c r="B224" s="1">
        <v>0</v>
      </c>
      <c r="C224" s="1" t="s">
        <v>137</v>
      </c>
      <c r="D224" s="1" t="s">
        <v>27</v>
      </c>
      <c r="E224" s="1" t="s">
        <v>1832</v>
      </c>
      <c r="F224" s="1" t="s">
        <v>1833</v>
      </c>
      <c r="G224" s="1"/>
      <c r="H224" s="1"/>
      <c r="I224" s="18">
        <v>42440.082673611112</v>
      </c>
      <c r="J224" s="1" t="s">
        <v>140</v>
      </c>
      <c r="K224" s="1" t="s">
        <v>18</v>
      </c>
      <c r="L224" s="1" t="s">
        <v>19</v>
      </c>
      <c r="Q224" s="21"/>
    </row>
    <row r="225" spans="1:18" x14ac:dyDescent="0.15">
      <c r="A225" s="1">
        <v>592361</v>
      </c>
      <c r="B225" s="1">
        <v>0</v>
      </c>
      <c r="C225" s="1" t="s">
        <v>101</v>
      </c>
      <c r="D225" s="1" t="s">
        <v>27</v>
      </c>
      <c r="E225" s="1" t="s">
        <v>1906</v>
      </c>
      <c r="F225" s="1" t="s">
        <v>1907</v>
      </c>
      <c r="G225" s="1" t="s">
        <v>16</v>
      </c>
      <c r="I225" s="18">
        <v>42436.40042824074</v>
      </c>
      <c r="J225" s="1" t="s">
        <v>17</v>
      </c>
      <c r="K225" s="1" t="s">
        <v>18</v>
      </c>
      <c r="L225" s="1" t="s">
        <v>19</v>
      </c>
      <c r="Q225" s="21"/>
    </row>
    <row r="226" spans="1:18" x14ac:dyDescent="0.15">
      <c r="A226" s="1">
        <v>590882</v>
      </c>
      <c r="B226" s="1">
        <v>0</v>
      </c>
      <c r="C226" s="1" t="s">
        <v>170</v>
      </c>
      <c r="D226" s="1" t="s">
        <v>27</v>
      </c>
      <c r="E226" s="1" t="s">
        <v>1881</v>
      </c>
      <c r="F226" s="1" t="s">
        <v>1882</v>
      </c>
      <c r="G226" s="1" t="s">
        <v>159</v>
      </c>
      <c r="I226" s="18">
        <v>42429.947222222225</v>
      </c>
      <c r="J226" s="1" t="s">
        <v>1883</v>
      </c>
      <c r="K226" s="1" t="s">
        <v>18</v>
      </c>
      <c r="L226" s="1" t="s">
        <v>19</v>
      </c>
      <c r="Q226" s="21"/>
    </row>
    <row r="227" spans="1:18" x14ac:dyDescent="0.15">
      <c r="A227" s="1">
        <v>590620</v>
      </c>
      <c r="B227" s="1">
        <v>0</v>
      </c>
      <c r="C227" s="1" t="s">
        <v>268</v>
      </c>
      <c r="D227" s="1" t="s">
        <v>27</v>
      </c>
      <c r="E227" s="1" t="s">
        <v>2342</v>
      </c>
      <c r="F227" s="1" t="s">
        <v>2343</v>
      </c>
      <c r="G227" s="1" t="s">
        <v>16</v>
      </c>
      <c r="I227" s="18">
        <v>42429.00712962963</v>
      </c>
      <c r="J227" s="1" t="s">
        <v>17</v>
      </c>
      <c r="K227" s="1" t="s">
        <v>18</v>
      </c>
      <c r="L227" s="1" t="s">
        <v>19</v>
      </c>
      <c r="Q227" s="21"/>
    </row>
    <row r="228" spans="1:18" x14ac:dyDescent="0.15">
      <c r="A228" s="1">
        <v>590284</v>
      </c>
      <c r="B228" s="1">
        <v>0</v>
      </c>
      <c r="C228" s="1" t="s">
        <v>466</v>
      </c>
      <c r="D228" s="1" t="s">
        <v>27</v>
      </c>
      <c r="E228" s="1" t="s">
        <v>467</v>
      </c>
      <c r="F228" s="1" t="s">
        <v>468</v>
      </c>
      <c r="G228" s="1" t="s">
        <v>23</v>
      </c>
      <c r="I228" s="18">
        <v>42426.792453703703</v>
      </c>
      <c r="J228" s="1" t="s">
        <v>469</v>
      </c>
      <c r="K228" s="1" t="s">
        <v>18</v>
      </c>
      <c r="L228" s="1" t="s">
        <v>19</v>
      </c>
      <c r="Q228" s="21"/>
    </row>
    <row r="229" spans="1:18" x14ac:dyDescent="0.15">
      <c r="A229" s="1">
        <v>590118</v>
      </c>
      <c r="B229" s="1">
        <v>0</v>
      </c>
      <c r="C229" s="1" t="s">
        <v>305</v>
      </c>
      <c r="D229" s="1" t="s">
        <v>27</v>
      </c>
      <c r="E229" s="1" t="s">
        <v>786</v>
      </c>
      <c r="F229" s="1" t="s">
        <v>787</v>
      </c>
      <c r="G229" s="1" t="s">
        <v>23</v>
      </c>
      <c r="I229" s="18">
        <v>42426.237141203703</v>
      </c>
      <c r="J229" s="1" t="s">
        <v>247</v>
      </c>
      <c r="K229" s="1" t="s">
        <v>18</v>
      </c>
      <c r="L229" s="1" t="s">
        <v>19</v>
      </c>
      <c r="Q229" s="21"/>
    </row>
    <row r="230" spans="1:18" x14ac:dyDescent="0.15">
      <c r="A230" s="1">
        <v>589848</v>
      </c>
      <c r="B230" s="1">
        <v>1</v>
      </c>
      <c r="C230" s="1" t="s">
        <v>446</v>
      </c>
      <c r="D230" s="1" t="s">
        <v>27</v>
      </c>
      <c r="E230" s="1" t="s">
        <v>447</v>
      </c>
      <c r="F230" s="1" t="s">
        <v>448</v>
      </c>
      <c r="G230" s="1"/>
      <c r="H230" s="1"/>
      <c r="I230" s="18">
        <v>42425.702534722222</v>
      </c>
      <c r="J230" s="1" t="s">
        <v>408</v>
      </c>
      <c r="K230" s="1" t="s">
        <v>18</v>
      </c>
      <c r="L230" s="1" t="s">
        <v>19</v>
      </c>
      <c r="M230" s="1">
        <v>590622</v>
      </c>
      <c r="N230" s="1" t="s">
        <v>449</v>
      </c>
      <c r="O230" s="18">
        <v>42429.008888888886</v>
      </c>
      <c r="P230" s="1" t="s">
        <v>17</v>
      </c>
      <c r="Q230" s="21">
        <f t="shared" si="3"/>
        <v>3.3063541666633682</v>
      </c>
      <c r="R230" s="1"/>
    </row>
    <row r="231" spans="1:18" x14ac:dyDescent="0.15">
      <c r="A231" s="1">
        <v>589838</v>
      </c>
      <c r="B231" s="1">
        <v>0</v>
      </c>
      <c r="D231" s="1" t="s">
        <v>27</v>
      </c>
      <c r="E231" s="1" t="s">
        <v>2915</v>
      </c>
      <c r="F231" s="1" t="s">
        <v>2916</v>
      </c>
      <c r="G231" s="1" t="s">
        <v>159</v>
      </c>
      <c r="I231" s="18">
        <v>42425.649826388886</v>
      </c>
      <c r="J231" s="1" t="s">
        <v>68</v>
      </c>
      <c r="K231" s="1" t="s">
        <v>18</v>
      </c>
      <c r="L231" s="1" t="s">
        <v>19</v>
      </c>
      <c r="Q231" s="21"/>
    </row>
    <row r="232" spans="1:18" x14ac:dyDescent="0.15">
      <c r="A232" s="1">
        <v>589792</v>
      </c>
      <c r="B232" s="1">
        <v>0</v>
      </c>
      <c r="C232" s="1" t="s">
        <v>101</v>
      </c>
      <c r="D232" s="1" t="s">
        <v>27</v>
      </c>
      <c r="E232" s="1" t="s">
        <v>1877</v>
      </c>
      <c r="F232" s="1" t="s">
        <v>1878</v>
      </c>
      <c r="G232" s="1"/>
      <c r="H232" s="1"/>
      <c r="I232" s="18">
        <v>42425.496793981481</v>
      </c>
      <c r="J232" s="1" t="s">
        <v>987</v>
      </c>
      <c r="K232" s="1" t="s">
        <v>18</v>
      </c>
      <c r="L232" s="1" t="s">
        <v>19</v>
      </c>
      <c r="Q232" s="21"/>
    </row>
    <row r="233" spans="1:18" x14ac:dyDescent="0.15">
      <c r="A233" s="1">
        <v>589186</v>
      </c>
      <c r="B233" s="1">
        <v>0</v>
      </c>
      <c r="C233" s="1" t="s">
        <v>3664</v>
      </c>
      <c r="D233" s="1" t="s">
        <v>27</v>
      </c>
      <c r="E233" s="1" t="s">
        <v>3665</v>
      </c>
      <c r="F233" s="1" t="s">
        <v>3666</v>
      </c>
      <c r="G233" s="1" t="s">
        <v>23</v>
      </c>
      <c r="I233" s="18">
        <v>42423.827291666668</v>
      </c>
      <c r="J233" s="1" t="s">
        <v>3667</v>
      </c>
      <c r="K233" s="1" t="s">
        <v>3586</v>
      </c>
      <c r="L233" s="1" t="s">
        <v>19</v>
      </c>
      <c r="Q233" s="21"/>
    </row>
    <row r="234" spans="1:18" x14ac:dyDescent="0.15">
      <c r="A234" s="1">
        <v>588548</v>
      </c>
      <c r="B234" s="1">
        <v>0</v>
      </c>
      <c r="C234" s="1" t="s">
        <v>268</v>
      </c>
      <c r="D234" s="1" t="s">
        <v>27</v>
      </c>
      <c r="E234" s="1" t="s">
        <v>460</v>
      </c>
      <c r="F234" s="1" t="s">
        <v>461</v>
      </c>
      <c r="G234" s="1" t="s">
        <v>23</v>
      </c>
      <c r="I234" s="18">
        <v>42422.223495370374</v>
      </c>
      <c r="J234" s="1" t="s">
        <v>17</v>
      </c>
      <c r="K234" s="1" t="s">
        <v>18</v>
      </c>
      <c r="L234" s="1" t="s">
        <v>19</v>
      </c>
      <c r="Q234" s="21"/>
    </row>
    <row r="235" spans="1:18" x14ac:dyDescent="0.15">
      <c r="A235" s="1">
        <v>588445</v>
      </c>
      <c r="B235" s="1">
        <v>0</v>
      </c>
      <c r="C235" s="1" t="s">
        <v>3918</v>
      </c>
      <c r="D235" s="1" t="s">
        <v>3911</v>
      </c>
      <c r="E235" s="1" t="s">
        <v>3919</v>
      </c>
      <c r="F235" s="1" t="s">
        <v>3920</v>
      </c>
      <c r="G235" s="1"/>
      <c r="H235" s="1"/>
      <c r="I235" s="18">
        <v>42420.807175925926</v>
      </c>
      <c r="J235" s="1" t="s">
        <v>3921</v>
      </c>
      <c r="K235" s="1" t="s">
        <v>18</v>
      </c>
      <c r="L235" s="1" t="s">
        <v>19</v>
      </c>
      <c r="Q235" s="21"/>
    </row>
    <row r="236" spans="1:18" x14ac:dyDescent="0.15">
      <c r="A236" s="1">
        <v>587897</v>
      </c>
      <c r="B236" s="1">
        <v>0</v>
      </c>
      <c r="C236" s="1" t="s">
        <v>1824</v>
      </c>
      <c r="D236" s="1" t="s">
        <v>27</v>
      </c>
      <c r="E236" s="1" t="s">
        <v>1825</v>
      </c>
      <c r="F236" s="1" t="s">
        <v>1826</v>
      </c>
      <c r="G236" s="1" t="s">
        <v>23</v>
      </c>
      <c r="I236" s="18">
        <v>42418.741180555553</v>
      </c>
      <c r="J236" s="1" t="s">
        <v>1827</v>
      </c>
      <c r="K236" s="1" t="s">
        <v>18</v>
      </c>
      <c r="L236" s="1" t="s">
        <v>19</v>
      </c>
      <c r="Q236" s="21"/>
    </row>
    <row r="237" spans="1:18" x14ac:dyDescent="0.15">
      <c r="A237" s="1">
        <v>587227</v>
      </c>
      <c r="B237" s="1">
        <v>0</v>
      </c>
      <c r="C237" s="1" t="s">
        <v>12</v>
      </c>
      <c r="D237" s="1" t="s">
        <v>27</v>
      </c>
      <c r="E237" s="1" t="s">
        <v>1584</v>
      </c>
      <c r="F237" s="1" t="s">
        <v>1585</v>
      </c>
      <c r="G237" s="1" t="s">
        <v>23</v>
      </c>
      <c r="I237" s="18">
        <v>42416.947847222225</v>
      </c>
      <c r="J237" s="1" t="s">
        <v>1074</v>
      </c>
      <c r="K237" s="1" t="s">
        <v>18</v>
      </c>
      <c r="L237" s="1" t="s">
        <v>19</v>
      </c>
      <c r="Q237" s="21"/>
    </row>
    <row r="238" spans="1:18" x14ac:dyDescent="0.15">
      <c r="A238" s="1">
        <v>586800</v>
      </c>
      <c r="B238" s="1">
        <v>0</v>
      </c>
      <c r="C238" s="1" t="s">
        <v>1545</v>
      </c>
      <c r="D238" s="1" t="s">
        <v>27</v>
      </c>
      <c r="E238" s="1" t="s">
        <v>2081</v>
      </c>
      <c r="F238" s="1" t="s">
        <v>2082</v>
      </c>
      <c r="G238" s="1" t="s">
        <v>16</v>
      </c>
      <c r="I238" s="18">
        <v>42414.61278935185</v>
      </c>
      <c r="J238" s="1" t="s">
        <v>17</v>
      </c>
      <c r="K238" s="1" t="s">
        <v>18</v>
      </c>
      <c r="L238" s="1" t="s">
        <v>19</v>
      </c>
      <c r="Q238" s="21"/>
    </row>
    <row r="239" spans="1:18" x14ac:dyDescent="0.15">
      <c r="A239" s="1">
        <v>586798</v>
      </c>
      <c r="B239" s="1">
        <v>0</v>
      </c>
      <c r="C239" s="1" t="s">
        <v>1545</v>
      </c>
      <c r="D239" s="1" t="s">
        <v>27</v>
      </c>
      <c r="E239" s="1" t="s">
        <v>1546</v>
      </c>
      <c r="F239" s="1" t="s">
        <v>1547</v>
      </c>
      <c r="G239" s="1" t="s">
        <v>16</v>
      </c>
      <c r="I239" s="18">
        <v>42414.611550925925</v>
      </c>
      <c r="J239" s="1" t="s">
        <v>17</v>
      </c>
      <c r="K239" s="1" t="s">
        <v>18</v>
      </c>
      <c r="L239" s="1" t="s">
        <v>19</v>
      </c>
      <c r="Q239" s="21"/>
    </row>
    <row r="240" spans="1:18" x14ac:dyDescent="0.15">
      <c r="A240" s="1">
        <v>585268</v>
      </c>
      <c r="B240" s="1">
        <v>0</v>
      </c>
      <c r="C240" s="1" t="s">
        <v>2706</v>
      </c>
      <c r="D240" s="1" t="s">
        <v>27</v>
      </c>
      <c r="E240" s="1" t="s">
        <v>2707</v>
      </c>
      <c r="F240" s="1" t="s">
        <v>2708</v>
      </c>
      <c r="G240" s="1" t="s">
        <v>23</v>
      </c>
      <c r="I240" s="18">
        <v>42408.987164351849</v>
      </c>
      <c r="J240" s="1" t="s">
        <v>311</v>
      </c>
      <c r="K240" s="1" t="s">
        <v>18</v>
      </c>
      <c r="L240" s="1" t="s">
        <v>19</v>
      </c>
      <c r="Q240" s="21"/>
    </row>
    <row r="241" spans="1:17" x14ac:dyDescent="0.15">
      <c r="A241" s="1">
        <v>584223</v>
      </c>
      <c r="B241" s="1">
        <v>0</v>
      </c>
      <c r="C241" s="1" t="s">
        <v>12</v>
      </c>
      <c r="D241" s="1" t="s">
        <v>27</v>
      </c>
      <c r="E241" s="1" t="s">
        <v>2794</v>
      </c>
      <c r="F241" s="1" t="s">
        <v>2795</v>
      </c>
      <c r="G241" s="1" t="s">
        <v>16</v>
      </c>
      <c r="I241" s="18">
        <v>42404.477893518517</v>
      </c>
      <c r="J241" s="1" t="s">
        <v>17</v>
      </c>
      <c r="K241" s="1" t="s">
        <v>18</v>
      </c>
      <c r="L241" s="1" t="s">
        <v>19</v>
      </c>
      <c r="Q241" s="21"/>
    </row>
    <row r="242" spans="1:17" x14ac:dyDescent="0.15">
      <c r="A242" s="1">
        <v>584155</v>
      </c>
      <c r="B242" s="1">
        <v>0</v>
      </c>
      <c r="C242" s="1" t="s">
        <v>495</v>
      </c>
      <c r="D242" s="1" t="s">
        <v>27</v>
      </c>
      <c r="E242" s="1" t="s">
        <v>496</v>
      </c>
      <c r="F242" s="1" t="s">
        <v>497</v>
      </c>
      <c r="G242" s="1" t="s">
        <v>23</v>
      </c>
      <c r="I242" s="18">
        <v>42404.267523148148</v>
      </c>
      <c r="J242" s="1" t="s">
        <v>498</v>
      </c>
      <c r="K242" s="1" t="s">
        <v>18</v>
      </c>
      <c r="L242" s="1" t="s">
        <v>19</v>
      </c>
      <c r="Q242" s="21"/>
    </row>
    <row r="243" spans="1:17" x14ac:dyDescent="0.15">
      <c r="A243" s="1">
        <v>583607</v>
      </c>
      <c r="B243" s="1">
        <v>0</v>
      </c>
      <c r="C243" s="1" t="s">
        <v>3488</v>
      </c>
      <c r="D243" s="1" t="s">
        <v>27</v>
      </c>
      <c r="E243" s="1" t="s">
        <v>3489</v>
      </c>
      <c r="F243" s="1" t="s">
        <v>3490</v>
      </c>
      <c r="G243" s="1" t="s">
        <v>23</v>
      </c>
      <c r="I243" s="18">
        <v>42403.419652777775</v>
      </c>
      <c r="J243" s="1" t="s">
        <v>3491</v>
      </c>
      <c r="K243" s="1" t="s">
        <v>18</v>
      </c>
      <c r="L243" s="1" t="s">
        <v>19</v>
      </c>
      <c r="Q243" s="21"/>
    </row>
    <row r="244" spans="1:17" x14ac:dyDescent="0.15">
      <c r="A244" s="1">
        <v>583445</v>
      </c>
      <c r="B244" s="1">
        <v>0</v>
      </c>
      <c r="C244" s="1" t="s">
        <v>77</v>
      </c>
      <c r="D244" s="1" t="s">
        <v>27</v>
      </c>
      <c r="E244" s="1" t="s">
        <v>1698</v>
      </c>
      <c r="F244" s="1" t="s">
        <v>1699</v>
      </c>
      <c r="G244" s="1" t="s">
        <v>23</v>
      </c>
      <c r="I244" s="18">
        <v>42402.884502314817</v>
      </c>
      <c r="J244" s="1" t="s">
        <v>24</v>
      </c>
      <c r="K244" s="1" t="s">
        <v>18</v>
      </c>
      <c r="L244" s="1" t="s">
        <v>19</v>
      </c>
      <c r="Q244" s="21"/>
    </row>
    <row r="245" spans="1:17" x14ac:dyDescent="0.15">
      <c r="A245" s="1">
        <v>582707</v>
      </c>
      <c r="B245" s="1">
        <v>0</v>
      </c>
      <c r="C245" s="1" t="s">
        <v>829</v>
      </c>
      <c r="D245" s="1" t="s">
        <v>27</v>
      </c>
      <c r="E245" s="1" t="s">
        <v>2141</v>
      </c>
      <c r="F245" s="1" t="s">
        <v>2142</v>
      </c>
      <c r="G245" s="1" t="s">
        <v>16</v>
      </c>
      <c r="I245" s="18">
        <v>42399.261157407411</v>
      </c>
      <c r="J245" s="1" t="s">
        <v>17</v>
      </c>
      <c r="K245" s="1" t="s">
        <v>18</v>
      </c>
      <c r="L245" s="1" t="s">
        <v>19</v>
      </c>
      <c r="Q245" s="21"/>
    </row>
    <row r="246" spans="1:17" x14ac:dyDescent="0.15">
      <c r="A246" s="1">
        <v>582704</v>
      </c>
      <c r="B246" s="1">
        <v>0</v>
      </c>
      <c r="C246" s="1" t="s">
        <v>3929</v>
      </c>
      <c r="D246" s="1" t="s">
        <v>3911</v>
      </c>
      <c r="E246" s="1" t="s">
        <v>4017</v>
      </c>
      <c r="F246" s="1" t="s">
        <v>4018</v>
      </c>
      <c r="G246" s="1" t="s">
        <v>16</v>
      </c>
      <c r="I246" s="18">
        <v>42399.258020833331</v>
      </c>
      <c r="J246" s="1" t="s">
        <v>17</v>
      </c>
      <c r="K246" s="1" t="s">
        <v>18</v>
      </c>
      <c r="L246" s="1" t="s">
        <v>19</v>
      </c>
      <c r="Q246" s="21"/>
    </row>
    <row r="247" spans="1:17" x14ac:dyDescent="0.15">
      <c r="A247" s="1">
        <v>582703</v>
      </c>
      <c r="B247" s="1">
        <v>0</v>
      </c>
      <c r="C247" s="1" t="s">
        <v>101</v>
      </c>
      <c r="D247" s="1" t="s">
        <v>27</v>
      </c>
      <c r="E247" s="1" t="s">
        <v>2147</v>
      </c>
      <c r="F247" s="1" t="s">
        <v>2148</v>
      </c>
      <c r="G247" s="1" t="s">
        <v>16</v>
      </c>
      <c r="I247" s="18">
        <v>42399.256932870368</v>
      </c>
      <c r="J247" s="1" t="s">
        <v>17</v>
      </c>
      <c r="K247" s="1" t="s">
        <v>18</v>
      </c>
      <c r="L247" s="1" t="s">
        <v>19</v>
      </c>
      <c r="Q247" s="21"/>
    </row>
    <row r="248" spans="1:17" x14ac:dyDescent="0.15">
      <c r="A248" s="1">
        <v>582702</v>
      </c>
      <c r="B248" s="1">
        <v>0</v>
      </c>
      <c r="C248" s="1" t="s">
        <v>101</v>
      </c>
      <c r="D248" s="1" t="s">
        <v>27</v>
      </c>
      <c r="E248" s="1" t="s">
        <v>2145</v>
      </c>
      <c r="F248" s="1" t="s">
        <v>2146</v>
      </c>
      <c r="G248" s="1" t="s">
        <v>56</v>
      </c>
      <c r="H248" s="1"/>
      <c r="I248" s="18">
        <v>42399.256388888891</v>
      </c>
      <c r="J248" s="1" t="s">
        <v>17</v>
      </c>
      <c r="K248" s="1" t="s">
        <v>18</v>
      </c>
      <c r="L248" s="1" t="s">
        <v>19</v>
      </c>
      <c r="Q248" s="21"/>
    </row>
    <row r="249" spans="1:17" x14ac:dyDescent="0.15">
      <c r="A249" s="1">
        <v>582701</v>
      </c>
      <c r="B249" s="1">
        <v>0</v>
      </c>
      <c r="C249" s="1" t="s">
        <v>759</v>
      </c>
      <c r="D249" s="1" t="s">
        <v>27</v>
      </c>
      <c r="E249" s="1" t="s">
        <v>2143</v>
      </c>
      <c r="F249" s="1" t="s">
        <v>2144</v>
      </c>
      <c r="G249" s="1" t="s">
        <v>16</v>
      </c>
      <c r="I249" s="18">
        <v>42399.255995370368</v>
      </c>
      <c r="J249" s="1" t="s">
        <v>17</v>
      </c>
      <c r="K249" s="1" t="s">
        <v>18</v>
      </c>
      <c r="L249" s="1" t="s">
        <v>19</v>
      </c>
      <c r="Q249" s="21"/>
    </row>
    <row r="250" spans="1:17" x14ac:dyDescent="0.15">
      <c r="A250" s="1">
        <v>582697</v>
      </c>
      <c r="B250" s="1">
        <v>0</v>
      </c>
      <c r="C250" s="1" t="s">
        <v>268</v>
      </c>
      <c r="D250" s="1" t="s">
        <v>27</v>
      </c>
      <c r="E250" s="1" t="s">
        <v>959</v>
      </c>
      <c r="F250" s="1" t="s">
        <v>1511</v>
      </c>
      <c r="G250" s="1" t="s">
        <v>16</v>
      </c>
      <c r="I250" s="18">
        <v>42399.252060185187</v>
      </c>
      <c r="J250" s="1" t="s">
        <v>17</v>
      </c>
      <c r="K250" s="1" t="s">
        <v>18</v>
      </c>
      <c r="L250" s="1" t="s">
        <v>19</v>
      </c>
      <c r="Q250" s="21"/>
    </row>
    <row r="251" spans="1:17" x14ac:dyDescent="0.15">
      <c r="A251" s="1">
        <v>582224</v>
      </c>
      <c r="B251" s="1">
        <v>1</v>
      </c>
      <c r="C251" s="1" t="s">
        <v>1824</v>
      </c>
      <c r="D251" s="1" t="s">
        <v>4082</v>
      </c>
      <c r="E251" s="1" t="s">
        <v>4131</v>
      </c>
      <c r="F251" s="1" t="s">
        <v>4132</v>
      </c>
      <c r="G251" s="1" t="s">
        <v>23</v>
      </c>
      <c r="H251" s="1">
        <v>573332</v>
      </c>
      <c r="I251" s="22">
        <v>42397.919803240744</v>
      </c>
      <c r="J251" s="1" t="s">
        <v>1827</v>
      </c>
      <c r="K251" s="1" t="s">
        <v>18</v>
      </c>
      <c r="L251" s="1" t="s">
        <v>19</v>
      </c>
      <c r="M251" s="1">
        <v>573332</v>
      </c>
      <c r="N251" s="14" t="s">
        <v>17</v>
      </c>
      <c r="O251" s="22">
        <v>42368</v>
      </c>
      <c r="Q251" s="21">
        <f t="shared" si="3"/>
        <v>29.919803240743931</v>
      </c>
    </row>
    <row r="252" spans="1:17" x14ac:dyDescent="0.15">
      <c r="A252" s="1">
        <v>581294</v>
      </c>
      <c r="B252" s="1">
        <v>0</v>
      </c>
      <c r="C252" s="1" t="s">
        <v>1298</v>
      </c>
      <c r="D252" s="1" t="s">
        <v>27</v>
      </c>
      <c r="E252" s="1" t="s">
        <v>1299</v>
      </c>
      <c r="F252" s="1" t="s">
        <v>1300</v>
      </c>
      <c r="G252" s="1" t="s">
        <v>23</v>
      </c>
      <c r="I252" s="18">
        <v>42395.416759259257</v>
      </c>
      <c r="J252" s="1" t="s">
        <v>1301</v>
      </c>
      <c r="K252" s="1" t="s">
        <v>18</v>
      </c>
      <c r="L252" s="1" t="s">
        <v>19</v>
      </c>
      <c r="Q252" s="21"/>
    </row>
    <row r="253" spans="1:17" x14ac:dyDescent="0.15">
      <c r="A253" s="1">
        <v>577105</v>
      </c>
      <c r="B253" s="1">
        <v>0</v>
      </c>
      <c r="C253" s="1" t="s">
        <v>522</v>
      </c>
      <c r="D253" s="1" t="s">
        <v>27</v>
      </c>
      <c r="E253" s="1" t="s">
        <v>1186</v>
      </c>
      <c r="F253" s="1" t="s">
        <v>1187</v>
      </c>
      <c r="G253" s="1" t="s">
        <v>23</v>
      </c>
      <c r="I253" s="18">
        <v>42382.49114583333</v>
      </c>
      <c r="J253" s="1" t="s">
        <v>247</v>
      </c>
      <c r="K253" s="1" t="s">
        <v>18</v>
      </c>
      <c r="L253" s="1" t="s">
        <v>19</v>
      </c>
      <c r="Q253" s="21"/>
    </row>
    <row r="254" spans="1:17" x14ac:dyDescent="0.15">
      <c r="A254" s="1">
        <v>576383</v>
      </c>
      <c r="B254" s="1">
        <v>0</v>
      </c>
      <c r="C254" s="1" t="s">
        <v>50</v>
      </c>
      <c r="D254" s="1" t="s">
        <v>27</v>
      </c>
      <c r="E254" s="1" t="s">
        <v>3647</v>
      </c>
      <c r="F254" s="1" t="s">
        <v>3648</v>
      </c>
      <c r="G254" s="1" t="s">
        <v>16</v>
      </c>
      <c r="I254" s="18">
        <v>42380.872071759259</v>
      </c>
      <c r="J254" s="1" t="s">
        <v>454</v>
      </c>
      <c r="K254" s="1" t="s">
        <v>3586</v>
      </c>
      <c r="L254" s="1" t="s">
        <v>19</v>
      </c>
      <c r="Q254" s="21"/>
    </row>
    <row r="255" spans="1:17" x14ac:dyDescent="0.15">
      <c r="A255" s="1">
        <v>574802</v>
      </c>
      <c r="B255" s="1">
        <v>0</v>
      </c>
      <c r="C255" s="1" t="s">
        <v>663</v>
      </c>
      <c r="D255" s="1" t="s">
        <v>27</v>
      </c>
      <c r="E255" s="1" t="s">
        <v>2000</v>
      </c>
      <c r="F255" s="1" t="s">
        <v>2001</v>
      </c>
      <c r="G255" s="1" t="s">
        <v>16</v>
      </c>
      <c r="I255" s="18">
        <v>42375.626377314817</v>
      </c>
      <c r="J255" s="1" t="s">
        <v>408</v>
      </c>
      <c r="K255" s="1" t="s">
        <v>18</v>
      </c>
      <c r="L255" s="1" t="s">
        <v>19</v>
      </c>
      <c r="Q255" s="21"/>
    </row>
    <row r="256" spans="1:17" x14ac:dyDescent="0.15">
      <c r="A256" s="1">
        <v>573131</v>
      </c>
      <c r="B256" s="1">
        <v>1</v>
      </c>
      <c r="C256" s="1" t="s">
        <v>305</v>
      </c>
      <c r="D256" s="1" t="s">
        <v>27</v>
      </c>
      <c r="E256" s="1" t="s">
        <v>306</v>
      </c>
      <c r="F256" s="1" t="s">
        <v>307</v>
      </c>
      <c r="G256" s="1" t="s">
        <v>308</v>
      </c>
      <c r="H256" s="1"/>
      <c r="I256" s="18">
        <v>42368.24927083333</v>
      </c>
      <c r="J256" s="1" t="s">
        <v>309</v>
      </c>
      <c r="K256" s="1" t="s">
        <v>18</v>
      </c>
      <c r="L256" s="1" t="s">
        <v>19</v>
      </c>
      <c r="M256" s="1">
        <v>631348</v>
      </c>
      <c r="N256" s="1" t="s">
        <v>310</v>
      </c>
      <c r="O256" s="18">
        <v>42577.324618055558</v>
      </c>
      <c r="P256" s="1" t="s">
        <v>311</v>
      </c>
      <c r="Q256" s="21">
        <f t="shared" si="3"/>
        <v>209.07534722222772</v>
      </c>
    </row>
    <row r="257" spans="1:19" x14ac:dyDescent="0.15">
      <c r="A257" s="1">
        <v>572871</v>
      </c>
      <c r="B257" s="1">
        <v>0</v>
      </c>
      <c r="C257" s="1" t="s">
        <v>12</v>
      </c>
      <c r="D257" s="1" t="s">
        <v>27</v>
      </c>
      <c r="E257" s="1" t="s">
        <v>1948</v>
      </c>
      <c r="F257" s="1" t="s">
        <v>1949</v>
      </c>
      <c r="G257" s="1"/>
      <c r="H257" s="1"/>
      <c r="I257" s="18">
        <v>42367.564930555556</v>
      </c>
      <c r="J257" s="1" t="s">
        <v>76</v>
      </c>
      <c r="K257" s="1" t="s">
        <v>18</v>
      </c>
      <c r="L257" s="1" t="s">
        <v>19</v>
      </c>
      <c r="Q257" s="21"/>
    </row>
    <row r="258" spans="1:19" x14ac:dyDescent="0.15">
      <c r="A258" s="1">
        <v>572537</v>
      </c>
      <c r="B258" s="1">
        <v>0</v>
      </c>
      <c r="C258" s="1" t="s">
        <v>522</v>
      </c>
      <c r="D258" s="1" t="s">
        <v>27</v>
      </c>
      <c r="E258" s="1" t="s">
        <v>3138</v>
      </c>
      <c r="F258" s="1" t="s">
        <v>3139</v>
      </c>
      <c r="G258" s="1" t="s">
        <v>23</v>
      </c>
      <c r="I258" s="18">
        <v>42365.858831018515</v>
      </c>
      <c r="J258" s="1" t="s">
        <v>3140</v>
      </c>
      <c r="K258" s="1" t="s">
        <v>18</v>
      </c>
      <c r="L258" s="1" t="s">
        <v>19</v>
      </c>
      <c r="Q258" s="21"/>
    </row>
    <row r="259" spans="1:19" x14ac:dyDescent="0.15">
      <c r="A259" s="1">
        <v>571121</v>
      </c>
      <c r="B259" s="1">
        <v>0</v>
      </c>
      <c r="C259" s="1" t="s">
        <v>576</v>
      </c>
      <c r="D259" s="1" t="s">
        <v>27</v>
      </c>
      <c r="E259" s="1" t="s">
        <v>577</v>
      </c>
      <c r="F259" s="1" t="s">
        <v>578</v>
      </c>
      <c r="G259" s="1" t="s">
        <v>23</v>
      </c>
      <c r="I259" s="18">
        <v>42356.869837962964</v>
      </c>
      <c r="J259" s="1" t="s">
        <v>579</v>
      </c>
      <c r="K259" s="1" t="s">
        <v>18</v>
      </c>
      <c r="L259" s="1" t="s">
        <v>19</v>
      </c>
      <c r="Q259" s="21"/>
    </row>
    <row r="260" spans="1:19" x14ac:dyDescent="0.15">
      <c r="A260" s="1">
        <v>570618</v>
      </c>
      <c r="B260" s="1">
        <v>0</v>
      </c>
      <c r="C260" s="1" t="s">
        <v>1824</v>
      </c>
      <c r="D260" s="1" t="s">
        <v>3714</v>
      </c>
      <c r="E260" s="1" t="s">
        <v>3793</v>
      </c>
      <c r="F260" s="1" t="s">
        <v>3794</v>
      </c>
      <c r="G260" s="1" t="s">
        <v>1056</v>
      </c>
      <c r="I260" s="18">
        <v>42355.416817129626</v>
      </c>
      <c r="J260" s="1" t="s">
        <v>1301</v>
      </c>
      <c r="K260" s="1" t="s">
        <v>18</v>
      </c>
      <c r="L260" s="1" t="s">
        <v>19</v>
      </c>
      <c r="Q260" s="21"/>
    </row>
    <row r="261" spans="1:19" x14ac:dyDescent="0.15">
      <c r="A261" s="1">
        <v>570427</v>
      </c>
      <c r="B261" s="1">
        <v>1</v>
      </c>
      <c r="C261" s="1" t="s">
        <v>3545</v>
      </c>
      <c r="D261" s="1" t="s">
        <v>27</v>
      </c>
      <c r="E261" s="1" t="s">
        <v>3546</v>
      </c>
      <c r="F261" s="1" t="s">
        <v>3547</v>
      </c>
      <c r="G261" s="1" t="s">
        <v>23</v>
      </c>
      <c r="I261" s="18">
        <v>42354.84270833333</v>
      </c>
      <c r="J261" s="1" t="s">
        <v>454</v>
      </c>
      <c r="K261" s="1" t="s">
        <v>18</v>
      </c>
      <c r="L261" s="1" t="s">
        <v>19</v>
      </c>
      <c r="M261" s="1">
        <v>570428</v>
      </c>
      <c r="N261" s="1" t="s">
        <v>3548</v>
      </c>
      <c r="O261" s="18">
        <v>42354.842893518522</v>
      </c>
      <c r="P261" s="1" t="s">
        <v>17</v>
      </c>
      <c r="Q261" s="21">
        <f t="shared" si="3"/>
        <v>1.8518519209465012E-4</v>
      </c>
      <c r="R261" s="1"/>
    </row>
    <row r="262" spans="1:19" x14ac:dyDescent="0.15">
      <c r="A262" s="1">
        <v>569496</v>
      </c>
      <c r="B262" s="1">
        <v>0</v>
      </c>
      <c r="C262" s="1" t="s">
        <v>619</v>
      </c>
      <c r="D262" s="1" t="s">
        <v>27</v>
      </c>
      <c r="E262" s="1" t="s">
        <v>620</v>
      </c>
      <c r="F262" s="1" t="s">
        <v>621</v>
      </c>
      <c r="G262" s="1"/>
      <c r="H262" s="1"/>
      <c r="I262" s="18">
        <v>42352.416377314818</v>
      </c>
      <c r="J262" s="1" t="s">
        <v>247</v>
      </c>
      <c r="K262" s="1" t="s">
        <v>18</v>
      </c>
      <c r="L262" s="1" t="s">
        <v>19</v>
      </c>
      <c r="Q262" s="21"/>
    </row>
    <row r="263" spans="1:19" x14ac:dyDescent="0.15">
      <c r="A263" s="1">
        <v>567688</v>
      </c>
      <c r="B263" s="1">
        <v>0</v>
      </c>
      <c r="C263" s="1" t="s">
        <v>1545</v>
      </c>
      <c r="D263" s="1" t="s">
        <v>3714</v>
      </c>
      <c r="E263" s="1" t="s">
        <v>3804</v>
      </c>
      <c r="F263" s="1" t="s">
        <v>3805</v>
      </c>
      <c r="G263" s="1" t="s">
        <v>1056</v>
      </c>
      <c r="I263" s="18">
        <v>42346.416759259257</v>
      </c>
      <c r="J263" s="1" t="s">
        <v>1301</v>
      </c>
      <c r="K263" s="1" t="s">
        <v>18</v>
      </c>
      <c r="L263" s="1" t="s">
        <v>19</v>
      </c>
      <c r="Q263" s="21"/>
    </row>
    <row r="264" spans="1:19" x14ac:dyDescent="0.15">
      <c r="A264" s="1">
        <v>566156</v>
      </c>
      <c r="B264" s="1">
        <v>0</v>
      </c>
      <c r="C264" s="1" t="s">
        <v>399</v>
      </c>
      <c r="D264" s="1" t="s">
        <v>27</v>
      </c>
      <c r="E264" s="1" t="s">
        <v>400</v>
      </c>
      <c r="F264" s="1" t="s">
        <v>401</v>
      </c>
      <c r="G264" s="1" t="s">
        <v>23</v>
      </c>
      <c r="I264" s="18">
        <v>42342.87667824074</v>
      </c>
      <c r="J264" s="1" t="s">
        <v>402</v>
      </c>
      <c r="K264" s="1" t="s">
        <v>18</v>
      </c>
      <c r="L264" s="1" t="s">
        <v>19</v>
      </c>
      <c r="Q264" s="21"/>
    </row>
    <row r="265" spans="1:19" x14ac:dyDescent="0.15">
      <c r="A265" s="1">
        <v>565967</v>
      </c>
      <c r="B265" s="1">
        <v>0</v>
      </c>
      <c r="C265" s="1" t="s">
        <v>829</v>
      </c>
      <c r="D265" s="1" t="s">
        <v>27</v>
      </c>
      <c r="E265" s="1" t="s">
        <v>3267</v>
      </c>
      <c r="F265" s="1" t="s">
        <v>3268</v>
      </c>
      <c r="G265" s="1" t="s">
        <v>16</v>
      </c>
      <c r="I265" s="18">
        <v>42342.622650462959</v>
      </c>
      <c r="J265" s="1" t="s">
        <v>17</v>
      </c>
      <c r="K265" s="1" t="s">
        <v>18</v>
      </c>
      <c r="L265" s="1" t="s">
        <v>19</v>
      </c>
      <c r="Q265" s="21"/>
    </row>
    <row r="266" spans="1:19" x14ac:dyDescent="0.15">
      <c r="A266" s="1">
        <v>565049</v>
      </c>
      <c r="B266" s="1">
        <v>1</v>
      </c>
      <c r="C266" s="1" t="s">
        <v>296</v>
      </c>
      <c r="D266" s="1" t="s">
        <v>27</v>
      </c>
      <c r="E266" s="1" t="s">
        <v>297</v>
      </c>
      <c r="F266" s="1" t="s">
        <v>298</v>
      </c>
      <c r="G266" s="1" t="s">
        <v>16</v>
      </c>
      <c r="I266" s="18">
        <v>42341.10597222222</v>
      </c>
      <c r="J266" s="1" t="s">
        <v>17</v>
      </c>
      <c r="K266" s="1" t="s">
        <v>18</v>
      </c>
      <c r="L266" s="1" t="s">
        <v>19</v>
      </c>
      <c r="M266" s="1">
        <v>561690</v>
      </c>
      <c r="N266" s="1" t="s">
        <v>299</v>
      </c>
      <c r="O266" s="18">
        <v>42333.862500000003</v>
      </c>
      <c r="P266" s="1" t="s">
        <v>68</v>
      </c>
      <c r="Q266" s="21">
        <f t="shared" ref="Q266:Q307" si="4">ABS(O266-I266)</f>
        <v>7.2434722222169512</v>
      </c>
      <c r="R266" s="1"/>
    </row>
    <row r="267" spans="1:19" x14ac:dyDescent="0.15">
      <c r="A267" s="1">
        <v>565023</v>
      </c>
      <c r="B267" s="1">
        <v>0</v>
      </c>
      <c r="C267" s="1" t="s">
        <v>2709</v>
      </c>
      <c r="D267" s="1" t="s">
        <v>3714</v>
      </c>
      <c r="E267" s="1" t="s">
        <v>3824</v>
      </c>
      <c r="F267" s="1" t="s">
        <v>3825</v>
      </c>
      <c r="G267" s="1" t="s">
        <v>16</v>
      </c>
      <c r="I267" s="18">
        <v>42341.076817129629</v>
      </c>
      <c r="J267" s="1" t="s">
        <v>3826</v>
      </c>
      <c r="K267" s="1" t="s">
        <v>18</v>
      </c>
      <c r="L267" s="1" t="s">
        <v>19</v>
      </c>
      <c r="Q267" s="21"/>
    </row>
    <row r="268" spans="1:19" x14ac:dyDescent="0.15">
      <c r="A268" s="1">
        <v>564501</v>
      </c>
      <c r="B268" s="1">
        <v>0</v>
      </c>
      <c r="C268" s="1" t="s">
        <v>50</v>
      </c>
      <c r="D268" s="1" t="s">
        <v>27</v>
      </c>
      <c r="E268" s="1" t="s">
        <v>3692</v>
      </c>
      <c r="F268" s="1" t="s">
        <v>3693</v>
      </c>
      <c r="G268" s="1" t="s">
        <v>3694</v>
      </c>
      <c r="H268" s="1"/>
      <c r="I268" s="18">
        <v>42340.380636574075</v>
      </c>
      <c r="J268" s="1" t="s">
        <v>454</v>
      </c>
      <c r="K268" s="1" t="s">
        <v>3586</v>
      </c>
      <c r="L268" s="1" t="s">
        <v>19</v>
      </c>
      <c r="Q268" s="21"/>
    </row>
    <row r="269" spans="1:19" x14ac:dyDescent="0.15">
      <c r="A269" s="1">
        <v>562986</v>
      </c>
      <c r="B269" s="1">
        <v>0</v>
      </c>
      <c r="D269" s="1" t="s">
        <v>27</v>
      </c>
      <c r="E269" s="1" t="s">
        <v>1115</v>
      </c>
      <c r="F269" s="1" t="s">
        <v>1116</v>
      </c>
      <c r="G269" s="1" t="s">
        <v>16</v>
      </c>
      <c r="I269" s="18">
        <v>42336.992037037038</v>
      </c>
      <c r="J269" s="1" t="s">
        <v>17</v>
      </c>
      <c r="K269" s="1" t="s">
        <v>18</v>
      </c>
      <c r="L269" s="1" t="s">
        <v>19</v>
      </c>
      <c r="Q269" s="21"/>
    </row>
    <row r="270" spans="1:19" x14ac:dyDescent="0.15">
      <c r="A270" s="1">
        <v>561497</v>
      </c>
      <c r="B270" s="1">
        <v>0</v>
      </c>
      <c r="C270" s="1" t="s">
        <v>622</v>
      </c>
      <c r="D270" s="1" t="s">
        <v>27</v>
      </c>
      <c r="E270" s="1" t="s">
        <v>623</v>
      </c>
      <c r="F270" s="1" t="s">
        <v>624</v>
      </c>
      <c r="G270" s="1" t="s">
        <v>23</v>
      </c>
      <c r="I270" s="18">
        <v>42333.618425925924</v>
      </c>
      <c r="J270" s="1" t="s">
        <v>17</v>
      </c>
      <c r="K270" s="1" t="s">
        <v>18</v>
      </c>
      <c r="L270" s="1" t="s">
        <v>19</v>
      </c>
      <c r="Q270" s="21"/>
    </row>
    <row r="271" spans="1:19" x14ac:dyDescent="0.15">
      <c r="A271" s="1">
        <v>561478</v>
      </c>
      <c r="B271" s="1">
        <v>0</v>
      </c>
      <c r="C271" s="1" t="s">
        <v>12</v>
      </c>
      <c r="D271" s="1" t="s">
        <v>27</v>
      </c>
      <c r="E271" s="1" t="s">
        <v>2499</v>
      </c>
      <c r="F271" s="1" t="s">
        <v>2849</v>
      </c>
      <c r="G271" s="1" t="s">
        <v>23</v>
      </c>
      <c r="I271" s="18">
        <v>42333.597326388888</v>
      </c>
      <c r="J271" s="1" t="s">
        <v>17</v>
      </c>
      <c r="K271" s="1" t="s">
        <v>18</v>
      </c>
      <c r="L271" s="1" t="s">
        <v>19</v>
      </c>
      <c r="Q271" s="21"/>
    </row>
    <row r="272" spans="1:19" x14ac:dyDescent="0.15">
      <c r="A272" s="1">
        <v>560291</v>
      </c>
      <c r="B272" s="1">
        <v>1</v>
      </c>
      <c r="C272" s="1" t="s">
        <v>170</v>
      </c>
      <c r="D272" s="1" t="s">
        <v>27</v>
      </c>
      <c r="E272" s="1" t="s">
        <v>3277</v>
      </c>
      <c r="F272" s="1" t="s">
        <v>3278</v>
      </c>
      <c r="G272" s="1"/>
      <c r="H272" s="1"/>
      <c r="I272" s="18">
        <v>42331.601851851854</v>
      </c>
      <c r="J272" s="1" t="s">
        <v>3279</v>
      </c>
      <c r="K272" s="1" t="s">
        <v>18</v>
      </c>
      <c r="L272" s="1" t="s">
        <v>19</v>
      </c>
      <c r="M272" s="1">
        <v>561979</v>
      </c>
      <c r="N272" s="1" t="s">
        <v>3280</v>
      </c>
      <c r="O272" s="18">
        <v>42334.416724537034</v>
      </c>
      <c r="P272" s="1" t="s">
        <v>1301</v>
      </c>
      <c r="Q272" s="21">
        <f t="shared" si="4"/>
        <v>2.81487268517958</v>
      </c>
      <c r="R272" s="1"/>
      <c r="S272" s="1"/>
    </row>
    <row r="273" spans="1:17" x14ac:dyDescent="0.15">
      <c r="A273" s="1">
        <v>560011</v>
      </c>
      <c r="B273" s="1">
        <v>0</v>
      </c>
      <c r="C273" s="1" t="s">
        <v>522</v>
      </c>
      <c r="D273" s="1" t="s">
        <v>27</v>
      </c>
      <c r="E273" s="1" t="s">
        <v>523</v>
      </c>
      <c r="F273" s="1" t="s">
        <v>524</v>
      </c>
      <c r="G273" s="1"/>
      <c r="H273" s="1"/>
      <c r="I273" s="18">
        <v>42330.881006944444</v>
      </c>
      <c r="J273" s="1" t="s">
        <v>247</v>
      </c>
      <c r="K273" s="1" t="s">
        <v>18</v>
      </c>
      <c r="L273" s="1" t="s">
        <v>19</v>
      </c>
      <c r="Q273" s="21"/>
    </row>
    <row r="274" spans="1:17" x14ac:dyDescent="0.15">
      <c r="A274" s="1">
        <v>559541</v>
      </c>
      <c r="B274" s="1">
        <v>0</v>
      </c>
      <c r="C274" s="1" t="s">
        <v>137</v>
      </c>
      <c r="D274" s="1" t="s">
        <v>27</v>
      </c>
      <c r="E274" s="1" t="s">
        <v>229</v>
      </c>
      <c r="F274" s="1" t="s">
        <v>230</v>
      </c>
      <c r="G274" s="1" t="s">
        <v>159</v>
      </c>
      <c r="I274" s="18">
        <v>42329.289814814816</v>
      </c>
      <c r="J274" s="1" t="s">
        <v>231</v>
      </c>
      <c r="K274" s="1" t="s">
        <v>18</v>
      </c>
      <c r="L274" s="1" t="s">
        <v>19</v>
      </c>
      <c r="Q274" s="21"/>
    </row>
    <row r="275" spans="1:17" x14ac:dyDescent="0.15">
      <c r="A275" s="1">
        <v>559310</v>
      </c>
      <c r="B275" s="1">
        <v>0</v>
      </c>
      <c r="C275" s="1" t="s">
        <v>576</v>
      </c>
      <c r="D275" s="1" t="s">
        <v>27</v>
      </c>
      <c r="E275" s="1" t="s">
        <v>1672</v>
      </c>
      <c r="F275" s="1" t="s">
        <v>1673</v>
      </c>
      <c r="G275" s="1" t="s">
        <v>23</v>
      </c>
      <c r="I275" s="18">
        <v>42328.859826388885</v>
      </c>
      <c r="J275" s="1" t="s">
        <v>454</v>
      </c>
      <c r="K275" s="1" t="s">
        <v>18</v>
      </c>
      <c r="L275" s="1" t="s">
        <v>19</v>
      </c>
      <c r="Q275" s="21"/>
    </row>
    <row r="276" spans="1:17" x14ac:dyDescent="0.15">
      <c r="A276" s="1">
        <v>559292</v>
      </c>
      <c r="B276" s="1">
        <v>0</v>
      </c>
      <c r="C276" s="1" t="s">
        <v>663</v>
      </c>
      <c r="D276" s="1" t="s">
        <v>27</v>
      </c>
      <c r="E276" s="1" t="s">
        <v>1836</v>
      </c>
      <c r="F276" s="1" t="s">
        <v>1837</v>
      </c>
      <c r="G276" s="1"/>
      <c r="H276" s="1"/>
      <c r="I276" s="18">
        <v>42328.833229166667</v>
      </c>
      <c r="J276" s="1" t="s">
        <v>68</v>
      </c>
      <c r="K276" s="1" t="s">
        <v>18</v>
      </c>
      <c r="L276" s="1" t="s">
        <v>19</v>
      </c>
      <c r="Q276" s="21"/>
    </row>
    <row r="277" spans="1:17" x14ac:dyDescent="0.15">
      <c r="A277" s="1">
        <v>559075</v>
      </c>
      <c r="B277" s="1">
        <v>0</v>
      </c>
      <c r="C277" s="1" t="s">
        <v>1810</v>
      </c>
      <c r="D277" s="1" t="s">
        <v>27</v>
      </c>
      <c r="E277" s="1" t="s">
        <v>3065</v>
      </c>
      <c r="F277" s="1" t="s">
        <v>3066</v>
      </c>
      <c r="G277" s="1" t="s">
        <v>1056</v>
      </c>
      <c r="I277" s="18">
        <v>42328.416701388887</v>
      </c>
      <c r="J277" s="1" t="s">
        <v>1301</v>
      </c>
      <c r="K277" s="1" t="s">
        <v>18</v>
      </c>
      <c r="L277" s="1" t="s">
        <v>19</v>
      </c>
      <c r="Q277" s="21"/>
    </row>
    <row r="278" spans="1:17" x14ac:dyDescent="0.15">
      <c r="A278" s="1">
        <v>558840</v>
      </c>
      <c r="B278" s="1">
        <v>0</v>
      </c>
      <c r="C278" s="1" t="s">
        <v>12</v>
      </c>
      <c r="D278" s="1" t="s">
        <v>27</v>
      </c>
      <c r="E278" s="1" t="s">
        <v>321</v>
      </c>
      <c r="F278" s="1" t="s">
        <v>322</v>
      </c>
      <c r="G278" s="1" t="s">
        <v>16</v>
      </c>
      <c r="I278" s="18">
        <v>42328.092986111114</v>
      </c>
      <c r="J278" s="1" t="s">
        <v>17</v>
      </c>
      <c r="K278" s="1" t="s">
        <v>18</v>
      </c>
      <c r="L278" s="1" t="s">
        <v>19</v>
      </c>
      <c r="Q278" s="21"/>
    </row>
    <row r="279" spans="1:17" x14ac:dyDescent="0.15">
      <c r="A279" s="1">
        <v>558589</v>
      </c>
      <c r="B279" s="1">
        <v>0</v>
      </c>
      <c r="C279" s="1" t="s">
        <v>2032</v>
      </c>
      <c r="D279" s="1" t="s">
        <v>27</v>
      </c>
      <c r="E279" s="1" t="s">
        <v>3638</v>
      </c>
      <c r="F279" s="1" t="s">
        <v>3639</v>
      </c>
      <c r="G279" s="1" t="s">
        <v>23</v>
      </c>
      <c r="I279" s="18">
        <v>42327.845671296294</v>
      </c>
      <c r="J279" s="1" t="s">
        <v>469</v>
      </c>
      <c r="K279" s="1" t="s">
        <v>3586</v>
      </c>
      <c r="L279" s="1" t="s">
        <v>19</v>
      </c>
      <c r="Q279" s="21"/>
    </row>
    <row r="280" spans="1:17" x14ac:dyDescent="0.15">
      <c r="A280" s="1">
        <v>557981</v>
      </c>
      <c r="B280" s="1">
        <v>0</v>
      </c>
      <c r="C280" s="1" t="s">
        <v>522</v>
      </c>
      <c r="D280" s="1" t="s">
        <v>27</v>
      </c>
      <c r="E280" s="1" t="s">
        <v>1696</v>
      </c>
      <c r="F280" s="1" t="s">
        <v>1697</v>
      </c>
      <c r="G280" s="1" t="s">
        <v>23</v>
      </c>
      <c r="I280" s="18">
        <v>42326.929560185185</v>
      </c>
      <c r="J280" s="1" t="s">
        <v>68</v>
      </c>
      <c r="K280" s="1" t="s">
        <v>18</v>
      </c>
      <c r="L280" s="1" t="s">
        <v>19</v>
      </c>
      <c r="Q280" s="21"/>
    </row>
    <row r="281" spans="1:17" x14ac:dyDescent="0.15">
      <c r="A281" s="1">
        <v>557799</v>
      </c>
      <c r="B281" s="1">
        <v>0</v>
      </c>
      <c r="C281" s="1" t="s">
        <v>3421</v>
      </c>
      <c r="D281" s="1" t="s">
        <v>27</v>
      </c>
      <c r="E281" s="1" t="s">
        <v>3422</v>
      </c>
      <c r="F281" s="1" t="s">
        <v>3423</v>
      </c>
      <c r="G281" s="1" t="s">
        <v>16</v>
      </c>
      <c r="I281" s="18">
        <v>42326.685972222222</v>
      </c>
      <c r="J281" s="1" t="s">
        <v>17</v>
      </c>
      <c r="K281" s="1" t="s">
        <v>18</v>
      </c>
      <c r="L281" s="1" t="s">
        <v>19</v>
      </c>
      <c r="Q281" s="21"/>
    </row>
    <row r="282" spans="1:17" x14ac:dyDescent="0.15">
      <c r="A282" s="1">
        <v>556724</v>
      </c>
      <c r="B282" s="1">
        <v>0</v>
      </c>
      <c r="C282" s="1" t="s">
        <v>1426</v>
      </c>
      <c r="D282" s="1" t="s">
        <v>27</v>
      </c>
      <c r="E282" s="1" t="s">
        <v>2850</v>
      </c>
      <c r="F282" s="1" t="s">
        <v>2851</v>
      </c>
      <c r="G282" s="1" t="s">
        <v>23</v>
      </c>
      <c r="I282" s="18">
        <v>42324.930046296293</v>
      </c>
      <c r="J282" s="1" t="s">
        <v>247</v>
      </c>
      <c r="K282" s="1" t="s">
        <v>18</v>
      </c>
      <c r="L282" s="1" t="s">
        <v>19</v>
      </c>
      <c r="Q282" s="21"/>
    </row>
    <row r="283" spans="1:17" x14ac:dyDescent="0.15">
      <c r="A283" s="1">
        <v>556351</v>
      </c>
      <c r="B283" s="1">
        <v>0</v>
      </c>
      <c r="C283" s="1" t="s">
        <v>2352</v>
      </c>
      <c r="D283" s="1" t="s">
        <v>27</v>
      </c>
      <c r="E283" s="1" t="s">
        <v>2353</v>
      </c>
      <c r="F283" s="1" t="s">
        <v>2354</v>
      </c>
      <c r="G283" s="1" t="s">
        <v>159</v>
      </c>
      <c r="I283" s="18">
        <v>42324.182719907411</v>
      </c>
      <c r="J283" s="1" t="s">
        <v>17</v>
      </c>
      <c r="K283" s="1" t="s">
        <v>18</v>
      </c>
      <c r="L283" s="1" t="s">
        <v>19</v>
      </c>
      <c r="Q283" s="21"/>
    </row>
    <row r="284" spans="1:17" x14ac:dyDescent="0.15">
      <c r="A284" s="1">
        <v>555784</v>
      </c>
      <c r="B284" s="1">
        <v>0</v>
      </c>
      <c r="C284" s="1" t="s">
        <v>12</v>
      </c>
      <c r="D284" s="1" t="s">
        <v>27</v>
      </c>
      <c r="E284" s="1" t="s">
        <v>2222</v>
      </c>
      <c r="F284" s="1" t="s">
        <v>2223</v>
      </c>
      <c r="G284" s="1" t="s">
        <v>16</v>
      </c>
      <c r="I284" s="18">
        <v>42321.976064814815</v>
      </c>
      <c r="J284" s="1" t="s">
        <v>17</v>
      </c>
      <c r="K284" s="1" t="s">
        <v>18</v>
      </c>
      <c r="L284" s="1" t="s">
        <v>19</v>
      </c>
      <c r="Q284" s="21"/>
    </row>
    <row r="285" spans="1:17" x14ac:dyDescent="0.15">
      <c r="A285" s="1">
        <v>554946</v>
      </c>
      <c r="B285" s="1">
        <v>0</v>
      </c>
      <c r="C285" s="1" t="s">
        <v>101</v>
      </c>
      <c r="D285" s="1" t="s">
        <v>27</v>
      </c>
      <c r="E285" s="1" t="s">
        <v>884</v>
      </c>
      <c r="F285" s="1" t="s">
        <v>885</v>
      </c>
      <c r="G285" s="1" t="s">
        <v>23</v>
      </c>
      <c r="I285" s="18">
        <v>42320.587870370371</v>
      </c>
      <c r="J285" s="1" t="s">
        <v>886</v>
      </c>
      <c r="K285" s="1" t="s">
        <v>18</v>
      </c>
      <c r="L285" s="1" t="s">
        <v>19</v>
      </c>
      <c r="Q285" s="21"/>
    </row>
    <row r="286" spans="1:17" x14ac:dyDescent="0.15">
      <c r="A286" s="1">
        <v>554908</v>
      </c>
      <c r="B286" s="1">
        <v>0</v>
      </c>
      <c r="C286" s="1" t="s">
        <v>2032</v>
      </c>
      <c r="D286" s="1" t="s">
        <v>27</v>
      </c>
      <c r="E286" s="1" t="s">
        <v>2099</v>
      </c>
      <c r="F286" s="1" t="s">
        <v>2100</v>
      </c>
      <c r="G286" s="1" t="s">
        <v>23</v>
      </c>
      <c r="I286" s="18">
        <v>42320.441134259258</v>
      </c>
      <c r="J286" s="1" t="s">
        <v>469</v>
      </c>
      <c r="K286" s="1" t="s">
        <v>18</v>
      </c>
      <c r="L286" s="1" t="s">
        <v>19</v>
      </c>
      <c r="Q286" s="21"/>
    </row>
    <row r="287" spans="1:17" x14ac:dyDescent="0.15">
      <c r="A287" s="1">
        <v>554518</v>
      </c>
      <c r="B287" s="1">
        <v>0</v>
      </c>
      <c r="D287" s="1" t="s">
        <v>27</v>
      </c>
      <c r="E287" s="1" t="s">
        <v>2122</v>
      </c>
      <c r="F287" s="1" t="s">
        <v>2123</v>
      </c>
      <c r="G287" s="1" t="s">
        <v>2124</v>
      </c>
      <c r="I287" s="18">
        <v>42319.677395833336</v>
      </c>
      <c r="J287" s="1" t="s">
        <v>2125</v>
      </c>
      <c r="K287" s="1" t="s">
        <v>18</v>
      </c>
      <c r="L287" s="1" t="s">
        <v>19</v>
      </c>
      <c r="Q287" s="21"/>
    </row>
    <row r="288" spans="1:17" x14ac:dyDescent="0.15">
      <c r="A288" s="1">
        <v>554129</v>
      </c>
      <c r="B288" s="1">
        <v>0</v>
      </c>
      <c r="C288" s="1" t="s">
        <v>12</v>
      </c>
      <c r="D288" s="1" t="s">
        <v>27</v>
      </c>
      <c r="E288" s="1" t="s">
        <v>2340</v>
      </c>
      <c r="F288" s="1" t="s">
        <v>2341</v>
      </c>
      <c r="G288" s="1" t="s">
        <v>16</v>
      </c>
      <c r="I288" s="18">
        <v>42318.766539351855</v>
      </c>
      <c r="J288" s="1" t="s">
        <v>17</v>
      </c>
      <c r="K288" s="1" t="s">
        <v>18</v>
      </c>
      <c r="L288" s="1" t="s">
        <v>19</v>
      </c>
      <c r="Q288" s="21"/>
    </row>
    <row r="289" spans="1:18" x14ac:dyDescent="0.15">
      <c r="A289" s="1">
        <v>554099</v>
      </c>
      <c r="B289" s="1">
        <v>0</v>
      </c>
      <c r="C289" s="1" t="s">
        <v>12</v>
      </c>
      <c r="D289" s="1" t="s">
        <v>27</v>
      </c>
      <c r="E289" s="1" t="s">
        <v>615</v>
      </c>
      <c r="F289" s="1" t="s">
        <v>616</v>
      </c>
      <c r="G289" s="1" t="s">
        <v>16</v>
      </c>
      <c r="I289" s="18">
        <v>42318.739201388889</v>
      </c>
      <c r="J289" s="1" t="s">
        <v>17</v>
      </c>
      <c r="K289" s="1" t="s">
        <v>18</v>
      </c>
      <c r="L289" s="1" t="s">
        <v>19</v>
      </c>
      <c r="Q289" s="21"/>
    </row>
    <row r="290" spans="1:18" x14ac:dyDescent="0.15">
      <c r="A290" s="1">
        <v>552046</v>
      </c>
      <c r="B290" s="1">
        <v>0</v>
      </c>
      <c r="C290" s="1" t="s">
        <v>12</v>
      </c>
      <c r="D290" s="1" t="s">
        <v>27</v>
      </c>
      <c r="E290" s="1" t="s">
        <v>1613</v>
      </c>
      <c r="F290" s="1" t="s">
        <v>1614</v>
      </c>
      <c r="G290" s="1" t="s">
        <v>16</v>
      </c>
      <c r="I290" s="18">
        <v>42313.867314814815</v>
      </c>
      <c r="J290" s="1" t="s">
        <v>17</v>
      </c>
      <c r="K290" s="1" t="s">
        <v>18</v>
      </c>
      <c r="L290" s="1" t="s">
        <v>19</v>
      </c>
      <c r="Q290" s="21"/>
    </row>
    <row r="291" spans="1:18" x14ac:dyDescent="0.15">
      <c r="A291" s="1">
        <v>551503</v>
      </c>
      <c r="B291" s="1">
        <v>0</v>
      </c>
      <c r="C291" s="1" t="s">
        <v>12</v>
      </c>
      <c r="D291" s="1" t="s">
        <v>27</v>
      </c>
      <c r="E291" s="1" t="s">
        <v>436</v>
      </c>
      <c r="F291" s="1" t="s">
        <v>437</v>
      </c>
      <c r="G291" s="1" t="s">
        <v>16</v>
      </c>
      <c r="I291" s="18">
        <v>42312.742199074077</v>
      </c>
      <c r="J291" s="1" t="s">
        <v>17</v>
      </c>
      <c r="K291" s="1" t="s">
        <v>18</v>
      </c>
      <c r="L291" s="1" t="s">
        <v>19</v>
      </c>
      <c r="Q291" s="21"/>
    </row>
    <row r="292" spans="1:18" x14ac:dyDescent="0.15">
      <c r="A292" s="1">
        <v>551460</v>
      </c>
      <c r="B292" s="1">
        <v>0</v>
      </c>
      <c r="C292" s="1" t="s">
        <v>12</v>
      </c>
      <c r="D292" s="1" t="s">
        <v>27</v>
      </c>
      <c r="E292" s="1" t="s">
        <v>3179</v>
      </c>
      <c r="F292" s="1" t="s">
        <v>3180</v>
      </c>
      <c r="G292" s="1" t="s">
        <v>16</v>
      </c>
      <c r="I292" s="18">
        <v>42312.686041666668</v>
      </c>
      <c r="J292" s="1" t="s">
        <v>17</v>
      </c>
      <c r="K292" s="1" t="s">
        <v>18</v>
      </c>
      <c r="L292" s="1" t="s">
        <v>19</v>
      </c>
      <c r="Q292" s="21"/>
    </row>
    <row r="293" spans="1:18" x14ac:dyDescent="0.15">
      <c r="A293" s="1">
        <v>551143</v>
      </c>
      <c r="B293" s="1">
        <v>0</v>
      </c>
      <c r="C293" s="1" t="s">
        <v>1463</v>
      </c>
      <c r="D293" s="1" t="s">
        <v>27</v>
      </c>
      <c r="E293" s="1" t="s">
        <v>1464</v>
      </c>
      <c r="F293" s="1" t="s">
        <v>1465</v>
      </c>
      <c r="G293" s="1" t="s">
        <v>16</v>
      </c>
      <c r="I293" s="18">
        <v>42311.980081018519</v>
      </c>
      <c r="J293" s="1" t="s">
        <v>17</v>
      </c>
      <c r="K293" s="1" t="s">
        <v>18</v>
      </c>
      <c r="L293" s="1" t="s">
        <v>19</v>
      </c>
      <c r="Q293" s="21"/>
    </row>
    <row r="294" spans="1:18" x14ac:dyDescent="0.15">
      <c r="A294" s="1">
        <v>551044</v>
      </c>
      <c r="B294" s="1">
        <v>0</v>
      </c>
      <c r="C294" s="1" t="s">
        <v>2032</v>
      </c>
      <c r="D294" s="1" t="s">
        <v>27</v>
      </c>
      <c r="E294" s="1" t="s">
        <v>2033</v>
      </c>
      <c r="F294" s="1" t="s">
        <v>2034</v>
      </c>
      <c r="G294" s="1" t="s">
        <v>23</v>
      </c>
      <c r="I294" s="18">
        <v>42311.789895833332</v>
      </c>
      <c r="J294" s="1" t="s">
        <v>469</v>
      </c>
      <c r="K294" s="1" t="s">
        <v>18</v>
      </c>
      <c r="L294" s="1" t="s">
        <v>19</v>
      </c>
      <c r="Q294" s="21"/>
    </row>
    <row r="295" spans="1:18" x14ac:dyDescent="0.15">
      <c r="A295" s="1">
        <v>551028</v>
      </c>
      <c r="B295" s="1">
        <v>0</v>
      </c>
      <c r="C295" s="1" t="s">
        <v>665</v>
      </c>
      <c r="D295" s="1" t="s">
        <v>27</v>
      </c>
      <c r="E295" s="1" t="s">
        <v>666</v>
      </c>
      <c r="F295" s="1" t="s">
        <v>667</v>
      </c>
      <c r="G295" s="1" t="s">
        <v>668</v>
      </c>
      <c r="H295" s="1"/>
      <c r="I295" s="18">
        <v>42311.770520833335</v>
      </c>
      <c r="J295" s="1" t="s">
        <v>669</v>
      </c>
      <c r="K295" s="1" t="s">
        <v>18</v>
      </c>
      <c r="L295" s="1" t="s">
        <v>19</v>
      </c>
      <c r="Q295" s="21"/>
    </row>
    <row r="296" spans="1:18" x14ac:dyDescent="0.15">
      <c r="A296" s="1">
        <v>546849</v>
      </c>
      <c r="B296" s="1">
        <v>0</v>
      </c>
      <c r="C296" s="1" t="s">
        <v>268</v>
      </c>
      <c r="D296" s="1" t="s">
        <v>27</v>
      </c>
      <c r="E296" s="1" t="s">
        <v>959</v>
      </c>
      <c r="F296" s="1" t="s">
        <v>960</v>
      </c>
      <c r="G296" s="1" t="s">
        <v>16</v>
      </c>
      <c r="I296" s="18">
        <v>42300.084363425929</v>
      </c>
      <c r="J296" s="1" t="s">
        <v>17</v>
      </c>
      <c r="K296" s="1" t="s">
        <v>18</v>
      </c>
      <c r="L296" s="1" t="s">
        <v>19</v>
      </c>
      <c r="Q296" s="21"/>
    </row>
    <row r="297" spans="1:18" x14ac:dyDescent="0.15">
      <c r="A297" s="1">
        <v>546545</v>
      </c>
      <c r="B297" s="1">
        <v>0</v>
      </c>
      <c r="C297" s="1" t="s">
        <v>1294</v>
      </c>
      <c r="D297" s="1" t="s">
        <v>27</v>
      </c>
      <c r="E297" s="1" t="s">
        <v>2267</v>
      </c>
      <c r="F297" s="1" t="s">
        <v>2268</v>
      </c>
      <c r="G297" s="1" t="s">
        <v>23</v>
      </c>
      <c r="I297" s="18">
        <v>42299.586678240739</v>
      </c>
      <c r="J297" s="1" t="s">
        <v>247</v>
      </c>
      <c r="K297" s="1" t="s">
        <v>18</v>
      </c>
      <c r="L297" s="1" t="s">
        <v>19</v>
      </c>
      <c r="Q297" s="21"/>
    </row>
    <row r="298" spans="1:18" x14ac:dyDescent="0.15">
      <c r="A298" s="1">
        <v>544981</v>
      </c>
      <c r="B298" s="1">
        <v>0</v>
      </c>
      <c r="C298" s="1" t="s">
        <v>3777</v>
      </c>
      <c r="D298" s="1" t="s">
        <v>3714</v>
      </c>
      <c r="E298" s="1" t="s">
        <v>3778</v>
      </c>
      <c r="F298" s="1" t="s">
        <v>3779</v>
      </c>
      <c r="G298" s="1" t="s">
        <v>159</v>
      </c>
      <c r="I298" s="18">
        <v>42296.626701388886</v>
      </c>
      <c r="J298" s="1" t="s">
        <v>3780</v>
      </c>
      <c r="K298" s="1" t="s">
        <v>18</v>
      </c>
      <c r="L298" s="1" t="s">
        <v>19</v>
      </c>
      <c r="Q298" s="21"/>
    </row>
    <row r="299" spans="1:18" x14ac:dyDescent="0.15">
      <c r="A299" s="1">
        <v>544020</v>
      </c>
      <c r="B299" s="1">
        <v>0</v>
      </c>
      <c r="C299" s="1" t="s">
        <v>369</v>
      </c>
      <c r="D299" s="1" t="s">
        <v>27</v>
      </c>
      <c r="E299" s="1" t="s">
        <v>517</v>
      </c>
      <c r="F299" s="1" t="s">
        <v>518</v>
      </c>
      <c r="G299" s="1" t="s">
        <v>23</v>
      </c>
      <c r="I299" s="18">
        <v>42293.399930555555</v>
      </c>
      <c r="J299" s="1" t="s">
        <v>519</v>
      </c>
      <c r="K299" s="1" t="s">
        <v>18</v>
      </c>
      <c r="L299" s="1" t="s">
        <v>19</v>
      </c>
      <c r="Q299" s="21"/>
    </row>
    <row r="300" spans="1:18" x14ac:dyDescent="0.15">
      <c r="A300" s="1">
        <v>541206</v>
      </c>
      <c r="B300" s="1">
        <v>1</v>
      </c>
      <c r="C300" s="1" t="s">
        <v>1294</v>
      </c>
      <c r="D300" s="1" t="s">
        <v>27</v>
      </c>
      <c r="E300" s="1" t="s">
        <v>1295</v>
      </c>
      <c r="F300" s="1" t="s">
        <v>1296</v>
      </c>
      <c r="G300" s="1" t="s">
        <v>23</v>
      </c>
      <c r="I300" s="18">
        <v>42285.68377314815</v>
      </c>
      <c r="J300" s="1" t="s">
        <v>247</v>
      </c>
      <c r="K300" s="1" t="s">
        <v>18</v>
      </c>
      <c r="L300" s="1" t="s">
        <v>19</v>
      </c>
      <c r="M300" s="1">
        <v>539510</v>
      </c>
      <c r="N300" s="1" t="s">
        <v>1297</v>
      </c>
      <c r="O300" s="18">
        <v>42282.775729166664</v>
      </c>
      <c r="P300" s="1" t="s">
        <v>17</v>
      </c>
      <c r="Q300" s="21">
        <f t="shared" si="4"/>
        <v>2.9080439814861165</v>
      </c>
      <c r="R300" s="1"/>
    </row>
    <row r="301" spans="1:18" x14ac:dyDescent="0.15">
      <c r="A301" s="1">
        <v>537666</v>
      </c>
      <c r="B301" s="1">
        <v>0</v>
      </c>
      <c r="C301" s="1" t="s">
        <v>305</v>
      </c>
      <c r="D301" s="1" t="s">
        <v>27</v>
      </c>
      <c r="E301" s="1" t="s">
        <v>708</v>
      </c>
      <c r="F301" s="1" t="s">
        <v>709</v>
      </c>
      <c r="G301" s="1" t="s">
        <v>23</v>
      </c>
      <c r="I301" s="18">
        <v>42277.72729166667</v>
      </c>
      <c r="J301" s="1" t="s">
        <v>24</v>
      </c>
      <c r="K301" s="1" t="s">
        <v>18</v>
      </c>
      <c r="L301" s="1" t="s">
        <v>19</v>
      </c>
      <c r="Q301" s="21"/>
    </row>
    <row r="302" spans="1:18" x14ac:dyDescent="0.15">
      <c r="A302" s="1">
        <v>537660</v>
      </c>
      <c r="B302" s="1">
        <v>0</v>
      </c>
      <c r="C302" s="1" t="s">
        <v>710</v>
      </c>
      <c r="D302" s="1" t="s">
        <v>27</v>
      </c>
      <c r="E302" s="1" t="s">
        <v>711</v>
      </c>
      <c r="F302" s="1" t="s">
        <v>712</v>
      </c>
      <c r="G302" s="1" t="s">
        <v>23</v>
      </c>
      <c r="I302" s="18">
        <v>42277.71429398148</v>
      </c>
      <c r="J302" s="1" t="s">
        <v>24</v>
      </c>
      <c r="K302" s="1" t="s">
        <v>18</v>
      </c>
      <c r="L302" s="1" t="s">
        <v>19</v>
      </c>
      <c r="Q302" s="21"/>
    </row>
    <row r="303" spans="1:18" x14ac:dyDescent="0.15">
      <c r="A303" s="1">
        <v>537656</v>
      </c>
      <c r="B303" s="1">
        <v>0</v>
      </c>
      <c r="C303" s="1" t="s">
        <v>527</v>
      </c>
      <c r="D303" s="1" t="s">
        <v>27</v>
      </c>
      <c r="E303" s="1" t="s">
        <v>2674</v>
      </c>
      <c r="F303" s="1" t="s">
        <v>2675</v>
      </c>
      <c r="G303" s="1" t="s">
        <v>16</v>
      </c>
      <c r="I303" s="18">
        <v>42277.70821759259</v>
      </c>
      <c r="J303" s="1" t="s">
        <v>17</v>
      </c>
      <c r="K303" s="1" t="s">
        <v>18</v>
      </c>
      <c r="L303" s="1" t="s">
        <v>19</v>
      </c>
      <c r="Q303" s="21"/>
    </row>
    <row r="304" spans="1:18" x14ac:dyDescent="0.15">
      <c r="A304" s="1">
        <v>537481</v>
      </c>
      <c r="B304" s="1">
        <v>0</v>
      </c>
      <c r="C304" s="1" t="s">
        <v>65</v>
      </c>
      <c r="D304" s="1" t="s">
        <v>3911</v>
      </c>
      <c r="E304" s="1" t="s">
        <v>3916</v>
      </c>
      <c r="F304" s="1" t="s">
        <v>3917</v>
      </c>
      <c r="G304" s="1" t="s">
        <v>16</v>
      </c>
      <c r="I304" s="18">
        <v>42277.135254629633</v>
      </c>
      <c r="J304" s="1" t="s">
        <v>17</v>
      </c>
      <c r="K304" s="1" t="s">
        <v>18</v>
      </c>
      <c r="L304" s="1" t="s">
        <v>19</v>
      </c>
      <c r="Q304" s="21"/>
    </row>
    <row r="305" spans="1:18" x14ac:dyDescent="0.15">
      <c r="A305" s="1">
        <v>534994</v>
      </c>
      <c r="B305" s="1">
        <v>0</v>
      </c>
      <c r="C305" s="1" t="s">
        <v>305</v>
      </c>
      <c r="D305" s="1" t="s">
        <v>27</v>
      </c>
      <c r="E305" s="1" t="s">
        <v>2097</v>
      </c>
      <c r="F305" s="1" t="s">
        <v>2098</v>
      </c>
      <c r="G305" s="1" t="s">
        <v>16</v>
      </c>
      <c r="I305" s="18">
        <v>42269.927812499998</v>
      </c>
      <c r="J305" s="1" t="s">
        <v>17</v>
      </c>
      <c r="K305" s="1" t="s">
        <v>18</v>
      </c>
      <c r="L305" s="1" t="s">
        <v>19</v>
      </c>
      <c r="Q305" s="21"/>
    </row>
    <row r="306" spans="1:18" x14ac:dyDescent="0.15">
      <c r="A306" s="1">
        <v>534923</v>
      </c>
      <c r="B306" s="1">
        <v>0</v>
      </c>
      <c r="C306" s="1" t="s">
        <v>751</v>
      </c>
      <c r="D306" s="1" t="s">
        <v>27</v>
      </c>
      <c r="E306" s="1" t="s">
        <v>752</v>
      </c>
      <c r="F306" s="1" t="s">
        <v>753</v>
      </c>
      <c r="G306" s="1" t="s">
        <v>23</v>
      </c>
      <c r="I306" s="18">
        <v>42269.789733796293</v>
      </c>
      <c r="J306" s="1" t="s">
        <v>247</v>
      </c>
      <c r="K306" s="1" t="s">
        <v>18</v>
      </c>
      <c r="L306" s="1" t="s">
        <v>19</v>
      </c>
      <c r="Q306" s="21"/>
    </row>
    <row r="307" spans="1:18" x14ac:dyDescent="0.15">
      <c r="A307" s="1">
        <v>534621</v>
      </c>
      <c r="B307" s="1">
        <v>1</v>
      </c>
      <c r="C307" s="1" t="s">
        <v>665</v>
      </c>
      <c r="D307" s="1" t="s">
        <v>3714</v>
      </c>
      <c r="E307" s="1" t="s">
        <v>3837</v>
      </c>
      <c r="F307" s="1" t="s">
        <v>3838</v>
      </c>
      <c r="G307" s="1" t="s">
        <v>668</v>
      </c>
      <c r="H307" s="1"/>
      <c r="I307" s="18">
        <v>42268.945370370369</v>
      </c>
      <c r="J307" s="1" t="s">
        <v>669</v>
      </c>
      <c r="K307" s="1" t="s">
        <v>18</v>
      </c>
      <c r="L307" s="1" t="s">
        <v>19</v>
      </c>
      <c r="M307" s="1">
        <v>538365</v>
      </c>
      <c r="N307" s="1" t="s">
        <v>3839</v>
      </c>
      <c r="O307" s="18">
        <v>42278.942824074074</v>
      </c>
      <c r="P307" s="1" t="s">
        <v>3840</v>
      </c>
      <c r="Q307" s="21">
        <f t="shared" si="4"/>
        <v>9.997453703705105</v>
      </c>
      <c r="R307" s="1"/>
    </row>
    <row r="308" spans="1:18" x14ac:dyDescent="0.15">
      <c r="A308" s="1">
        <v>531891</v>
      </c>
      <c r="B308" s="1">
        <v>0</v>
      </c>
      <c r="C308" s="1" t="s">
        <v>3307</v>
      </c>
      <c r="D308" s="1" t="s">
        <v>27</v>
      </c>
      <c r="E308" s="1" t="s">
        <v>3308</v>
      </c>
      <c r="F308" s="1" t="s">
        <v>3309</v>
      </c>
      <c r="G308" s="1" t="s">
        <v>23</v>
      </c>
      <c r="I308" s="18">
        <v>42262.351666666669</v>
      </c>
      <c r="J308" s="1" t="s">
        <v>247</v>
      </c>
      <c r="K308" s="1" t="s">
        <v>18</v>
      </c>
      <c r="L308" s="1" t="s">
        <v>19</v>
      </c>
      <c r="Q308" s="21"/>
    </row>
    <row r="309" spans="1:18" x14ac:dyDescent="0.15">
      <c r="A309" s="1">
        <v>530301</v>
      </c>
      <c r="B309" s="1">
        <v>0</v>
      </c>
      <c r="C309" s="1" t="s">
        <v>77</v>
      </c>
      <c r="D309" s="1" t="s">
        <v>27</v>
      </c>
      <c r="E309" s="1" t="s">
        <v>1237</v>
      </c>
      <c r="F309" s="1" t="s">
        <v>1238</v>
      </c>
      <c r="G309" s="1" t="s">
        <v>23</v>
      </c>
      <c r="I309" s="18">
        <v>42257.851817129631</v>
      </c>
      <c r="J309" s="1" t="s">
        <v>247</v>
      </c>
      <c r="K309" s="1" t="s">
        <v>18</v>
      </c>
      <c r="L309" s="1" t="s">
        <v>19</v>
      </c>
      <c r="Q309" s="21"/>
    </row>
    <row r="310" spans="1:18" x14ac:dyDescent="0.15">
      <c r="A310" s="1">
        <v>529531</v>
      </c>
      <c r="B310" s="1">
        <v>0</v>
      </c>
      <c r="C310" s="1" t="s">
        <v>95</v>
      </c>
      <c r="D310" s="1" t="s">
        <v>27</v>
      </c>
      <c r="E310" s="1" t="s">
        <v>1869</v>
      </c>
      <c r="F310" s="1" t="s">
        <v>1870</v>
      </c>
      <c r="G310" s="1" t="s">
        <v>16</v>
      </c>
      <c r="I310" s="18">
        <v>42256.040312500001</v>
      </c>
      <c r="J310" s="1" t="s">
        <v>17</v>
      </c>
      <c r="K310" s="1" t="s">
        <v>18</v>
      </c>
      <c r="L310" s="1" t="s">
        <v>19</v>
      </c>
      <c r="Q310" s="21"/>
    </row>
    <row r="311" spans="1:18" x14ac:dyDescent="0.15">
      <c r="A311" s="1">
        <v>529530</v>
      </c>
      <c r="B311" s="1">
        <v>0</v>
      </c>
      <c r="C311" s="1" t="s">
        <v>369</v>
      </c>
      <c r="D311" s="1" t="s">
        <v>27</v>
      </c>
      <c r="E311" s="1" t="s">
        <v>3275</v>
      </c>
      <c r="F311" s="1" t="s">
        <v>3276</v>
      </c>
      <c r="G311" s="1" t="s">
        <v>16</v>
      </c>
      <c r="I311" s="18">
        <v>42256.039629629631</v>
      </c>
      <c r="J311" s="1" t="s">
        <v>17</v>
      </c>
      <c r="K311" s="1" t="s">
        <v>18</v>
      </c>
      <c r="L311" s="1" t="s">
        <v>19</v>
      </c>
      <c r="Q311" s="21"/>
    </row>
    <row r="312" spans="1:18" x14ac:dyDescent="0.15">
      <c r="A312" s="1">
        <v>529525</v>
      </c>
      <c r="B312" s="1">
        <v>0</v>
      </c>
      <c r="C312" s="1" t="s">
        <v>663</v>
      </c>
      <c r="D312" s="1" t="s">
        <v>3911</v>
      </c>
      <c r="E312" s="1" t="s">
        <v>4033</v>
      </c>
      <c r="F312" s="1" t="s">
        <v>4034</v>
      </c>
      <c r="G312" s="1" t="s">
        <v>16</v>
      </c>
      <c r="I312" s="18">
        <v>42256.037847222222</v>
      </c>
      <c r="J312" s="1" t="s">
        <v>17</v>
      </c>
      <c r="K312" s="1" t="s">
        <v>18</v>
      </c>
      <c r="L312" s="1" t="s">
        <v>19</v>
      </c>
      <c r="Q312" s="21"/>
    </row>
    <row r="313" spans="1:18" x14ac:dyDescent="0.15">
      <c r="A313" s="1">
        <v>529520</v>
      </c>
      <c r="B313" s="1">
        <v>0</v>
      </c>
      <c r="C313" s="1" t="s">
        <v>490</v>
      </c>
      <c r="D313" s="1" t="s">
        <v>27</v>
      </c>
      <c r="E313" s="1" t="s">
        <v>2661</v>
      </c>
      <c r="F313" s="1" t="s">
        <v>2662</v>
      </c>
      <c r="G313" s="1" t="s">
        <v>159</v>
      </c>
      <c r="I313" s="18">
        <v>42256.031631944446</v>
      </c>
      <c r="J313" s="1" t="s">
        <v>17</v>
      </c>
      <c r="K313" s="1" t="s">
        <v>18</v>
      </c>
      <c r="L313" s="1" t="s">
        <v>19</v>
      </c>
      <c r="Q313" s="21"/>
    </row>
    <row r="314" spans="1:18" x14ac:dyDescent="0.15">
      <c r="A314" s="1">
        <v>529489</v>
      </c>
      <c r="B314" s="1">
        <v>0</v>
      </c>
      <c r="C314" s="1" t="s">
        <v>1545</v>
      </c>
      <c r="D314" s="1" t="s">
        <v>3714</v>
      </c>
      <c r="E314" s="1" t="s">
        <v>3888</v>
      </c>
      <c r="F314" s="1" t="s">
        <v>3889</v>
      </c>
      <c r="G314" s="1" t="s">
        <v>3890</v>
      </c>
      <c r="H314" s="1"/>
      <c r="I314" s="18">
        <v>42255.948483796295</v>
      </c>
      <c r="J314" s="1" t="s">
        <v>1064</v>
      </c>
      <c r="K314" s="1" t="s">
        <v>3586</v>
      </c>
      <c r="L314" s="1" t="s">
        <v>19</v>
      </c>
      <c r="Q314" s="21"/>
    </row>
    <row r="315" spans="1:18" x14ac:dyDescent="0.15">
      <c r="A315" s="1">
        <v>529310</v>
      </c>
      <c r="B315" s="1">
        <v>0</v>
      </c>
      <c r="C315" s="1" t="s">
        <v>12</v>
      </c>
      <c r="D315" s="1" t="s">
        <v>27</v>
      </c>
      <c r="E315" s="1" t="s">
        <v>1617</v>
      </c>
      <c r="F315" s="1" t="s">
        <v>1618</v>
      </c>
      <c r="G315" s="1" t="s">
        <v>16</v>
      </c>
      <c r="I315" s="18">
        <v>42255.629166666666</v>
      </c>
      <c r="J315" s="1" t="s">
        <v>17</v>
      </c>
      <c r="K315" s="1" t="s">
        <v>18</v>
      </c>
      <c r="L315" s="1" t="s">
        <v>19</v>
      </c>
      <c r="Q315" s="21"/>
    </row>
    <row r="316" spans="1:18" x14ac:dyDescent="0.15">
      <c r="A316" s="1">
        <v>529012</v>
      </c>
      <c r="B316" s="1">
        <v>0</v>
      </c>
      <c r="C316" s="1" t="s">
        <v>12</v>
      </c>
      <c r="D316" s="1" t="s">
        <v>27</v>
      </c>
      <c r="E316" s="1" t="s">
        <v>832</v>
      </c>
      <c r="F316" s="1" t="s">
        <v>833</v>
      </c>
      <c r="G316" s="1" t="s">
        <v>16</v>
      </c>
      <c r="I316" s="18">
        <v>42254.619409722225</v>
      </c>
      <c r="J316" s="1" t="s">
        <v>17</v>
      </c>
      <c r="K316" s="1" t="s">
        <v>18</v>
      </c>
      <c r="L316" s="1" t="s">
        <v>19</v>
      </c>
      <c r="Q316" s="21"/>
    </row>
    <row r="317" spans="1:18" x14ac:dyDescent="0.15">
      <c r="A317" s="1">
        <v>528799</v>
      </c>
      <c r="B317" s="1">
        <v>0</v>
      </c>
      <c r="C317" s="1" t="s">
        <v>2269</v>
      </c>
      <c r="D317" s="1" t="s">
        <v>27</v>
      </c>
      <c r="E317" s="1" t="s">
        <v>2270</v>
      </c>
      <c r="F317" s="1" t="s">
        <v>2271</v>
      </c>
      <c r="G317" s="1" t="s">
        <v>16</v>
      </c>
      <c r="I317" s="18">
        <v>42253.872847222221</v>
      </c>
      <c r="J317" s="1" t="s">
        <v>17</v>
      </c>
      <c r="K317" s="1" t="s">
        <v>18</v>
      </c>
      <c r="L317" s="1" t="s">
        <v>19</v>
      </c>
      <c r="Q317" s="21"/>
    </row>
    <row r="318" spans="1:18" x14ac:dyDescent="0.15">
      <c r="A318" s="1">
        <v>528798</v>
      </c>
      <c r="B318" s="1">
        <v>0</v>
      </c>
      <c r="C318" s="1" t="s">
        <v>26</v>
      </c>
      <c r="D318" s="1" t="s">
        <v>27</v>
      </c>
      <c r="E318" s="1" t="s">
        <v>2272</v>
      </c>
      <c r="F318" s="1" t="s">
        <v>2273</v>
      </c>
      <c r="G318" s="1" t="s">
        <v>16</v>
      </c>
      <c r="I318" s="18">
        <v>42253.872523148151</v>
      </c>
      <c r="J318" s="1" t="s">
        <v>17</v>
      </c>
      <c r="K318" s="1" t="s">
        <v>18</v>
      </c>
      <c r="L318" s="1" t="s">
        <v>19</v>
      </c>
      <c r="Q318" s="21"/>
    </row>
    <row r="319" spans="1:18" x14ac:dyDescent="0.15">
      <c r="A319" s="1">
        <v>527423</v>
      </c>
      <c r="B319" s="1">
        <v>0</v>
      </c>
      <c r="C319" s="1" t="s">
        <v>1551</v>
      </c>
      <c r="D319" s="1" t="s">
        <v>27</v>
      </c>
      <c r="E319" s="1" t="s">
        <v>3579</v>
      </c>
      <c r="F319" s="1" t="s">
        <v>3580</v>
      </c>
      <c r="G319" s="1" t="s">
        <v>23</v>
      </c>
      <c r="I319" s="18">
        <v>42249.594201388885</v>
      </c>
      <c r="J319" s="1" t="s">
        <v>1026</v>
      </c>
      <c r="K319" s="1" t="s">
        <v>18</v>
      </c>
      <c r="L319" s="1" t="s">
        <v>19</v>
      </c>
      <c r="Q319" s="21"/>
    </row>
    <row r="320" spans="1:18" x14ac:dyDescent="0.15">
      <c r="A320" s="1">
        <v>526378</v>
      </c>
      <c r="B320" s="1">
        <v>0</v>
      </c>
      <c r="C320" s="1" t="s">
        <v>1199</v>
      </c>
      <c r="D320" s="1" t="s">
        <v>3714</v>
      </c>
      <c r="E320" s="1" t="s">
        <v>3774</v>
      </c>
      <c r="F320" s="1" t="s">
        <v>3775</v>
      </c>
      <c r="G320" s="1" t="s">
        <v>159</v>
      </c>
      <c r="I320" s="18">
        <v>42245.5546875</v>
      </c>
      <c r="J320" s="1" t="s">
        <v>3776</v>
      </c>
      <c r="K320" s="1" t="s">
        <v>18</v>
      </c>
      <c r="L320" s="1" t="s">
        <v>19</v>
      </c>
      <c r="Q320" s="21"/>
    </row>
    <row r="321" spans="1:17" x14ac:dyDescent="0.15">
      <c r="A321" s="1">
        <v>525330</v>
      </c>
      <c r="B321" s="1">
        <v>0</v>
      </c>
      <c r="C321" s="1" t="s">
        <v>522</v>
      </c>
      <c r="D321" s="1" t="s">
        <v>27</v>
      </c>
      <c r="E321" s="1" t="s">
        <v>3329</v>
      </c>
      <c r="F321" s="1" t="s">
        <v>3330</v>
      </c>
      <c r="G321" s="1" t="s">
        <v>23</v>
      </c>
      <c r="I321" s="18">
        <v>42243.140081018515</v>
      </c>
      <c r="J321" s="1" t="s">
        <v>24</v>
      </c>
      <c r="K321" s="1" t="s">
        <v>18</v>
      </c>
      <c r="L321" s="1" t="s">
        <v>19</v>
      </c>
      <c r="Q321" s="21"/>
    </row>
    <row r="322" spans="1:17" x14ac:dyDescent="0.15">
      <c r="A322" s="1">
        <v>524074</v>
      </c>
      <c r="B322" s="1">
        <v>0</v>
      </c>
      <c r="C322" s="1" t="s">
        <v>522</v>
      </c>
      <c r="D322" s="1" t="s">
        <v>27</v>
      </c>
      <c r="E322" s="1" t="s">
        <v>2394</v>
      </c>
      <c r="F322" s="1" t="s">
        <v>2395</v>
      </c>
      <c r="G322" s="1"/>
      <c r="H322" s="1"/>
      <c r="I322" s="18">
        <v>42240.697523148148</v>
      </c>
      <c r="J322" s="1" t="s">
        <v>247</v>
      </c>
      <c r="K322" s="1" t="s">
        <v>18</v>
      </c>
      <c r="L322" s="1" t="s">
        <v>19</v>
      </c>
      <c r="Q322" s="21"/>
    </row>
    <row r="323" spans="1:17" x14ac:dyDescent="0.15">
      <c r="A323" s="1">
        <v>522791</v>
      </c>
      <c r="B323" s="1">
        <v>0</v>
      </c>
      <c r="C323" s="1" t="s">
        <v>490</v>
      </c>
      <c r="D323" s="1" t="s">
        <v>27</v>
      </c>
      <c r="E323" s="1" t="s">
        <v>3022</v>
      </c>
      <c r="F323" s="1" t="s">
        <v>3023</v>
      </c>
      <c r="G323" s="1" t="s">
        <v>23</v>
      </c>
      <c r="I323" s="18">
        <v>42236.174837962964</v>
      </c>
      <c r="J323" s="1" t="s">
        <v>247</v>
      </c>
      <c r="K323" s="1" t="s">
        <v>18</v>
      </c>
      <c r="L323" s="1" t="s">
        <v>19</v>
      </c>
      <c r="Q323" s="21"/>
    </row>
    <row r="324" spans="1:17" x14ac:dyDescent="0.15">
      <c r="A324" s="1">
        <v>522131</v>
      </c>
      <c r="B324" s="1">
        <v>0</v>
      </c>
      <c r="C324" s="1" t="s">
        <v>12</v>
      </c>
      <c r="D324" s="1" t="s">
        <v>27</v>
      </c>
      <c r="E324" s="1" t="s">
        <v>3103</v>
      </c>
      <c r="F324" s="1" t="s">
        <v>3104</v>
      </c>
      <c r="G324" s="1" t="s">
        <v>16</v>
      </c>
      <c r="I324" s="18">
        <v>42234.703530092593</v>
      </c>
      <c r="J324" s="1" t="s">
        <v>17</v>
      </c>
      <c r="K324" s="1" t="s">
        <v>18</v>
      </c>
      <c r="L324" s="1" t="s">
        <v>19</v>
      </c>
      <c r="Q324" s="21"/>
    </row>
    <row r="325" spans="1:17" x14ac:dyDescent="0.15">
      <c r="A325" s="1">
        <v>522128</v>
      </c>
      <c r="B325" s="1">
        <v>0</v>
      </c>
      <c r="C325" s="1" t="s">
        <v>77</v>
      </c>
      <c r="D325" s="1" t="s">
        <v>27</v>
      </c>
      <c r="E325" s="1" t="s">
        <v>256</v>
      </c>
      <c r="F325" s="1" t="s">
        <v>257</v>
      </c>
      <c r="G325" s="1" t="s">
        <v>23</v>
      </c>
      <c r="I325" s="18">
        <v>42234.697500000002</v>
      </c>
      <c r="J325" s="1" t="s">
        <v>258</v>
      </c>
      <c r="K325" s="1" t="s">
        <v>18</v>
      </c>
      <c r="L325" s="1" t="s">
        <v>19</v>
      </c>
      <c r="Q325" s="21"/>
    </row>
    <row r="326" spans="1:17" x14ac:dyDescent="0.15">
      <c r="A326" s="1">
        <v>520422</v>
      </c>
      <c r="B326" s="1">
        <v>0</v>
      </c>
      <c r="C326" s="1" t="s">
        <v>12</v>
      </c>
      <c r="D326" s="1" t="s">
        <v>27</v>
      </c>
      <c r="E326" s="1" t="s">
        <v>855</v>
      </c>
      <c r="F326" s="1" t="s">
        <v>856</v>
      </c>
      <c r="G326" s="1" t="s">
        <v>558</v>
      </c>
      <c r="H326" s="1"/>
      <c r="I326" s="18">
        <v>42229.399907407409</v>
      </c>
      <c r="J326" s="1" t="s">
        <v>311</v>
      </c>
      <c r="K326" s="1" t="s">
        <v>18</v>
      </c>
      <c r="L326" s="1" t="s">
        <v>19</v>
      </c>
      <c r="Q326" s="21"/>
    </row>
    <row r="327" spans="1:17" x14ac:dyDescent="0.15">
      <c r="A327" s="1">
        <v>519558</v>
      </c>
      <c r="B327" s="1">
        <v>0</v>
      </c>
      <c r="C327" s="1" t="s">
        <v>522</v>
      </c>
      <c r="D327" s="1" t="s">
        <v>27</v>
      </c>
      <c r="E327" s="1" t="s">
        <v>936</v>
      </c>
      <c r="F327" s="1" t="s">
        <v>937</v>
      </c>
      <c r="G327" s="1"/>
      <c r="H327" s="1"/>
      <c r="I327" s="18">
        <v>42227.689606481479</v>
      </c>
      <c r="J327" s="1" t="s">
        <v>247</v>
      </c>
      <c r="K327" s="1" t="s">
        <v>18</v>
      </c>
      <c r="L327" s="1" t="s">
        <v>19</v>
      </c>
      <c r="Q327" s="21"/>
    </row>
    <row r="328" spans="1:17" x14ac:dyDescent="0.15">
      <c r="A328" s="1">
        <v>517383</v>
      </c>
      <c r="B328" s="1">
        <v>0</v>
      </c>
      <c r="C328" s="1" t="s">
        <v>137</v>
      </c>
      <c r="D328" s="1" t="s">
        <v>27</v>
      </c>
      <c r="E328" s="1" t="s">
        <v>1037</v>
      </c>
      <c r="F328" s="1" t="s">
        <v>1038</v>
      </c>
      <c r="G328" s="1"/>
      <c r="H328" s="1"/>
      <c r="I328" s="18">
        <v>42222.368043981478</v>
      </c>
      <c r="J328" s="1" t="s">
        <v>1039</v>
      </c>
      <c r="K328" s="1" t="s">
        <v>18</v>
      </c>
      <c r="L328" s="1" t="s">
        <v>19</v>
      </c>
      <c r="Q328" s="21"/>
    </row>
    <row r="329" spans="1:17" x14ac:dyDescent="0.15">
      <c r="A329" s="1">
        <v>514755</v>
      </c>
      <c r="B329" s="1">
        <v>0</v>
      </c>
      <c r="C329" s="1" t="s">
        <v>26</v>
      </c>
      <c r="D329" s="1" t="s">
        <v>27</v>
      </c>
      <c r="E329" s="1" t="s">
        <v>3181</v>
      </c>
      <c r="F329" s="1" t="s">
        <v>3182</v>
      </c>
      <c r="G329" s="1" t="s">
        <v>23</v>
      </c>
      <c r="I329" s="18">
        <v>42213.801898148151</v>
      </c>
      <c r="J329" s="1" t="s">
        <v>17</v>
      </c>
      <c r="K329" s="1" t="s">
        <v>18</v>
      </c>
      <c r="L329" s="1" t="s">
        <v>19</v>
      </c>
      <c r="Q329" s="21"/>
    </row>
    <row r="330" spans="1:17" x14ac:dyDescent="0.15">
      <c r="A330" s="13">
        <v>514079</v>
      </c>
      <c r="B330" s="13">
        <v>0</v>
      </c>
      <c r="C330" s="13" t="s">
        <v>101</v>
      </c>
      <c r="D330" s="13" t="s">
        <v>4082</v>
      </c>
      <c r="E330" s="13" t="s">
        <v>1857</v>
      </c>
      <c r="F330" s="13" t="s">
        <v>4106</v>
      </c>
      <c r="G330" s="13" t="s">
        <v>23</v>
      </c>
      <c r="H330" s="13">
        <v>503565</v>
      </c>
      <c r="I330" s="23">
        <v>42211.86347222222</v>
      </c>
      <c r="J330" s="13" t="s">
        <v>17</v>
      </c>
      <c r="K330" s="13" t="s">
        <v>18</v>
      </c>
      <c r="L330" s="13" t="s">
        <v>19</v>
      </c>
      <c r="M330" s="13" t="s">
        <v>4085</v>
      </c>
      <c r="Q330" s="21"/>
    </row>
    <row r="331" spans="1:17" x14ac:dyDescent="0.15">
      <c r="A331" s="1">
        <v>513918</v>
      </c>
      <c r="B331" s="1">
        <v>0</v>
      </c>
      <c r="C331" s="1" t="s">
        <v>101</v>
      </c>
      <c r="D331" s="1" t="s">
        <v>3911</v>
      </c>
      <c r="E331" s="1" t="s">
        <v>877</v>
      </c>
      <c r="F331" s="1" t="s">
        <v>3945</v>
      </c>
      <c r="G331" s="1" t="s">
        <v>23</v>
      </c>
      <c r="I331" s="18">
        <v>42209.966226851851</v>
      </c>
      <c r="J331" s="1" t="s">
        <v>17</v>
      </c>
      <c r="K331" s="1" t="s">
        <v>18</v>
      </c>
      <c r="L331" s="1" t="s">
        <v>19</v>
      </c>
      <c r="Q331" s="21"/>
    </row>
    <row r="332" spans="1:17" x14ac:dyDescent="0.15">
      <c r="A332" s="1">
        <v>512099</v>
      </c>
      <c r="B332" s="1">
        <v>1</v>
      </c>
      <c r="C332" s="1" t="s">
        <v>3421</v>
      </c>
      <c r="D332" s="1" t="s">
        <v>4082</v>
      </c>
      <c r="E332" s="1" t="s">
        <v>4108</v>
      </c>
      <c r="F332" s="1" t="s">
        <v>4109</v>
      </c>
      <c r="G332" s="1" t="s">
        <v>23</v>
      </c>
      <c r="H332" s="1">
        <v>459763</v>
      </c>
      <c r="I332" s="22">
        <v>42205.753009259257</v>
      </c>
      <c r="J332" s="1" t="s">
        <v>1541</v>
      </c>
      <c r="K332" s="1" t="s">
        <v>18</v>
      </c>
      <c r="L332" s="1" t="s">
        <v>19</v>
      </c>
      <c r="M332" s="1">
        <v>459763</v>
      </c>
      <c r="N332" s="14" t="s">
        <v>17</v>
      </c>
      <c r="O332" s="22">
        <v>42053</v>
      </c>
      <c r="Q332" s="21">
        <f t="shared" ref="Q332:Q358" si="5">ABS(O332-I332)</f>
        <v>152.75300925925694</v>
      </c>
    </row>
    <row r="333" spans="1:17" x14ac:dyDescent="0.15">
      <c r="A333" s="1">
        <v>511864</v>
      </c>
      <c r="B333" s="1">
        <v>0</v>
      </c>
      <c r="C333" s="1" t="s">
        <v>305</v>
      </c>
      <c r="D333" s="1" t="s">
        <v>3911</v>
      </c>
      <c r="E333" s="1" t="s">
        <v>3950</v>
      </c>
      <c r="F333" s="1" t="s">
        <v>3951</v>
      </c>
      <c r="G333" s="1"/>
      <c r="H333" s="1"/>
      <c r="I333" s="18">
        <v>42205.168877314813</v>
      </c>
      <c r="J333" s="1" t="s">
        <v>3952</v>
      </c>
      <c r="K333" s="1" t="s">
        <v>18</v>
      </c>
      <c r="L333" s="1" t="s">
        <v>19</v>
      </c>
      <c r="Q333" s="21"/>
    </row>
    <row r="334" spans="1:17" x14ac:dyDescent="0.15">
      <c r="A334" s="1">
        <v>509670</v>
      </c>
      <c r="B334" s="1">
        <v>0</v>
      </c>
      <c r="C334" s="1" t="s">
        <v>730</v>
      </c>
      <c r="D334" s="1" t="s">
        <v>27</v>
      </c>
      <c r="E334" s="1" t="s">
        <v>731</v>
      </c>
      <c r="F334" s="1" t="s">
        <v>732</v>
      </c>
      <c r="G334" s="1" t="s">
        <v>23</v>
      </c>
      <c r="I334" s="18">
        <v>42198.565462962964</v>
      </c>
      <c r="J334" s="1" t="s">
        <v>733</v>
      </c>
      <c r="K334" s="1" t="s">
        <v>18</v>
      </c>
      <c r="L334" s="1" t="s">
        <v>19</v>
      </c>
      <c r="Q334" s="21"/>
    </row>
    <row r="335" spans="1:17" x14ac:dyDescent="0.15">
      <c r="A335" s="1">
        <v>509666</v>
      </c>
      <c r="B335" s="1">
        <v>0</v>
      </c>
      <c r="C335" s="1" t="s">
        <v>101</v>
      </c>
      <c r="D335" s="1" t="s">
        <v>27</v>
      </c>
      <c r="E335" s="1" t="s">
        <v>1408</v>
      </c>
      <c r="F335" s="1" t="s">
        <v>1409</v>
      </c>
      <c r="G335" s="1" t="s">
        <v>23</v>
      </c>
      <c r="I335" s="18">
        <v>42198.56009259259</v>
      </c>
      <c r="J335" s="1" t="s">
        <v>733</v>
      </c>
      <c r="K335" s="1" t="s">
        <v>18</v>
      </c>
      <c r="L335" s="1" t="s">
        <v>19</v>
      </c>
      <c r="Q335" s="21"/>
    </row>
    <row r="336" spans="1:17" x14ac:dyDescent="0.15">
      <c r="A336" s="1">
        <v>508872</v>
      </c>
      <c r="B336" s="1">
        <v>0</v>
      </c>
      <c r="C336" s="1" t="s">
        <v>829</v>
      </c>
      <c r="D336" s="1" t="s">
        <v>27</v>
      </c>
      <c r="E336" s="1" t="s">
        <v>1078</v>
      </c>
      <c r="F336" s="1" t="s">
        <v>1079</v>
      </c>
      <c r="G336" s="1" t="s">
        <v>23</v>
      </c>
      <c r="I336" s="18">
        <v>42195.41337962963</v>
      </c>
      <c r="J336" s="1" t="s">
        <v>1080</v>
      </c>
      <c r="K336" s="1" t="s">
        <v>18</v>
      </c>
      <c r="L336" s="1" t="s">
        <v>19</v>
      </c>
      <c r="Q336" s="21"/>
    </row>
    <row r="337" spans="1:18" x14ac:dyDescent="0.15">
      <c r="A337" s="1">
        <v>508540</v>
      </c>
      <c r="B337" s="1">
        <v>0</v>
      </c>
      <c r="C337" s="1" t="s">
        <v>101</v>
      </c>
      <c r="D337" s="1" t="s">
        <v>27</v>
      </c>
      <c r="E337" s="1" t="s">
        <v>3327</v>
      </c>
      <c r="F337" s="1" t="s">
        <v>3328</v>
      </c>
      <c r="G337" s="1" t="s">
        <v>23</v>
      </c>
      <c r="I337" s="18">
        <v>42194.645543981482</v>
      </c>
      <c r="J337" s="1" t="s">
        <v>40</v>
      </c>
      <c r="K337" s="1" t="s">
        <v>18</v>
      </c>
      <c r="L337" s="1" t="s">
        <v>19</v>
      </c>
      <c r="Q337" s="21"/>
    </row>
    <row r="338" spans="1:18" x14ac:dyDescent="0.15">
      <c r="A338" s="1">
        <v>508086</v>
      </c>
      <c r="B338" s="1">
        <v>0</v>
      </c>
      <c r="C338" s="1" t="s">
        <v>137</v>
      </c>
      <c r="D338" s="1" t="s">
        <v>27</v>
      </c>
      <c r="E338" s="1" t="s">
        <v>2370</v>
      </c>
      <c r="F338" s="1" t="s">
        <v>2371</v>
      </c>
      <c r="G338" s="1" t="s">
        <v>23</v>
      </c>
      <c r="I338" s="18">
        <v>42193.551979166667</v>
      </c>
      <c r="J338" s="1" t="s">
        <v>656</v>
      </c>
      <c r="K338" s="1" t="s">
        <v>18</v>
      </c>
      <c r="L338" s="1" t="s">
        <v>19</v>
      </c>
      <c r="Q338" s="21"/>
    </row>
    <row r="339" spans="1:18" x14ac:dyDescent="0.15">
      <c r="A339" s="1">
        <v>508072</v>
      </c>
      <c r="B339" s="1">
        <v>0</v>
      </c>
      <c r="C339" s="1" t="s">
        <v>137</v>
      </c>
      <c r="D339" s="1" t="s">
        <v>27</v>
      </c>
      <c r="E339" s="1" t="s">
        <v>2632</v>
      </c>
      <c r="F339" s="1" t="s">
        <v>2633</v>
      </c>
      <c r="G339" s="1" t="s">
        <v>23</v>
      </c>
      <c r="I339" s="18">
        <v>42193.527962962966</v>
      </c>
      <c r="J339" s="1" t="s">
        <v>656</v>
      </c>
      <c r="K339" s="1" t="s">
        <v>18</v>
      </c>
      <c r="L339" s="1" t="s">
        <v>19</v>
      </c>
      <c r="Q339" s="21"/>
    </row>
    <row r="340" spans="1:18" x14ac:dyDescent="0.15">
      <c r="A340" s="1">
        <v>508009</v>
      </c>
      <c r="B340" s="1">
        <v>0</v>
      </c>
      <c r="C340" s="1" t="s">
        <v>137</v>
      </c>
      <c r="D340" s="1" t="s">
        <v>27</v>
      </c>
      <c r="E340" s="1" t="s">
        <v>654</v>
      </c>
      <c r="F340" s="1" t="s">
        <v>655</v>
      </c>
      <c r="G340" s="1" t="s">
        <v>23</v>
      </c>
      <c r="I340" s="18">
        <v>42193.378136574072</v>
      </c>
      <c r="J340" s="1" t="s">
        <v>656</v>
      </c>
      <c r="K340" s="1" t="s">
        <v>18</v>
      </c>
      <c r="L340" s="1" t="s">
        <v>19</v>
      </c>
      <c r="Q340" s="21"/>
    </row>
    <row r="341" spans="1:18" x14ac:dyDescent="0.15">
      <c r="A341" s="1">
        <v>507272</v>
      </c>
      <c r="B341" s="1">
        <v>1</v>
      </c>
      <c r="C341" s="1" t="s">
        <v>137</v>
      </c>
      <c r="D341" s="1" t="s">
        <v>27</v>
      </c>
      <c r="E341" s="1" t="s">
        <v>3551</v>
      </c>
      <c r="F341" s="1" t="s">
        <v>3552</v>
      </c>
      <c r="G341" s="1" t="s">
        <v>23</v>
      </c>
      <c r="I341" s="18">
        <v>42191.570254629631</v>
      </c>
      <c r="J341" s="1" t="s">
        <v>3553</v>
      </c>
      <c r="K341" s="1" t="s">
        <v>18</v>
      </c>
      <c r="L341" s="1" t="s">
        <v>19</v>
      </c>
      <c r="M341" s="1">
        <v>507465</v>
      </c>
      <c r="N341" s="1" t="s">
        <v>3554</v>
      </c>
      <c r="O341" s="18">
        <v>42191.94872685185</v>
      </c>
      <c r="P341" s="1" t="s">
        <v>3555</v>
      </c>
      <c r="Q341" s="21">
        <f t="shared" si="5"/>
        <v>0.37847222221898846</v>
      </c>
      <c r="R341" s="1"/>
    </row>
    <row r="342" spans="1:18" x14ac:dyDescent="0.15">
      <c r="A342" s="1">
        <v>507018</v>
      </c>
      <c r="B342" s="1">
        <v>0</v>
      </c>
      <c r="C342" s="1" t="s">
        <v>1545</v>
      </c>
      <c r="D342" s="1" t="s">
        <v>27</v>
      </c>
      <c r="E342" s="1" t="s">
        <v>3325</v>
      </c>
      <c r="F342" s="1" t="s">
        <v>3326</v>
      </c>
      <c r="G342" s="1" t="s">
        <v>23</v>
      </c>
      <c r="I342" s="18">
        <v>42190.419699074075</v>
      </c>
      <c r="J342" s="1" t="s">
        <v>17</v>
      </c>
      <c r="K342" s="1" t="s">
        <v>18</v>
      </c>
      <c r="L342" s="1" t="s">
        <v>19</v>
      </c>
      <c r="Q342" s="21"/>
    </row>
    <row r="343" spans="1:18" x14ac:dyDescent="0.15">
      <c r="A343" s="1">
        <v>506749</v>
      </c>
      <c r="B343" s="1">
        <v>0</v>
      </c>
      <c r="C343" s="1" t="s">
        <v>225</v>
      </c>
      <c r="D343" s="1" t="s">
        <v>27</v>
      </c>
      <c r="E343" s="1" t="s">
        <v>2210</v>
      </c>
      <c r="F343" s="1" t="s">
        <v>2211</v>
      </c>
      <c r="G343" s="1" t="s">
        <v>23</v>
      </c>
      <c r="I343" s="18">
        <v>42188.206921296296</v>
      </c>
      <c r="J343" s="1" t="s">
        <v>17</v>
      </c>
      <c r="K343" s="1" t="s">
        <v>18</v>
      </c>
      <c r="L343" s="1" t="s">
        <v>19</v>
      </c>
      <c r="Q343" s="21"/>
    </row>
    <row r="344" spans="1:18" x14ac:dyDescent="0.15">
      <c r="A344" s="1">
        <v>505374</v>
      </c>
      <c r="B344" s="1">
        <v>0</v>
      </c>
      <c r="C344" s="1" t="s">
        <v>3133</v>
      </c>
      <c r="D344" s="1" t="s">
        <v>27</v>
      </c>
      <c r="E344" s="1" t="s">
        <v>3134</v>
      </c>
      <c r="F344" s="1" t="s">
        <v>3135</v>
      </c>
      <c r="G344" s="1"/>
      <c r="H344" s="1"/>
      <c r="I344" s="18">
        <v>42184.340532407405</v>
      </c>
      <c r="J344" s="1" t="s">
        <v>3136</v>
      </c>
      <c r="K344" s="1" t="s">
        <v>18</v>
      </c>
      <c r="L344" s="1" t="s">
        <v>19</v>
      </c>
      <c r="Q344" s="21"/>
    </row>
    <row r="345" spans="1:18" x14ac:dyDescent="0.15">
      <c r="A345" s="1">
        <v>502794</v>
      </c>
      <c r="B345" s="1">
        <v>1</v>
      </c>
      <c r="C345" s="1" t="s">
        <v>12</v>
      </c>
      <c r="D345" s="1" t="s">
        <v>27</v>
      </c>
      <c r="E345" s="1" t="s">
        <v>2012</v>
      </c>
      <c r="F345" s="1" t="s">
        <v>3455</v>
      </c>
      <c r="G345" s="1" t="s">
        <v>23</v>
      </c>
      <c r="I345" s="18">
        <v>42176.774606481478</v>
      </c>
      <c r="J345" s="1" t="s">
        <v>17</v>
      </c>
      <c r="K345" s="1" t="s">
        <v>18</v>
      </c>
      <c r="L345" s="1" t="s">
        <v>19</v>
      </c>
      <c r="M345" s="1">
        <v>509713</v>
      </c>
      <c r="N345" s="1" t="s">
        <v>3456</v>
      </c>
      <c r="O345" s="18">
        <v>42198.704976851855</v>
      </c>
      <c r="P345" s="1" t="s">
        <v>76</v>
      </c>
      <c r="Q345" s="21">
        <f t="shared" si="5"/>
        <v>21.930370370377204</v>
      </c>
      <c r="R345" s="1"/>
    </row>
    <row r="346" spans="1:18" x14ac:dyDescent="0.15">
      <c r="A346" s="1">
        <v>502562</v>
      </c>
      <c r="B346" s="1">
        <v>0</v>
      </c>
      <c r="C346" s="1" t="s">
        <v>953</v>
      </c>
      <c r="D346" s="1" t="s">
        <v>27</v>
      </c>
      <c r="E346" s="1" t="s">
        <v>954</v>
      </c>
      <c r="F346" s="1" t="s">
        <v>955</v>
      </c>
      <c r="G346" s="1" t="s">
        <v>813</v>
      </c>
      <c r="H346" s="1"/>
      <c r="I346" s="18">
        <v>42175.375</v>
      </c>
      <c r="J346" s="1" t="s">
        <v>76</v>
      </c>
      <c r="K346" s="1" t="s">
        <v>18</v>
      </c>
      <c r="L346" s="1" t="s">
        <v>19</v>
      </c>
      <c r="Q346" s="21"/>
    </row>
    <row r="347" spans="1:18" x14ac:dyDescent="0.15">
      <c r="A347" s="1">
        <v>500353</v>
      </c>
      <c r="B347" s="1">
        <v>0</v>
      </c>
      <c r="C347" s="1" t="s">
        <v>65</v>
      </c>
      <c r="D347" s="1" t="s">
        <v>3911</v>
      </c>
      <c r="E347" s="1" t="s">
        <v>4005</v>
      </c>
      <c r="F347" s="1" t="s">
        <v>4006</v>
      </c>
      <c r="G347" s="1" t="s">
        <v>23</v>
      </c>
      <c r="I347" s="18">
        <v>42169.860983796294</v>
      </c>
      <c r="J347" s="1" t="s">
        <v>17</v>
      </c>
      <c r="K347" s="1" t="s">
        <v>18</v>
      </c>
      <c r="L347" s="1" t="s">
        <v>19</v>
      </c>
      <c r="Q347" s="21"/>
    </row>
    <row r="348" spans="1:18" x14ac:dyDescent="0.15">
      <c r="A348" s="1">
        <v>499279</v>
      </c>
      <c r="B348" s="1">
        <v>1</v>
      </c>
      <c r="C348" s="1" t="s">
        <v>3898</v>
      </c>
      <c r="D348" s="1" t="s">
        <v>3714</v>
      </c>
      <c r="E348" s="1" t="s">
        <v>3899</v>
      </c>
      <c r="F348" s="1" t="s">
        <v>3900</v>
      </c>
      <c r="G348" s="1" t="s">
        <v>159</v>
      </c>
      <c r="I348" s="18">
        <v>42166.527037037034</v>
      </c>
      <c r="J348" s="1" t="s">
        <v>3901</v>
      </c>
      <c r="K348" s="1" t="s">
        <v>3586</v>
      </c>
      <c r="L348" s="1" t="s">
        <v>19</v>
      </c>
      <c r="M348" s="1">
        <v>499654</v>
      </c>
      <c r="N348" s="1" t="s">
        <v>3902</v>
      </c>
      <c r="O348" s="18">
        <v>42167.088900462964</v>
      </c>
      <c r="P348" s="1" t="s">
        <v>98</v>
      </c>
      <c r="Q348" s="21">
        <f t="shared" si="5"/>
        <v>0.56186342592991423</v>
      </c>
      <c r="R348" s="1"/>
    </row>
    <row r="349" spans="1:18" x14ac:dyDescent="0.15">
      <c r="A349" s="1">
        <v>498984</v>
      </c>
      <c r="B349" s="1">
        <v>0</v>
      </c>
      <c r="C349" s="1" t="s">
        <v>137</v>
      </c>
      <c r="D349" s="1" t="s">
        <v>27</v>
      </c>
      <c r="E349" s="1" t="s">
        <v>992</v>
      </c>
      <c r="F349" s="1" t="s">
        <v>993</v>
      </c>
      <c r="G349" s="1"/>
      <c r="H349" s="1"/>
      <c r="I349" s="18">
        <v>42165.87263888889</v>
      </c>
      <c r="J349" s="1" t="s">
        <v>656</v>
      </c>
      <c r="K349" s="1" t="s">
        <v>18</v>
      </c>
      <c r="L349" s="1" t="s">
        <v>19</v>
      </c>
      <c r="Q349" s="21"/>
    </row>
    <row r="350" spans="1:18" x14ac:dyDescent="0.15">
      <c r="A350" s="1">
        <v>497632</v>
      </c>
      <c r="B350" s="1">
        <v>0</v>
      </c>
      <c r="C350" s="1" t="s">
        <v>522</v>
      </c>
      <c r="D350" s="1" t="s">
        <v>3714</v>
      </c>
      <c r="E350" s="1" t="s">
        <v>3734</v>
      </c>
      <c r="F350" s="1" t="s">
        <v>3735</v>
      </c>
      <c r="G350" s="1"/>
      <c r="H350" s="1"/>
      <c r="I350" s="18">
        <v>42163.34883101852</v>
      </c>
      <c r="J350" s="1" t="s">
        <v>68</v>
      </c>
      <c r="K350" s="1" t="s">
        <v>18</v>
      </c>
      <c r="L350" s="1" t="s">
        <v>19</v>
      </c>
      <c r="Q350" s="21"/>
    </row>
    <row r="351" spans="1:18" x14ac:dyDescent="0.15">
      <c r="A351" s="1">
        <v>497507</v>
      </c>
      <c r="B351" s="1">
        <v>0</v>
      </c>
      <c r="C351" s="1" t="s">
        <v>2854</v>
      </c>
      <c r="D351" s="1" t="s">
        <v>27</v>
      </c>
      <c r="E351" s="1" t="s">
        <v>2949</v>
      </c>
      <c r="F351" s="1" t="s">
        <v>2950</v>
      </c>
      <c r="G351" s="1" t="s">
        <v>23</v>
      </c>
      <c r="I351" s="18">
        <v>42161.816805555558</v>
      </c>
      <c r="J351" s="1" t="s">
        <v>80</v>
      </c>
      <c r="K351" s="1" t="s">
        <v>18</v>
      </c>
      <c r="L351" s="1" t="s">
        <v>19</v>
      </c>
      <c r="Q351" s="21"/>
    </row>
    <row r="352" spans="1:18" x14ac:dyDescent="0.15">
      <c r="A352" s="1">
        <v>497357</v>
      </c>
      <c r="B352" s="1">
        <v>1</v>
      </c>
      <c r="C352" s="1" t="s">
        <v>12</v>
      </c>
      <c r="D352" s="1" t="s">
        <v>27</v>
      </c>
      <c r="E352" s="1" t="s">
        <v>3437</v>
      </c>
      <c r="F352" s="1" t="s">
        <v>3438</v>
      </c>
      <c r="G352" s="1" t="s">
        <v>23</v>
      </c>
      <c r="I352" s="18">
        <v>42160.915046296293</v>
      </c>
      <c r="J352" s="1" t="s">
        <v>68</v>
      </c>
      <c r="K352" s="1" t="s">
        <v>18</v>
      </c>
      <c r="L352" s="1" t="s">
        <v>19</v>
      </c>
      <c r="M352" s="1">
        <v>541325</v>
      </c>
      <c r="N352" s="1" t="s">
        <v>3439</v>
      </c>
      <c r="O352" s="18">
        <v>42285.871828703705</v>
      </c>
      <c r="P352" s="1" t="s">
        <v>17</v>
      </c>
      <c r="Q352" s="21">
        <f t="shared" si="5"/>
        <v>124.95678240741108</v>
      </c>
      <c r="R352" s="1"/>
    </row>
    <row r="353" spans="1:18" x14ac:dyDescent="0.15">
      <c r="A353" s="1">
        <v>497355</v>
      </c>
      <c r="B353" s="1">
        <v>1</v>
      </c>
      <c r="C353" s="1" t="s">
        <v>12</v>
      </c>
      <c r="D353" s="1" t="s">
        <v>27</v>
      </c>
      <c r="E353" s="1" t="s">
        <v>3404</v>
      </c>
      <c r="F353" s="1" t="s">
        <v>3440</v>
      </c>
      <c r="G353" s="1" t="s">
        <v>23</v>
      </c>
      <c r="I353" s="18">
        <v>42160.913738425923</v>
      </c>
      <c r="J353" s="1" t="s">
        <v>68</v>
      </c>
      <c r="K353" s="1" t="s">
        <v>18</v>
      </c>
      <c r="L353" s="1" t="s">
        <v>19</v>
      </c>
      <c r="M353" s="1">
        <v>506637</v>
      </c>
      <c r="N353" s="1" t="s">
        <v>3441</v>
      </c>
      <c r="O353" s="18">
        <v>42187.735520833332</v>
      </c>
      <c r="P353" s="1" t="s">
        <v>571</v>
      </c>
      <c r="Q353" s="21">
        <f t="shared" si="5"/>
        <v>26.821782407409046</v>
      </c>
      <c r="R353" s="1"/>
    </row>
    <row r="354" spans="1:18" x14ac:dyDescent="0.15">
      <c r="A354" s="1">
        <v>495933</v>
      </c>
      <c r="B354" s="1">
        <v>1</v>
      </c>
      <c r="C354" s="1" t="s">
        <v>670</v>
      </c>
      <c r="D354" s="1" t="s">
        <v>27</v>
      </c>
      <c r="E354" s="1" t="s">
        <v>2315</v>
      </c>
      <c r="F354" s="1" t="s">
        <v>2316</v>
      </c>
      <c r="G354" s="1" t="s">
        <v>23</v>
      </c>
      <c r="I354" s="18">
        <v>42158.125787037039</v>
      </c>
      <c r="J354" s="1" t="s">
        <v>2317</v>
      </c>
      <c r="K354" s="1" t="s">
        <v>18</v>
      </c>
      <c r="L354" s="1" t="s">
        <v>19</v>
      </c>
      <c r="M354" s="1">
        <v>499936</v>
      </c>
      <c r="N354" s="1" t="s">
        <v>2318</v>
      </c>
      <c r="O354" s="18">
        <v>42167.782881944448</v>
      </c>
      <c r="P354" s="1" t="s">
        <v>485</v>
      </c>
      <c r="Q354" s="21">
        <f t="shared" si="5"/>
        <v>9.6570949074084638</v>
      </c>
      <c r="R354" s="1"/>
    </row>
    <row r="355" spans="1:18" x14ac:dyDescent="0.15">
      <c r="A355" s="1">
        <v>495682</v>
      </c>
      <c r="B355" s="1">
        <v>0</v>
      </c>
      <c r="C355" s="1" t="s">
        <v>305</v>
      </c>
      <c r="D355" s="1" t="s">
        <v>27</v>
      </c>
      <c r="E355" s="1" t="s">
        <v>1692</v>
      </c>
      <c r="F355" s="1" t="s">
        <v>1693</v>
      </c>
      <c r="G355" s="1" t="s">
        <v>23</v>
      </c>
      <c r="I355" s="18">
        <v>42157.706342592595</v>
      </c>
      <c r="J355" s="1" t="s">
        <v>17</v>
      </c>
      <c r="K355" s="1" t="s">
        <v>18</v>
      </c>
      <c r="L355" s="1" t="s">
        <v>19</v>
      </c>
      <c r="Q355" s="21"/>
    </row>
    <row r="356" spans="1:18" x14ac:dyDescent="0.15">
      <c r="A356" s="1">
        <v>494640</v>
      </c>
      <c r="B356" s="1">
        <v>0</v>
      </c>
      <c r="C356" s="1" t="s">
        <v>689</v>
      </c>
      <c r="D356" s="1" t="s">
        <v>27</v>
      </c>
      <c r="E356" s="1" t="s">
        <v>3424</v>
      </c>
      <c r="F356" s="1" t="s">
        <v>3425</v>
      </c>
      <c r="G356" s="1" t="s">
        <v>23</v>
      </c>
      <c r="I356" s="18">
        <v>42155.727442129632</v>
      </c>
      <c r="J356" s="1" t="s">
        <v>247</v>
      </c>
      <c r="K356" s="1" t="s">
        <v>18</v>
      </c>
      <c r="L356" s="1" t="s">
        <v>19</v>
      </c>
      <c r="Q356" s="21"/>
    </row>
    <row r="357" spans="1:18" x14ac:dyDescent="0.15">
      <c r="A357" s="13">
        <v>493579</v>
      </c>
      <c r="B357" s="13">
        <v>0</v>
      </c>
      <c r="C357" s="13" t="s">
        <v>101</v>
      </c>
      <c r="D357" s="13" t="s">
        <v>4082</v>
      </c>
      <c r="E357" s="13" t="s">
        <v>4088</v>
      </c>
      <c r="F357" s="13" t="s">
        <v>4089</v>
      </c>
      <c r="G357" s="13" t="s">
        <v>23</v>
      </c>
      <c r="H357" s="13">
        <v>487981</v>
      </c>
      <c r="I357" s="23">
        <v>42153.319837962961</v>
      </c>
      <c r="J357" s="13" t="s">
        <v>17</v>
      </c>
      <c r="K357" s="13" t="s">
        <v>18</v>
      </c>
      <c r="L357" s="13" t="s">
        <v>19</v>
      </c>
      <c r="M357" s="13" t="s">
        <v>4085</v>
      </c>
      <c r="Q357" s="21"/>
    </row>
    <row r="358" spans="1:18" x14ac:dyDescent="0.15">
      <c r="A358" s="1">
        <v>493243</v>
      </c>
      <c r="B358" s="1">
        <v>1</v>
      </c>
      <c r="C358" s="1" t="s">
        <v>1815</v>
      </c>
      <c r="D358" s="1" t="s">
        <v>27</v>
      </c>
      <c r="E358" s="1" t="s">
        <v>1816</v>
      </c>
      <c r="F358" s="1" t="s">
        <v>1817</v>
      </c>
      <c r="G358" s="1"/>
      <c r="H358" s="1"/>
      <c r="I358" s="18">
        <v>42152.737129629626</v>
      </c>
      <c r="J358" s="1" t="s">
        <v>408</v>
      </c>
      <c r="K358" s="1" t="s">
        <v>18</v>
      </c>
      <c r="L358" s="1" t="s">
        <v>19</v>
      </c>
      <c r="M358" s="1">
        <v>486390</v>
      </c>
      <c r="N358" s="1" t="s">
        <v>1818</v>
      </c>
      <c r="O358" s="18">
        <v>42133.735798611109</v>
      </c>
      <c r="P358" s="1" t="s">
        <v>17</v>
      </c>
      <c r="Q358" s="21">
        <f t="shared" si="5"/>
        <v>19.001331018516794</v>
      </c>
      <c r="R358" s="1"/>
    </row>
    <row r="359" spans="1:18" x14ac:dyDescent="0.15">
      <c r="A359" s="1">
        <v>492981</v>
      </c>
      <c r="B359" s="1">
        <v>0</v>
      </c>
      <c r="C359" s="1" t="s">
        <v>369</v>
      </c>
      <c r="D359" s="1" t="s">
        <v>27</v>
      </c>
      <c r="E359" s="1" t="s">
        <v>3323</v>
      </c>
      <c r="F359" s="1" t="s">
        <v>3324</v>
      </c>
      <c r="G359" s="1" t="s">
        <v>23</v>
      </c>
      <c r="I359" s="18">
        <v>42152.236192129632</v>
      </c>
      <c r="J359" s="1" t="s">
        <v>17</v>
      </c>
      <c r="K359" s="1" t="s">
        <v>18</v>
      </c>
      <c r="L359" s="1" t="s">
        <v>19</v>
      </c>
      <c r="Q359" s="21"/>
    </row>
    <row r="360" spans="1:18" x14ac:dyDescent="0.15">
      <c r="A360" s="1">
        <v>492263</v>
      </c>
      <c r="B360" s="1">
        <v>0</v>
      </c>
      <c r="C360" s="1" t="s">
        <v>65</v>
      </c>
      <c r="D360" s="1" t="s">
        <v>27</v>
      </c>
      <c r="E360" s="1" t="s">
        <v>2409</v>
      </c>
      <c r="F360" s="1" t="s">
        <v>2410</v>
      </c>
      <c r="G360" s="1"/>
      <c r="H360" s="1"/>
      <c r="I360" s="18">
        <v>42150.74927083333</v>
      </c>
      <c r="J360" s="1" t="s">
        <v>68</v>
      </c>
      <c r="K360" s="1" t="s">
        <v>18</v>
      </c>
      <c r="L360" s="1" t="s">
        <v>19</v>
      </c>
      <c r="Q360" s="21"/>
    </row>
    <row r="361" spans="1:18" x14ac:dyDescent="0.15">
      <c r="A361" s="1">
        <v>492052</v>
      </c>
      <c r="B361" s="1">
        <v>0</v>
      </c>
      <c r="C361" s="1" t="s">
        <v>829</v>
      </c>
      <c r="D361" s="1" t="s">
        <v>27</v>
      </c>
      <c r="E361" s="1" t="s">
        <v>3573</v>
      </c>
      <c r="F361" s="1" t="s">
        <v>3574</v>
      </c>
      <c r="G361" s="1"/>
      <c r="H361" s="1"/>
      <c r="I361" s="18">
        <v>42150.296365740738</v>
      </c>
      <c r="J361" s="1" t="s">
        <v>1457</v>
      </c>
      <c r="K361" s="1" t="s">
        <v>18</v>
      </c>
      <c r="L361" s="1" t="s">
        <v>19</v>
      </c>
      <c r="Q361" s="21"/>
    </row>
    <row r="362" spans="1:18" x14ac:dyDescent="0.15">
      <c r="A362" s="1">
        <v>491742</v>
      </c>
      <c r="B362" s="1">
        <v>0</v>
      </c>
      <c r="C362" s="1" t="s">
        <v>101</v>
      </c>
      <c r="D362" s="1" t="s">
        <v>27</v>
      </c>
      <c r="E362" s="1" t="s">
        <v>3128</v>
      </c>
      <c r="F362" s="1" t="s">
        <v>3129</v>
      </c>
      <c r="G362" s="1" t="s">
        <v>23</v>
      </c>
      <c r="I362" s="18">
        <v>42149.015810185185</v>
      </c>
      <c r="J362" s="1" t="s">
        <v>17</v>
      </c>
      <c r="K362" s="1" t="s">
        <v>18</v>
      </c>
      <c r="L362" s="1" t="s">
        <v>19</v>
      </c>
      <c r="Q362" s="21"/>
    </row>
    <row r="363" spans="1:18" x14ac:dyDescent="0.15">
      <c r="A363" s="1">
        <v>491660</v>
      </c>
      <c r="B363" s="1">
        <v>0</v>
      </c>
      <c r="C363" s="1" t="s">
        <v>65</v>
      </c>
      <c r="D363" s="1" t="s">
        <v>27</v>
      </c>
      <c r="E363" s="1" t="s">
        <v>1324</v>
      </c>
      <c r="F363" s="1" t="s">
        <v>1325</v>
      </c>
      <c r="G363" s="1"/>
      <c r="H363" s="1"/>
      <c r="I363" s="18">
        <v>42148.389004629629</v>
      </c>
      <c r="J363" s="1" t="s">
        <v>68</v>
      </c>
      <c r="K363" s="1" t="s">
        <v>18</v>
      </c>
      <c r="L363" s="1" t="s">
        <v>19</v>
      </c>
      <c r="Q363" s="21"/>
    </row>
    <row r="364" spans="1:18" x14ac:dyDescent="0.15">
      <c r="A364" s="1">
        <v>491216</v>
      </c>
      <c r="B364" s="1">
        <v>0</v>
      </c>
      <c r="C364" s="1" t="s">
        <v>1810</v>
      </c>
      <c r="D364" s="1" t="s">
        <v>27</v>
      </c>
      <c r="E364" s="1" t="s">
        <v>3459</v>
      </c>
      <c r="F364" s="1" t="s">
        <v>3460</v>
      </c>
      <c r="G364" s="1" t="s">
        <v>23</v>
      </c>
      <c r="I364" s="18">
        <v>42146.691307870373</v>
      </c>
      <c r="J364" s="1" t="s">
        <v>1026</v>
      </c>
      <c r="K364" s="1" t="s">
        <v>18</v>
      </c>
      <c r="L364" s="1" t="s">
        <v>19</v>
      </c>
      <c r="Q364" s="21"/>
    </row>
    <row r="365" spans="1:18" x14ac:dyDescent="0.15">
      <c r="A365" s="1">
        <v>490506</v>
      </c>
      <c r="B365" s="1">
        <v>0</v>
      </c>
      <c r="C365" s="1" t="s">
        <v>101</v>
      </c>
      <c r="D365" s="1" t="s">
        <v>27</v>
      </c>
      <c r="E365" s="1" t="s">
        <v>343</v>
      </c>
      <c r="F365" s="1" t="s">
        <v>344</v>
      </c>
      <c r="G365" s="1" t="s">
        <v>23</v>
      </c>
      <c r="I365" s="18">
        <v>42145.192881944444</v>
      </c>
      <c r="J365" s="1" t="s">
        <v>17</v>
      </c>
      <c r="K365" s="1" t="s">
        <v>18</v>
      </c>
      <c r="L365" s="1" t="s">
        <v>19</v>
      </c>
      <c r="Q365" s="21"/>
    </row>
    <row r="366" spans="1:18" x14ac:dyDescent="0.15">
      <c r="A366" s="1">
        <v>489060</v>
      </c>
      <c r="B366" s="1">
        <v>0</v>
      </c>
      <c r="C366" s="1" t="s">
        <v>490</v>
      </c>
      <c r="D366" s="1" t="s">
        <v>3911</v>
      </c>
      <c r="E366" s="1" t="s">
        <v>3983</v>
      </c>
      <c r="F366" s="1" t="s">
        <v>3984</v>
      </c>
      <c r="G366" s="1" t="s">
        <v>159</v>
      </c>
      <c r="I366" s="18">
        <v>42141.811076388891</v>
      </c>
      <c r="J366" s="1" t="s">
        <v>2052</v>
      </c>
      <c r="K366" s="1" t="s">
        <v>18</v>
      </c>
      <c r="L366" s="1" t="s">
        <v>19</v>
      </c>
      <c r="Q366" s="21"/>
    </row>
    <row r="367" spans="1:18" x14ac:dyDescent="0.15">
      <c r="A367" s="1">
        <v>487928</v>
      </c>
      <c r="B367" s="1">
        <v>0</v>
      </c>
      <c r="C367" s="1" t="s">
        <v>12</v>
      </c>
      <c r="D367" s="1" t="s">
        <v>27</v>
      </c>
      <c r="E367" s="1" t="s">
        <v>2994</v>
      </c>
      <c r="F367" s="1" t="s">
        <v>2995</v>
      </c>
      <c r="G367" s="1" t="s">
        <v>23</v>
      </c>
      <c r="I367" s="18">
        <v>42138.213483796295</v>
      </c>
      <c r="J367" s="1" t="s">
        <v>76</v>
      </c>
      <c r="K367" s="1" t="s">
        <v>18</v>
      </c>
      <c r="L367" s="1" t="s">
        <v>19</v>
      </c>
      <c r="Q367" s="21"/>
    </row>
    <row r="368" spans="1:18" x14ac:dyDescent="0.15">
      <c r="A368" s="1">
        <v>487286</v>
      </c>
      <c r="B368" s="1">
        <v>0</v>
      </c>
      <c r="D368" s="1" t="s">
        <v>27</v>
      </c>
      <c r="E368" s="1" t="s">
        <v>3536</v>
      </c>
      <c r="F368" s="1" t="s">
        <v>1153</v>
      </c>
      <c r="G368" s="1" t="s">
        <v>23</v>
      </c>
      <c r="I368" s="18">
        <v>42136.684189814812</v>
      </c>
      <c r="J368" s="1" t="s">
        <v>17</v>
      </c>
      <c r="K368" s="1" t="s">
        <v>18</v>
      </c>
      <c r="L368" s="1" t="s">
        <v>19</v>
      </c>
      <c r="Q368" s="21"/>
    </row>
    <row r="369" spans="1:17" x14ac:dyDescent="0.15">
      <c r="A369" s="1">
        <v>487237</v>
      </c>
      <c r="B369" s="1">
        <v>0</v>
      </c>
      <c r="C369" s="1" t="s">
        <v>137</v>
      </c>
      <c r="D369" s="1" t="s">
        <v>27</v>
      </c>
      <c r="E369" s="1" t="s">
        <v>1215</v>
      </c>
      <c r="F369" s="1" t="s">
        <v>1216</v>
      </c>
      <c r="G369" s="1" t="s">
        <v>23</v>
      </c>
      <c r="I369" s="18">
        <v>42136.579375000001</v>
      </c>
      <c r="J369" s="1" t="s">
        <v>656</v>
      </c>
      <c r="K369" s="1" t="s">
        <v>18</v>
      </c>
      <c r="L369" s="1" t="s">
        <v>19</v>
      </c>
      <c r="Q369" s="21"/>
    </row>
    <row r="370" spans="1:17" x14ac:dyDescent="0.15">
      <c r="A370" s="1">
        <v>487155</v>
      </c>
      <c r="B370" s="1">
        <v>0</v>
      </c>
      <c r="C370" s="1" t="s">
        <v>482</v>
      </c>
      <c r="D370" s="1" t="s">
        <v>27</v>
      </c>
      <c r="E370" s="1" t="s">
        <v>483</v>
      </c>
      <c r="F370" s="1" t="s">
        <v>484</v>
      </c>
      <c r="G370" s="1" t="s">
        <v>23</v>
      </c>
      <c r="I370" s="18">
        <v>42136.431481481479</v>
      </c>
      <c r="J370" s="1" t="s">
        <v>485</v>
      </c>
      <c r="K370" s="1" t="s">
        <v>18</v>
      </c>
      <c r="L370" s="1" t="s">
        <v>19</v>
      </c>
      <c r="Q370" s="21"/>
    </row>
    <row r="371" spans="1:17" x14ac:dyDescent="0.15">
      <c r="A371" s="1">
        <v>486977</v>
      </c>
      <c r="B371" s="1">
        <v>0</v>
      </c>
      <c r="C371" s="1" t="s">
        <v>65</v>
      </c>
      <c r="D371" s="1" t="s">
        <v>27</v>
      </c>
      <c r="E371" s="1" t="s">
        <v>798</v>
      </c>
      <c r="F371" s="1" t="s">
        <v>799</v>
      </c>
      <c r="G371" s="1" t="s">
        <v>23</v>
      </c>
      <c r="I371" s="18">
        <v>42135.967592592591</v>
      </c>
      <c r="J371" s="1" t="s">
        <v>17</v>
      </c>
      <c r="K371" s="1" t="s">
        <v>18</v>
      </c>
      <c r="L371" s="1" t="s">
        <v>19</v>
      </c>
      <c r="Q371" s="21"/>
    </row>
    <row r="372" spans="1:17" x14ac:dyDescent="0.15">
      <c r="A372" s="1">
        <v>486947</v>
      </c>
      <c r="B372" s="1">
        <v>0</v>
      </c>
      <c r="C372" s="1" t="s">
        <v>65</v>
      </c>
      <c r="D372" s="1" t="s">
        <v>27</v>
      </c>
      <c r="E372" s="1" t="s">
        <v>1486</v>
      </c>
      <c r="F372" s="1" t="s">
        <v>1487</v>
      </c>
      <c r="G372" s="1" t="s">
        <v>23</v>
      </c>
      <c r="I372" s="18">
        <v>42135.938333333332</v>
      </c>
      <c r="J372" s="1" t="s">
        <v>17</v>
      </c>
      <c r="K372" s="1" t="s">
        <v>18</v>
      </c>
      <c r="L372" s="1" t="s">
        <v>19</v>
      </c>
      <c r="Q372" s="21"/>
    </row>
    <row r="373" spans="1:17" x14ac:dyDescent="0.15">
      <c r="A373" s="1">
        <v>486945</v>
      </c>
      <c r="B373" s="1">
        <v>0</v>
      </c>
      <c r="C373" s="1" t="s">
        <v>65</v>
      </c>
      <c r="D373" s="1" t="s">
        <v>27</v>
      </c>
      <c r="E373" s="1" t="s">
        <v>1482</v>
      </c>
      <c r="F373" s="1" t="s">
        <v>1483</v>
      </c>
      <c r="G373" s="1" t="s">
        <v>23</v>
      </c>
      <c r="I373" s="18">
        <v>42135.937037037038</v>
      </c>
      <c r="J373" s="1" t="s">
        <v>17</v>
      </c>
      <c r="K373" s="1" t="s">
        <v>18</v>
      </c>
      <c r="L373" s="1" t="s">
        <v>19</v>
      </c>
      <c r="Q373" s="21"/>
    </row>
    <row r="374" spans="1:17" x14ac:dyDescent="0.15">
      <c r="A374" s="1">
        <v>486944</v>
      </c>
      <c r="B374" s="1">
        <v>0</v>
      </c>
      <c r="C374" s="1" t="s">
        <v>65</v>
      </c>
      <c r="D374" s="1" t="s">
        <v>27</v>
      </c>
      <c r="E374" s="1" t="s">
        <v>1484</v>
      </c>
      <c r="F374" s="1" t="s">
        <v>1485</v>
      </c>
      <c r="G374" s="1" t="s">
        <v>23</v>
      </c>
      <c r="I374" s="18">
        <v>42135.936562499999</v>
      </c>
      <c r="J374" s="1" t="s">
        <v>17</v>
      </c>
      <c r="K374" s="1" t="s">
        <v>18</v>
      </c>
      <c r="L374" s="1" t="s">
        <v>19</v>
      </c>
      <c r="Q374" s="21"/>
    </row>
    <row r="375" spans="1:17" x14ac:dyDescent="0.15">
      <c r="A375" s="1">
        <v>486538</v>
      </c>
      <c r="B375" s="1">
        <v>0</v>
      </c>
      <c r="C375" s="1" t="s">
        <v>12</v>
      </c>
      <c r="D375" s="1" t="s">
        <v>27</v>
      </c>
      <c r="E375" s="1" t="s">
        <v>99</v>
      </c>
      <c r="F375" s="1" t="s">
        <v>100</v>
      </c>
      <c r="G375" s="1" t="s">
        <v>23</v>
      </c>
      <c r="I375" s="18">
        <v>42134.872673611113</v>
      </c>
      <c r="J375" s="1" t="s">
        <v>17</v>
      </c>
      <c r="K375" s="1" t="s">
        <v>18</v>
      </c>
      <c r="L375" s="1" t="s">
        <v>19</v>
      </c>
      <c r="Q375" s="21"/>
    </row>
    <row r="376" spans="1:17" x14ac:dyDescent="0.15">
      <c r="A376" s="1">
        <v>486004</v>
      </c>
      <c r="B376" s="1">
        <v>0</v>
      </c>
      <c r="D376" s="1" t="s">
        <v>27</v>
      </c>
      <c r="E376" s="1" t="s">
        <v>2396</v>
      </c>
      <c r="F376" s="1" t="s">
        <v>2397</v>
      </c>
      <c r="G376" s="1" t="s">
        <v>23</v>
      </c>
      <c r="I376" s="18">
        <v>42132.584305555552</v>
      </c>
      <c r="J376" s="1" t="s">
        <v>17</v>
      </c>
      <c r="K376" s="1" t="s">
        <v>18</v>
      </c>
      <c r="L376" s="1" t="s">
        <v>19</v>
      </c>
      <c r="Q376" s="21"/>
    </row>
    <row r="377" spans="1:17" x14ac:dyDescent="0.15">
      <c r="A377" s="1">
        <v>485855</v>
      </c>
      <c r="B377" s="1">
        <v>0</v>
      </c>
      <c r="D377" s="1" t="s">
        <v>27</v>
      </c>
      <c r="E377" s="1" t="s">
        <v>2278</v>
      </c>
      <c r="F377" s="1" t="s">
        <v>2279</v>
      </c>
      <c r="G377" s="1" t="s">
        <v>23</v>
      </c>
      <c r="I377" s="18">
        <v>42132.186053240737</v>
      </c>
      <c r="J377" s="1" t="s">
        <v>17</v>
      </c>
      <c r="K377" s="1" t="s">
        <v>18</v>
      </c>
      <c r="L377" s="1" t="s">
        <v>19</v>
      </c>
      <c r="Q377" s="21"/>
    </row>
    <row r="378" spans="1:17" x14ac:dyDescent="0.15">
      <c r="A378" s="1">
        <v>485419</v>
      </c>
      <c r="B378" s="1">
        <v>0</v>
      </c>
      <c r="D378" s="1" t="s">
        <v>27</v>
      </c>
      <c r="E378" s="1" t="s">
        <v>1637</v>
      </c>
      <c r="F378" s="1" t="s">
        <v>1638</v>
      </c>
      <c r="G378" s="1" t="s">
        <v>23</v>
      </c>
      <c r="I378" s="18">
        <v>42131.159201388888</v>
      </c>
      <c r="J378" s="1" t="s">
        <v>17</v>
      </c>
      <c r="K378" s="1" t="s">
        <v>18</v>
      </c>
      <c r="L378" s="1" t="s">
        <v>19</v>
      </c>
      <c r="Q378" s="21"/>
    </row>
    <row r="379" spans="1:17" x14ac:dyDescent="0.15">
      <c r="A379" s="1">
        <v>485413</v>
      </c>
      <c r="B379" s="1">
        <v>0</v>
      </c>
      <c r="C379" s="1" t="s">
        <v>305</v>
      </c>
      <c r="D379" s="1" t="s">
        <v>27</v>
      </c>
      <c r="E379" s="1" t="s">
        <v>3481</v>
      </c>
      <c r="F379" s="1" t="s">
        <v>3482</v>
      </c>
      <c r="G379" s="1" t="s">
        <v>23</v>
      </c>
      <c r="I379" s="18">
        <v>42131.149039351854</v>
      </c>
      <c r="J379" s="1" t="s">
        <v>17</v>
      </c>
      <c r="K379" s="1" t="s">
        <v>18</v>
      </c>
      <c r="L379" s="1" t="s">
        <v>19</v>
      </c>
      <c r="Q379" s="21"/>
    </row>
    <row r="380" spans="1:17" x14ac:dyDescent="0.15">
      <c r="A380" s="1">
        <v>484998</v>
      </c>
      <c r="B380" s="1">
        <v>0</v>
      </c>
      <c r="C380" s="1" t="s">
        <v>65</v>
      </c>
      <c r="D380" s="1" t="s">
        <v>27</v>
      </c>
      <c r="E380" s="1" t="s">
        <v>2377</v>
      </c>
      <c r="F380" s="1" t="s">
        <v>2378</v>
      </c>
      <c r="G380" s="1" t="s">
        <v>353</v>
      </c>
      <c r="I380" s="18">
        <v>42130.388969907406</v>
      </c>
      <c r="J380" s="1" t="s">
        <v>886</v>
      </c>
      <c r="K380" s="1" t="s">
        <v>18</v>
      </c>
      <c r="L380" s="1" t="s">
        <v>19</v>
      </c>
      <c r="Q380" s="21"/>
    </row>
    <row r="381" spans="1:17" x14ac:dyDescent="0.15">
      <c r="A381" s="1">
        <v>484610</v>
      </c>
      <c r="B381" s="1">
        <v>0</v>
      </c>
      <c r="C381" s="1" t="s">
        <v>137</v>
      </c>
      <c r="D381" s="1" t="s">
        <v>27</v>
      </c>
      <c r="E381" s="1" t="s">
        <v>2264</v>
      </c>
      <c r="F381" s="1" t="s">
        <v>2265</v>
      </c>
      <c r="G381" s="1"/>
      <c r="H381" s="1"/>
      <c r="I381" s="18">
        <v>42129.450243055559</v>
      </c>
      <c r="J381" s="1" t="s">
        <v>656</v>
      </c>
      <c r="K381" s="1" t="s">
        <v>18</v>
      </c>
      <c r="L381" s="1" t="s">
        <v>19</v>
      </c>
      <c r="Q381" s="21"/>
    </row>
    <row r="382" spans="1:17" x14ac:dyDescent="0.15">
      <c r="A382" s="1">
        <v>484432</v>
      </c>
      <c r="B382" s="1">
        <v>0</v>
      </c>
      <c r="D382" s="1" t="s">
        <v>27</v>
      </c>
      <c r="E382" s="1" t="s">
        <v>3387</v>
      </c>
      <c r="F382" s="1" t="s">
        <v>3388</v>
      </c>
      <c r="G382" s="1" t="s">
        <v>23</v>
      </c>
      <c r="I382" s="18">
        <v>42128.993414351855</v>
      </c>
      <c r="J382" s="1" t="s">
        <v>454</v>
      </c>
      <c r="K382" s="1" t="s">
        <v>18</v>
      </c>
      <c r="L382" s="1" t="s">
        <v>19</v>
      </c>
      <c r="Q382" s="21"/>
    </row>
    <row r="383" spans="1:17" x14ac:dyDescent="0.15">
      <c r="A383" s="1">
        <v>484270</v>
      </c>
      <c r="B383" s="1">
        <v>0</v>
      </c>
      <c r="C383" s="1" t="s">
        <v>1545</v>
      </c>
      <c r="D383" s="1" t="s">
        <v>27</v>
      </c>
      <c r="E383" s="1" t="s">
        <v>3611</v>
      </c>
      <c r="F383" s="1" t="s">
        <v>3612</v>
      </c>
      <c r="G383" s="1"/>
      <c r="H383" s="1"/>
      <c r="I383" s="18">
        <v>42128.735092592593</v>
      </c>
      <c r="J383" s="1" t="s">
        <v>1026</v>
      </c>
      <c r="K383" s="1" t="s">
        <v>3586</v>
      </c>
      <c r="L383" s="1" t="s">
        <v>19</v>
      </c>
      <c r="Q383" s="21"/>
    </row>
    <row r="384" spans="1:17" x14ac:dyDescent="0.15">
      <c r="A384" s="1">
        <v>482521</v>
      </c>
      <c r="B384" s="1">
        <v>0</v>
      </c>
      <c r="C384" s="1" t="s">
        <v>137</v>
      </c>
      <c r="D384" s="1" t="s">
        <v>27</v>
      </c>
      <c r="E384" s="1" t="s">
        <v>3215</v>
      </c>
      <c r="F384" s="1" t="s">
        <v>3216</v>
      </c>
      <c r="G384" s="1"/>
      <c r="H384" s="1"/>
      <c r="I384" s="18">
        <v>42123.668958333335</v>
      </c>
      <c r="J384" s="1" t="s">
        <v>656</v>
      </c>
      <c r="K384" s="1" t="s">
        <v>18</v>
      </c>
      <c r="L384" s="1" t="s">
        <v>19</v>
      </c>
      <c r="Q384" s="21"/>
    </row>
    <row r="385" spans="1:18" x14ac:dyDescent="0.15">
      <c r="A385" s="1">
        <v>482369</v>
      </c>
      <c r="B385" s="1">
        <v>0</v>
      </c>
      <c r="C385" s="1" t="s">
        <v>2749</v>
      </c>
      <c r="D385" s="1" t="s">
        <v>27</v>
      </c>
      <c r="E385" s="1" t="s">
        <v>2750</v>
      </c>
      <c r="F385" s="1" t="s">
        <v>2751</v>
      </c>
      <c r="G385" s="1" t="s">
        <v>23</v>
      </c>
      <c r="I385" s="18">
        <v>42123.375347222223</v>
      </c>
      <c r="J385" s="1" t="s">
        <v>17</v>
      </c>
      <c r="K385" s="1" t="s">
        <v>18</v>
      </c>
      <c r="L385" s="1" t="s">
        <v>19</v>
      </c>
      <c r="Q385" s="21"/>
    </row>
    <row r="386" spans="1:18" x14ac:dyDescent="0.15">
      <c r="A386" s="1">
        <v>481639</v>
      </c>
      <c r="B386" s="1">
        <v>0</v>
      </c>
      <c r="C386" s="1" t="s">
        <v>137</v>
      </c>
      <c r="D386" s="1" t="s">
        <v>27</v>
      </c>
      <c r="E386" s="1" t="s">
        <v>2203</v>
      </c>
      <c r="F386" s="1" t="s">
        <v>2204</v>
      </c>
      <c r="G386" s="1" t="s">
        <v>23</v>
      </c>
      <c r="I386" s="18">
        <v>42121.845185185186</v>
      </c>
      <c r="J386" s="1" t="s">
        <v>2205</v>
      </c>
      <c r="K386" s="1" t="s">
        <v>18</v>
      </c>
      <c r="L386" s="1" t="s">
        <v>19</v>
      </c>
      <c r="Q386" s="21"/>
    </row>
    <row r="387" spans="1:18" x14ac:dyDescent="0.15">
      <c r="A387" s="1">
        <v>481306</v>
      </c>
      <c r="B387" s="1">
        <v>0</v>
      </c>
      <c r="C387" s="1" t="s">
        <v>137</v>
      </c>
      <c r="D387" s="1" t="s">
        <v>27</v>
      </c>
      <c r="E387" s="1" t="s">
        <v>1908</v>
      </c>
      <c r="F387" s="1" t="s">
        <v>1909</v>
      </c>
      <c r="G387" s="1" t="s">
        <v>23</v>
      </c>
      <c r="I387" s="18">
        <v>42119.131990740738</v>
      </c>
      <c r="J387" s="1" t="s">
        <v>151</v>
      </c>
      <c r="K387" s="1" t="s">
        <v>18</v>
      </c>
      <c r="L387" s="1" t="s">
        <v>19</v>
      </c>
      <c r="Q387" s="21"/>
    </row>
    <row r="388" spans="1:18" x14ac:dyDescent="0.15">
      <c r="A388" s="1">
        <v>481299</v>
      </c>
      <c r="B388" s="1">
        <v>0</v>
      </c>
      <c r="D388" s="1" t="s">
        <v>27</v>
      </c>
      <c r="E388" s="1" t="s">
        <v>3544</v>
      </c>
      <c r="F388" s="1" t="s">
        <v>1265</v>
      </c>
      <c r="G388" s="1" t="s">
        <v>540</v>
      </c>
      <c r="I388" s="18">
        <v>42119.100451388891</v>
      </c>
      <c r="J388" s="1" t="s">
        <v>151</v>
      </c>
      <c r="K388" s="1" t="s">
        <v>18</v>
      </c>
      <c r="L388" s="1" t="s">
        <v>19</v>
      </c>
      <c r="Q388" s="21"/>
    </row>
    <row r="389" spans="1:18" x14ac:dyDescent="0.15">
      <c r="A389" s="1">
        <v>481296</v>
      </c>
      <c r="B389" s="1">
        <v>0</v>
      </c>
      <c r="D389" s="1" t="s">
        <v>27</v>
      </c>
      <c r="E389" s="1" t="s">
        <v>1264</v>
      </c>
      <c r="F389" s="1" t="s">
        <v>1265</v>
      </c>
      <c r="G389" s="1" t="s">
        <v>540</v>
      </c>
      <c r="I389" s="18">
        <v>42119.083252314813</v>
      </c>
      <c r="J389" s="1" t="s">
        <v>151</v>
      </c>
      <c r="K389" s="1" t="s">
        <v>18</v>
      </c>
      <c r="L389" s="1" t="s">
        <v>19</v>
      </c>
      <c r="Q389" s="21"/>
    </row>
    <row r="390" spans="1:18" x14ac:dyDescent="0.15">
      <c r="A390" s="1">
        <v>481044</v>
      </c>
      <c r="B390" s="1">
        <v>0</v>
      </c>
      <c r="C390" s="1" t="s">
        <v>759</v>
      </c>
      <c r="D390" s="1" t="s">
        <v>27</v>
      </c>
      <c r="E390" s="1" t="s">
        <v>2347</v>
      </c>
      <c r="F390" s="1" t="s">
        <v>2348</v>
      </c>
      <c r="G390" s="1"/>
      <c r="H390" s="1"/>
      <c r="I390" s="18">
        <v>42118.685254629629</v>
      </c>
      <c r="J390" s="1" t="s">
        <v>57</v>
      </c>
      <c r="K390" s="1" t="s">
        <v>18</v>
      </c>
      <c r="L390" s="1" t="s">
        <v>19</v>
      </c>
      <c r="Q390" s="21"/>
    </row>
    <row r="391" spans="1:18" x14ac:dyDescent="0.15">
      <c r="A391" s="1">
        <v>479821</v>
      </c>
      <c r="B391" s="1">
        <v>0</v>
      </c>
      <c r="D391" s="1" t="s">
        <v>3911</v>
      </c>
      <c r="E391" s="1" t="s">
        <v>4050</v>
      </c>
      <c r="F391" s="1" t="s">
        <v>342</v>
      </c>
      <c r="G391" s="1" t="s">
        <v>23</v>
      </c>
      <c r="I391" s="18">
        <v>42116.72619212963</v>
      </c>
      <c r="J391" s="1" t="s">
        <v>17</v>
      </c>
      <c r="K391" s="1" t="s">
        <v>18</v>
      </c>
      <c r="L391" s="1" t="s">
        <v>19</v>
      </c>
      <c r="Q391" s="21"/>
    </row>
    <row r="392" spans="1:18" x14ac:dyDescent="0.15">
      <c r="A392" s="1">
        <v>478578</v>
      </c>
      <c r="B392" s="1">
        <v>0</v>
      </c>
      <c r="D392" s="1" t="s">
        <v>27</v>
      </c>
      <c r="E392" s="1" t="s">
        <v>3091</v>
      </c>
      <c r="F392" s="1" t="s">
        <v>3092</v>
      </c>
      <c r="G392" s="1" t="s">
        <v>23</v>
      </c>
      <c r="I392" s="18">
        <v>42114.11886574074</v>
      </c>
      <c r="J392" s="1" t="s">
        <v>17</v>
      </c>
      <c r="K392" s="1" t="s">
        <v>18</v>
      </c>
      <c r="L392" s="1" t="s">
        <v>19</v>
      </c>
      <c r="Q392" s="21"/>
    </row>
    <row r="393" spans="1:18" x14ac:dyDescent="0.15">
      <c r="A393" s="1">
        <v>478575</v>
      </c>
      <c r="B393" s="1">
        <v>0</v>
      </c>
      <c r="D393" s="1" t="s">
        <v>27</v>
      </c>
      <c r="E393" s="1" t="s">
        <v>3089</v>
      </c>
      <c r="F393" s="1" t="s">
        <v>3090</v>
      </c>
      <c r="G393" s="1" t="s">
        <v>23</v>
      </c>
      <c r="I393" s="18">
        <v>42114.107662037037</v>
      </c>
      <c r="J393" s="1" t="s">
        <v>17</v>
      </c>
      <c r="K393" s="1" t="s">
        <v>18</v>
      </c>
      <c r="L393" s="1" t="s">
        <v>19</v>
      </c>
      <c r="Q393" s="21"/>
    </row>
    <row r="394" spans="1:18" x14ac:dyDescent="0.15">
      <c r="A394" s="1">
        <v>478549</v>
      </c>
      <c r="B394" s="1">
        <v>0</v>
      </c>
      <c r="C394" s="1" t="s">
        <v>280</v>
      </c>
      <c r="D394" s="1" t="s">
        <v>27</v>
      </c>
      <c r="E394" s="1" t="s">
        <v>2446</v>
      </c>
      <c r="F394" s="1" t="s">
        <v>2447</v>
      </c>
      <c r="G394" s="1" t="s">
        <v>23</v>
      </c>
      <c r="I394" s="18">
        <v>42113.809560185182</v>
      </c>
      <c r="J394" s="1" t="s">
        <v>408</v>
      </c>
      <c r="K394" s="1" t="s">
        <v>18</v>
      </c>
      <c r="L394" s="1" t="s">
        <v>19</v>
      </c>
      <c r="Q394" s="21"/>
    </row>
    <row r="395" spans="1:18" x14ac:dyDescent="0.15">
      <c r="A395" s="1">
        <v>476926</v>
      </c>
      <c r="B395" s="1">
        <v>0</v>
      </c>
      <c r="C395" s="1" t="s">
        <v>137</v>
      </c>
      <c r="D395" s="1" t="s">
        <v>27</v>
      </c>
      <c r="E395" s="1" t="s">
        <v>3177</v>
      </c>
      <c r="F395" s="1" t="s">
        <v>3178</v>
      </c>
      <c r="G395" s="1"/>
      <c r="H395" s="1"/>
      <c r="I395" s="18">
        <v>42108.578472222223</v>
      </c>
      <c r="J395" s="1" t="s">
        <v>656</v>
      </c>
      <c r="K395" s="1" t="s">
        <v>18</v>
      </c>
      <c r="L395" s="1" t="s">
        <v>19</v>
      </c>
      <c r="Q395" s="21"/>
    </row>
    <row r="396" spans="1:18" x14ac:dyDescent="0.15">
      <c r="A396" s="1">
        <v>476107</v>
      </c>
      <c r="B396" s="1">
        <v>0</v>
      </c>
      <c r="C396" s="1" t="s">
        <v>12</v>
      </c>
      <c r="D396" s="1" t="s">
        <v>27</v>
      </c>
      <c r="E396" s="1" t="s">
        <v>3175</v>
      </c>
      <c r="F396" s="1" t="s">
        <v>3176</v>
      </c>
      <c r="G396" s="1" t="s">
        <v>23</v>
      </c>
      <c r="I396" s="18">
        <v>42104.905821759261</v>
      </c>
      <c r="J396" s="1" t="s">
        <v>106</v>
      </c>
      <c r="K396" s="1" t="s">
        <v>18</v>
      </c>
      <c r="L396" s="1" t="s">
        <v>19</v>
      </c>
      <c r="Q396" s="21"/>
    </row>
    <row r="397" spans="1:18" x14ac:dyDescent="0.15">
      <c r="A397" s="1">
        <v>475749</v>
      </c>
      <c r="B397" s="1">
        <v>0</v>
      </c>
      <c r="C397" s="1" t="s">
        <v>967</v>
      </c>
      <c r="D397" s="1" t="s">
        <v>27</v>
      </c>
      <c r="E397" s="1" t="s">
        <v>2517</v>
      </c>
      <c r="F397" s="1" t="s">
        <v>2518</v>
      </c>
      <c r="G397" s="1" t="s">
        <v>23</v>
      </c>
      <c r="I397" s="18">
        <v>42104.00445601852</v>
      </c>
      <c r="J397" s="1" t="s">
        <v>17</v>
      </c>
      <c r="K397" s="1" t="s">
        <v>18</v>
      </c>
      <c r="L397" s="1" t="s">
        <v>19</v>
      </c>
      <c r="Q397" s="21"/>
    </row>
    <row r="398" spans="1:18" x14ac:dyDescent="0.15">
      <c r="A398" s="1">
        <v>474784</v>
      </c>
      <c r="B398" s="1">
        <v>0</v>
      </c>
      <c r="D398" s="1" t="s">
        <v>27</v>
      </c>
      <c r="E398" s="1" t="s">
        <v>2160</v>
      </c>
      <c r="F398" s="1" t="s">
        <v>2161</v>
      </c>
      <c r="G398" s="1" t="s">
        <v>23</v>
      </c>
      <c r="I398" s="18">
        <v>42101.942071759258</v>
      </c>
      <c r="J398" s="1" t="s">
        <v>17</v>
      </c>
      <c r="K398" s="1" t="s">
        <v>18</v>
      </c>
      <c r="L398" s="1" t="s">
        <v>19</v>
      </c>
      <c r="Q398" s="21"/>
    </row>
    <row r="399" spans="1:18" x14ac:dyDescent="0.15">
      <c r="A399" s="1">
        <v>473688</v>
      </c>
      <c r="B399" s="1">
        <v>0</v>
      </c>
      <c r="C399" s="1" t="s">
        <v>967</v>
      </c>
      <c r="D399" s="1" t="s">
        <v>27</v>
      </c>
      <c r="E399" s="1" t="s">
        <v>2492</v>
      </c>
      <c r="F399" s="1" t="s">
        <v>2493</v>
      </c>
      <c r="G399" s="1" t="s">
        <v>23</v>
      </c>
      <c r="I399" s="18">
        <v>42097.634872685187</v>
      </c>
      <c r="J399" s="1" t="s">
        <v>17</v>
      </c>
      <c r="K399" s="1" t="s">
        <v>18</v>
      </c>
      <c r="L399" s="1" t="s">
        <v>19</v>
      </c>
      <c r="Q399" s="21"/>
    </row>
    <row r="400" spans="1:18" x14ac:dyDescent="0.15">
      <c r="A400" s="1">
        <v>473253</v>
      </c>
      <c r="B400" s="1">
        <v>1</v>
      </c>
      <c r="C400" s="1" t="s">
        <v>829</v>
      </c>
      <c r="D400" s="1" t="s">
        <v>27</v>
      </c>
      <c r="E400" s="1" t="s">
        <v>1302</v>
      </c>
      <c r="F400" s="1" t="s">
        <v>1303</v>
      </c>
      <c r="G400" s="1" t="s">
        <v>23</v>
      </c>
      <c r="I400" s="18">
        <v>42096.73101851852</v>
      </c>
      <c r="J400" s="1" t="s">
        <v>98</v>
      </c>
      <c r="K400" s="1" t="s">
        <v>18</v>
      </c>
      <c r="L400" s="1" t="s">
        <v>19</v>
      </c>
      <c r="M400" s="1">
        <v>469145</v>
      </c>
      <c r="N400" s="1" t="s">
        <v>1304</v>
      </c>
      <c r="O400" s="18">
        <v>42083.564965277779</v>
      </c>
      <c r="P400" s="1" t="s">
        <v>1305</v>
      </c>
      <c r="Q400" s="21">
        <f t="shared" ref="Q400:Q453" si="6">ABS(O400-I400)</f>
        <v>13.166053240740439</v>
      </c>
      <c r="R400" s="1"/>
    </row>
    <row r="401" spans="1:17" x14ac:dyDescent="0.15">
      <c r="A401" s="1">
        <v>472618</v>
      </c>
      <c r="B401" s="1">
        <v>0</v>
      </c>
      <c r="C401" s="1" t="s">
        <v>1426</v>
      </c>
      <c r="D401" s="1" t="s">
        <v>27</v>
      </c>
      <c r="E401" s="1" t="s">
        <v>1459</v>
      </c>
      <c r="F401" s="1" t="s">
        <v>1460</v>
      </c>
      <c r="G401" s="1" t="s">
        <v>23</v>
      </c>
      <c r="I401" s="18">
        <v>42095.61378472222</v>
      </c>
      <c r="J401" s="1" t="s">
        <v>17</v>
      </c>
      <c r="K401" s="1" t="s">
        <v>18</v>
      </c>
      <c r="L401" s="1" t="s">
        <v>19</v>
      </c>
      <c r="Q401" s="21"/>
    </row>
    <row r="402" spans="1:17" x14ac:dyDescent="0.15">
      <c r="A402" s="1">
        <v>472617</v>
      </c>
      <c r="B402" s="1">
        <v>0</v>
      </c>
      <c r="C402" s="1" t="s">
        <v>829</v>
      </c>
      <c r="D402" s="1" t="s">
        <v>27</v>
      </c>
      <c r="E402" s="1" t="s">
        <v>2657</v>
      </c>
      <c r="F402" s="1" t="s">
        <v>2658</v>
      </c>
      <c r="G402" s="1" t="s">
        <v>23</v>
      </c>
      <c r="I402" s="18">
        <v>42095.612083333333</v>
      </c>
      <c r="J402" s="1" t="s">
        <v>17</v>
      </c>
      <c r="K402" s="1" t="s">
        <v>18</v>
      </c>
      <c r="L402" s="1" t="s">
        <v>19</v>
      </c>
      <c r="Q402" s="21"/>
    </row>
    <row r="403" spans="1:17" x14ac:dyDescent="0.15">
      <c r="A403" s="1">
        <v>472614</v>
      </c>
      <c r="B403" s="1">
        <v>0</v>
      </c>
      <c r="C403" s="1" t="s">
        <v>689</v>
      </c>
      <c r="D403" s="1" t="s">
        <v>27</v>
      </c>
      <c r="E403" s="1" t="s">
        <v>2659</v>
      </c>
      <c r="F403" s="1" t="s">
        <v>2660</v>
      </c>
      <c r="G403" s="1" t="s">
        <v>23</v>
      </c>
      <c r="I403" s="18">
        <v>42095.610983796294</v>
      </c>
      <c r="J403" s="1" t="s">
        <v>17</v>
      </c>
      <c r="K403" s="1" t="s">
        <v>18</v>
      </c>
      <c r="L403" s="1" t="s">
        <v>19</v>
      </c>
      <c r="Q403" s="21"/>
    </row>
    <row r="404" spans="1:17" x14ac:dyDescent="0.15">
      <c r="A404" s="1">
        <v>472201</v>
      </c>
      <c r="B404" s="1">
        <v>0</v>
      </c>
      <c r="C404" s="1" t="s">
        <v>137</v>
      </c>
      <c r="D404" s="1" t="s">
        <v>27</v>
      </c>
      <c r="E404" s="1" t="s">
        <v>3334</v>
      </c>
      <c r="F404" s="1" t="s">
        <v>3335</v>
      </c>
      <c r="G404" s="1"/>
      <c r="H404" s="1"/>
      <c r="I404" s="18">
        <v>42094.804456018515</v>
      </c>
      <c r="J404" s="1" t="s">
        <v>656</v>
      </c>
      <c r="K404" s="1" t="s">
        <v>18</v>
      </c>
      <c r="L404" s="1" t="s">
        <v>19</v>
      </c>
      <c r="Q404" s="21"/>
    </row>
    <row r="405" spans="1:17" x14ac:dyDescent="0.15">
      <c r="A405" s="1">
        <v>471990</v>
      </c>
      <c r="B405" s="1">
        <v>0</v>
      </c>
      <c r="C405" s="1" t="s">
        <v>12</v>
      </c>
      <c r="D405" s="1" t="s">
        <v>27</v>
      </c>
      <c r="E405" s="1" t="s">
        <v>1152</v>
      </c>
      <c r="F405" s="1" t="s">
        <v>1153</v>
      </c>
      <c r="G405" s="1" t="s">
        <v>23</v>
      </c>
      <c r="I405" s="18">
        <v>42094.26121527778</v>
      </c>
      <c r="J405" s="1" t="s">
        <v>17</v>
      </c>
      <c r="K405" s="1" t="s">
        <v>18</v>
      </c>
      <c r="L405" s="1" t="s">
        <v>19</v>
      </c>
      <c r="Q405" s="21"/>
    </row>
    <row r="406" spans="1:17" x14ac:dyDescent="0.15">
      <c r="A406" s="1">
        <v>471000</v>
      </c>
      <c r="B406" s="1">
        <v>0</v>
      </c>
      <c r="D406" s="1" t="s">
        <v>27</v>
      </c>
      <c r="E406" s="1" t="s">
        <v>877</v>
      </c>
      <c r="F406" s="1" t="s">
        <v>1219</v>
      </c>
      <c r="G406" s="1" t="s">
        <v>23</v>
      </c>
      <c r="I406" s="18">
        <v>42089.8591087963</v>
      </c>
      <c r="J406" s="1" t="s">
        <v>17</v>
      </c>
      <c r="K406" s="1" t="s">
        <v>18</v>
      </c>
      <c r="L406" s="1" t="s">
        <v>19</v>
      </c>
      <c r="Q406" s="21"/>
    </row>
    <row r="407" spans="1:17" x14ac:dyDescent="0.15">
      <c r="A407" s="1">
        <v>470864</v>
      </c>
      <c r="B407" s="1">
        <v>0</v>
      </c>
      <c r="C407" s="1" t="s">
        <v>137</v>
      </c>
      <c r="D407" s="1" t="s">
        <v>27</v>
      </c>
      <c r="E407" s="1" t="s">
        <v>3483</v>
      </c>
      <c r="F407" s="1" t="s">
        <v>3484</v>
      </c>
      <c r="G407" s="1" t="s">
        <v>23</v>
      </c>
      <c r="I407" s="18">
        <v>42089.579675925925</v>
      </c>
      <c r="J407" s="1" t="s">
        <v>656</v>
      </c>
      <c r="K407" s="1" t="s">
        <v>18</v>
      </c>
      <c r="L407" s="1" t="s">
        <v>19</v>
      </c>
      <c r="Q407" s="21"/>
    </row>
    <row r="408" spans="1:17" x14ac:dyDescent="0.15">
      <c r="A408" s="1">
        <v>470837</v>
      </c>
      <c r="B408" s="1">
        <v>0</v>
      </c>
      <c r="C408" s="1" t="s">
        <v>137</v>
      </c>
      <c r="D408" s="1" t="s">
        <v>27</v>
      </c>
      <c r="E408" s="1" t="s">
        <v>1353</v>
      </c>
      <c r="F408" s="1" t="s">
        <v>1354</v>
      </c>
      <c r="G408" s="1" t="s">
        <v>23</v>
      </c>
      <c r="I408" s="18">
        <v>42089.488634259258</v>
      </c>
      <c r="J408" s="1" t="s">
        <v>656</v>
      </c>
      <c r="K408" s="1" t="s">
        <v>18</v>
      </c>
      <c r="L408" s="1" t="s">
        <v>19</v>
      </c>
      <c r="Q408" s="21"/>
    </row>
    <row r="409" spans="1:17" x14ac:dyDescent="0.15">
      <c r="A409" s="1">
        <v>470777</v>
      </c>
      <c r="B409" s="1">
        <v>0</v>
      </c>
      <c r="C409" s="1" t="s">
        <v>73</v>
      </c>
      <c r="D409" s="1" t="s">
        <v>27</v>
      </c>
      <c r="E409" s="1" t="s">
        <v>242</v>
      </c>
      <c r="F409" s="1" t="s">
        <v>243</v>
      </c>
      <c r="G409" s="1" t="s">
        <v>23</v>
      </c>
      <c r="I409" s="18">
        <v>42089.232002314813</v>
      </c>
      <c r="J409" s="1" t="s">
        <v>17</v>
      </c>
      <c r="K409" s="1" t="s">
        <v>18</v>
      </c>
      <c r="L409" s="1" t="s">
        <v>19</v>
      </c>
      <c r="Q409" s="21"/>
    </row>
    <row r="410" spans="1:17" x14ac:dyDescent="0.15">
      <c r="A410" s="1">
        <v>470753</v>
      </c>
      <c r="B410" s="1">
        <v>0</v>
      </c>
      <c r="C410" s="1" t="s">
        <v>137</v>
      </c>
      <c r="D410" s="1" t="s">
        <v>27</v>
      </c>
      <c r="E410" s="1" t="s">
        <v>1548</v>
      </c>
      <c r="F410" s="1" t="s">
        <v>1549</v>
      </c>
      <c r="G410" s="1" t="s">
        <v>23</v>
      </c>
      <c r="I410" s="18">
        <v>42089.059166666666</v>
      </c>
      <c r="J410" s="1" t="s">
        <v>151</v>
      </c>
      <c r="K410" s="1" t="s">
        <v>18</v>
      </c>
      <c r="L410" s="1" t="s">
        <v>19</v>
      </c>
      <c r="Q410" s="21"/>
    </row>
    <row r="411" spans="1:17" x14ac:dyDescent="0.15">
      <c r="A411" s="1">
        <v>470749</v>
      </c>
      <c r="B411" s="1">
        <v>0</v>
      </c>
      <c r="C411" s="1" t="s">
        <v>137</v>
      </c>
      <c r="D411" s="1" t="s">
        <v>27</v>
      </c>
      <c r="E411" s="1" t="s">
        <v>2194</v>
      </c>
      <c r="F411" s="1" t="s">
        <v>2195</v>
      </c>
      <c r="G411" s="1" t="s">
        <v>23</v>
      </c>
      <c r="I411" s="18">
        <v>42089.051828703705</v>
      </c>
      <c r="J411" s="1" t="s">
        <v>151</v>
      </c>
      <c r="K411" s="1" t="s">
        <v>18</v>
      </c>
      <c r="L411" s="1" t="s">
        <v>19</v>
      </c>
      <c r="Q411" s="21"/>
    </row>
    <row r="412" spans="1:17" x14ac:dyDescent="0.15">
      <c r="A412" s="1">
        <v>469743</v>
      </c>
      <c r="B412" s="1">
        <v>0</v>
      </c>
      <c r="D412" s="1" t="s">
        <v>27</v>
      </c>
      <c r="E412" s="1" t="s">
        <v>2672</v>
      </c>
      <c r="F412" s="1" t="s">
        <v>2673</v>
      </c>
      <c r="G412" s="1" t="s">
        <v>23</v>
      </c>
      <c r="I412" s="18">
        <v>42086.630972222221</v>
      </c>
      <c r="J412" s="1" t="s">
        <v>17</v>
      </c>
      <c r="K412" s="1" t="s">
        <v>18</v>
      </c>
      <c r="L412" s="1" t="s">
        <v>19</v>
      </c>
      <c r="Q412" s="21"/>
    </row>
    <row r="413" spans="1:17" x14ac:dyDescent="0.15">
      <c r="A413" s="1">
        <v>469480</v>
      </c>
      <c r="B413" s="1">
        <v>0</v>
      </c>
      <c r="C413" s="1" t="s">
        <v>101</v>
      </c>
      <c r="D413" s="1" t="s">
        <v>27</v>
      </c>
      <c r="E413" s="1" t="s">
        <v>1351</v>
      </c>
      <c r="F413" s="1" t="s">
        <v>1352</v>
      </c>
      <c r="G413" s="1" t="s">
        <v>23</v>
      </c>
      <c r="I413" s="18">
        <v>42085.360254629632</v>
      </c>
      <c r="J413" s="1" t="s">
        <v>17</v>
      </c>
      <c r="K413" s="1" t="s">
        <v>18</v>
      </c>
      <c r="L413" s="1" t="s">
        <v>19</v>
      </c>
      <c r="Q413" s="21"/>
    </row>
    <row r="414" spans="1:17" x14ac:dyDescent="0.15">
      <c r="A414" s="1">
        <v>469395</v>
      </c>
      <c r="B414" s="1">
        <v>0</v>
      </c>
      <c r="C414" s="1" t="s">
        <v>101</v>
      </c>
      <c r="D414" s="1" t="s">
        <v>27</v>
      </c>
      <c r="E414" s="1" t="s">
        <v>877</v>
      </c>
      <c r="F414" s="1" t="s">
        <v>3130</v>
      </c>
      <c r="G414" s="1" t="s">
        <v>23</v>
      </c>
      <c r="I414" s="18">
        <v>42084.371828703705</v>
      </c>
      <c r="J414" s="1" t="s">
        <v>17</v>
      </c>
      <c r="K414" s="1" t="s">
        <v>18</v>
      </c>
      <c r="L414" s="1" t="s">
        <v>19</v>
      </c>
      <c r="Q414" s="21"/>
    </row>
    <row r="415" spans="1:17" x14ac:dyDescent="0.15">
      <c r="A415" s="1">
        <v>469152</v>
      </c>
      <c r="B415" s="1">
        <v>0</v>
      </c>
      <c r="D415" s="1" t="s">
        <v>27</v>
      </c>
      <c r="E415" s="1" t="s">
        <v>3084</v>
      </c>
      <c r="F415" s="1" t="s">
        <v>3085</v>
      </c>
      <c r="G415" s="1" t="s">
        <v>23</v>
      </c>
      <c r="I415" s="18">
        <v>42083.582199074073</v>
      </c>
      <c r="J415" s="1" t="s">
        <v>40</v>
      </c>
      <c r="K415" s="1" t="s">
        <v>18</v>
      </c>
      <c r="L415" s="1" t="s">
        <v>19</v>
      </c>
      <c r="Q415" s="21"/>
    </row>
    <row r="416" spans="1:17" x14ac:dyDescent="0.15">
      <c r="A416" s="1">
        <v>469148</v>
      </c>
      <c r="B416" s="1">
        <v>0</v>
      </c>
      <c r="D416" s="1" t="s">
        <v>27</v>
      </c>
      <c r="E416" s="1" t="s">
        <v>239</v>
      </c>
      <c r="F416" s="1" t="s">
        <v>240</v>
      </c>
      <c r="G416" s="1" t="s">
        <v>23</v>
      </c>
      <c r="I416" s="18">
        <v>42083.57167824074</v>
      </c>
      <c r="J416" s="1" t="s">
        <v>241</v>
      </c>
      <c r="K416" s="1" t="s">
        <v>18</v>
      </c>
      <c r="L416" s="1" t="s">
        <v>19</v>
      </c>
      <c r="Q416" s="21"/>
    </row>
    <row r="417" spans="1:18" x14ac:dyDescent="0.15">
      <c r="A417" s="1">
        <v>469082</v>
      </c>
      <c r="B417" s="1">
        <v>1</v>
      </c>
      <c r="D417" s="1" t="s">
        <v>27</v>
      </c>
      <c r="E417" s="1" t="s">
        <v>3361</v>
      </c>
      <c r="F417" s="1" t="s">
        <v>3362</v>
      </c>
      <c r="G417" s="1" t="s">
        <v>23</v>
      </c>
      <c r="I417" s="18">
        <v>42083.359930555554</v>
      </c>
      <c r="J417" s="1" t="s">
        <v>106</v>
      </c>
      <c r="K417" s="1" t="s">
        <v>18</v>
      </c>
      <c r="L417" s="1" t="s">
        <v>19</v>
      </c>
      <c r="M417" s="1">
        <v>477340</v>
      </c>
      <c r="N417" s="1" t="s">
        <v>3363</v>
      </c>
      <c r="O417" s="18">
        <v>42109.616574074076</v>
      </c>
      <c r="P417" s="1" t="s">
        <v>3364</v>
      </c>
      <c r="Q417" s="21">
        <f t="shared" si="6"/>
        <v>26.256643518521741</v>
      </c>
      <c r="R417" s="1"/>
    </row>
    <row r="418" spans="1:18" x14ac:dyDescent="0.15">
      <c r="A418" s="1">
        <v>468936</v>
      </c>
      <c r="B418" s="1">
        <v>0</v>
      </c>
      <c r="C418" s="1" t="s">
        <v>470</v>
      </c>
      <c r="D418" s="1" t="s">
        <v>27</v>
      </c>
      <c r="E418" s="1" t="s">
        <v>1526</v>
      </c>
      <c r="F418" s="1" t="s">
        <v>1527</v>
      </c>
      <c r="G418" s="1" t="s">
        <v>23</v>
      </c>
      <c r="I418" s="18">
        <v>42082.882175925923</v>
      </c>
      <c r="J418" s="1" t="s">
        <v>155</v>
      </c>
      <c r="K418" s="1" t="s">
        <v>18</v>
      </c>
      <c r="L418" s="1" t="s">
        <v>19</v>
      </c>
      <c r="Q418" s="21"/>
    </row>
    <row r="419" spans="1:18" x14ac:dyDescent="0.15">
      <c r="A419" s="1">
        <v>468933</v>
      </c>
      <c r="B419" s="1">
        <v>0</v>
      </c>
      <c r="D419" s="1" t="s">
        <v>27</v>
      </c>
      <c r="E419" s="1" t="s">
        <v>1524</v>
      </c>
      <c r="F419" s="1" t="s">
        <v>1525</v>
      </c>
      <c r="G419" s="1" t="s">
        <v>159</v>
      </c>
      <c r="I419" s="18">
        <v>42082.878194444442</v>
      </c>
      <c r="J419" s="1" t="s">
        <v>758</v>
      </c>
      <c r="K419" s="1" t="s">
        <v>18</v>
      </c>
      <c r="L419" s="1" t="s">
        <v>19</v>
      </c>
      <c r="Q419" s="21"/>
    </row>
    <row r="420" spans="1:18" x14ac:dyDescent="0.15">
      <c r="A420" s="1">
        <v>468619</v>
      </c>
      <c r="B420" s="1">
        <v>0</v>
      </c>
      <c r="D420" s="1" t="s">
        <v>3911</v>
      </c>
      <c r="E420" s="1" t="s">
        <v>3936</v>
      </c>
      <c r="F420" s="1" t="s">
        <v>3937</v>
      </c>
      <c r="G420" s="1" t="s">
        <v>23</v>
      </c>
      <c r="I420" s="18">
        <v>42082.202881944446</v>
      </c>
      <c r="J420" s="1" t="s">
        <v>17</v>
      </c>
      <c r="K420" s="1" t="s">
        <v>18</v>
      </c>
      <c r="L420" s="1" t="s">
        <v>19</v>
      </c>
      <c r="Q420" s="21"/>
    </row>
    <row r="421" spans="1:18" x14ac:dyDescent="0.15">
      <c r="A421" s="1">
        <v>467644</v>
      </c>
      <c r="B421" s="1">
        <v>0</v>
      </c>
      <c r="C421" s="1" t="s">
        <v>268</v>
      </c>
      <c r="D421" s="1" t="s">
        <v>27</v>
      </c>
      <c r="E421" s="1" t="s">
        <v>1570</v>
      </c>
      <c r="F421" s="1" t="s">
        <v>1571</v>
      </c>
      <c r="G421" s="1" t="s">
        <v>23</v>
      </c>
      <c r="I421" s="18">
        <v>42079.74894675926</v>
      </c>
      <c r="J421" s="1" t="s">
        <v>17</v>
      </c>
      <c r="K421" s="1" t="s">
        <v>18</v>
      </c>
      <c r="L421" s="1" t="s">
        <v>19</v>
      </c>
      <c r="Q421" s="21"/>
    </row>
    <row r="422" spans="1:18" x14ac:dyDescent="0.15">
      <c r="A422" s="1">
        <v>467481</v>
      </c>
      <c r="B422" s="1">
        <v>0</v>
      </c>
      <c r="C422" s="1" t="s">
        <v>101</v>
      </c>
      <c r="D422" s="1" t="s">
        <v>27</v>
      </c>
      <c r="E422" s="1" t="s">
        <v>1747</v>
      </c>
      <c r="F422" s="1" t="s">
        <v>1748</v>
      </c>
      <c r="G422" s="1" t="s">
        <v>23</v>
      </c>
      <c r="I422" s="18">
        <v>42079.445787037039</v>
      </c>
      <c r="J422" s="1" t="s">
        <v>17</v>
      </c>
      <c r="K422" s="1" t="s">
        <v>18</v>
      </c>
      <c r="L422" s="1" t="s">
        <v>19</v>
      </c>
      <c r="Q422" s="21"/>
    </row>
    <row r="423" spans="1:18" x14ac:dyDescent="0.15">
      <c r="A423" s="1">
        <v>467348</v>
      </c>
      <c r="B423" s="1">
        <v>0</v>
      </c>
      <c r="D423" s="1" t="s">
        <v>27</v>
      </c>
      <c r="E423" s="1" t="s">
        <v>3432</v>
      </c>
      <c r="F423" s="1" t="s">
        <v>3433</v>
      </c>
      <c r="G423" s="1" t="s">
        <v>23</v>
      </c>
      <c r="I423" s="18">
        <v>42077.897789351853</v>
      </c>
      <c r="J423" s="1" t="s">
        <v>17</v>
      </c>
      <c r="K423" s="1" t="s">
        <v>18</v>
      </c>
      <c r="L423" s="1" t="s">
        <v>19</v>
      </c>
      <c r="Q423" s="21"/>
    </row>
    <row r="424" spans="1:18" x14ac:dyDescent="0.15">
      <c r="A424" s="1">
        <v>465557</v>
      </c>
      <c r="B424" s="1">
        <v>0</v>
      </c>
      <c r="D424" s="1" t="s">
        <v>27</v>
      </c>
      <c r="E424" s="1" t="s">
        <v>3583</v>
      </c>
      <c r="F424" s="1" t="s">
        <v>3584</v>
      </c>
      <c r="G424" s="1" t="s">
        <v>3585</v>
      </c>
      <c r="H424" s="1"/>
      <c r="I424" s="18">
        <v>42072.98542824074</v>
      </c>
      <c r="J424" s="1" t="s">
        <v>2718</v>
      </c>
      <c r="K424" s="1" t="s">
        <v>3586</v>
      </c>
      <c r="L424" s="1" t="s">
        <v>19</v>
      </c>
      <c r="Q424" s="21"/>
    </row>
    <row r="425" spans="1:18" x14ac:dyDescent="0.15">
      <c r="A425" s="1">
        <v>465455</v>
      </c>
      <c r="B425" s="1">
        <v>0</v>
      </c>
      <c r="D425" s="1" t="s">
        <v>3911</v>
      </c>
      <c r="E425" s="1" t="s">
        <v>798</v>
      </c>
      <c r="F425" s="1" t="s">
        <v>3969</v>
      </c>
      <c r="G425" s="1" t="s">
        <v>23</v>
      </c>
      <c r="I425" s="18">
        <v>42072.843692129631</v>
      </c>
      <c r="J425" s="1" t="s">
        <v>17</v>
      </c>
      <c r="K425" s="1" t="s">
        <v>18</v>
      </c>
      <c r="L425" s="1" t="s">
        <v>19</v>
      </c>
      <c r="Q425" s="21"/>
    </row>
    <row r="426" spans="1:18" x14ac:dyDescent="0.15">
      <c r="A426" s="1">
        <v>465426</v>
      </c>
      <c r="B426" s="1">
        <v>0</v>
      </c>
      <c r="D426" s="1" t="s">
        <v>27</v>
      </c>
      <c r="E426" s="1" t="s">
        <v>3581</v>
      </c>
      <c r="F426" s="1" t="s">
        <v>3582</v>
      </c>
      <c r="G426" s="1" t="s">
        <v>23</v>
      </c>
      <c r="I426" s="18">
        <v>42072.782106481478</v>
      </c>
      <c r="J426" s="1" t="s">
        <v>17</v>
      </c>
      <c r="K426" s="1" t="s">
        <v>18</v>
      </c>
      <c r="L426" s="1" t="s">
        <v>19</v>
      </c>
      <c r="Q426" s="21"/>
    </row>
    <row r="427" spans="1:18" x14ac:dyDescent="0.15">
      <c r="A427" s="1">
        <v>465358</v>
      </c>
      <c r="B427" s="1">
        <v>0</v>
      </c>
      <c r="D427" s="1" t="s">
        <v>3911</v>
      </c>
      <c r="E427" s="1" t="s">
        <v>4029</v>
      </c>
      <c r="F427" s="1" t="s">
        <v>4030</v>
      </c>
      <c r="G427" s="1" t="s">
        <v>23</v>
      </c>
      <c r="I427" s="18">
        <v>42072.652268518519</v>
      </c>
      <c r="J427" s="1" t="s">
        <v>17</v>
      </c>
      <c r="K427" s="1" t="s">
        <v>18</v>
      </c>
      <c r="L427" s="1" t="s">
        <v>19</v>
      </c>
      <c r="Q427" s="21"/>
    </row>
    <row r="428" spans="1:18" x14ac:dyDescent="0.15">
      <c r="A428" s="1">
        <v>465002</v>
      </c>
      <c r="B428" s="1">
        <v>0</v>
      </c>
      <c r="C428" s="1" t="s">
        <v>95</v>
      </c>
      <c r="D428" s="1" t="s">
        <v>27</v>
      </c>
      <c r="E428" s="1" t="s">
        <v>96</v>
      </c>
      <c r="F428" s="1" t="s">
        <v>97</v>
      </c>
      <c r="G428" s="1"/>
      <c r="H428" s="1"/>
      <c r="I428" s="18">
        <v>42070.682118055556</v>
      </c>
      <c r="J428" s="1" t="s">
        <v>98</v>
      </c>
      <c r="K428" s="1" t="s">
        <v>18</v>
      </c>
      <c r="L428" s="1" t="s">
        <v>19</v>
      </c>
      <c r="Q428" s="21"/>
    </row>
    <row r="429" spans="1:18" x14ac:dyDescent="0.15">
      <c r="A429" s="1">
        <v>464871</v>
      </c>
      <c r="B429" s="1">
        <v>0</v>
      </c>
      <c r="C429" s="1" t="s">
        <v>137</v>
      </c>
      <c r="D429" s="1" t="s">
        <v>27</v>
      </c>
      <c r="E429" s="1" t="s">
        <v>2744</v>
      </c>
      <c r="F429" s="1" t="s">
        <v>2745</v>
      </c>
      <c r="G429" s="1" t="s">
        <v>23</v>
      </c>
      <c r="I429" s="18">
        <v>42069.941782407404</v>
      </c>
      <c r="J429" s="1" t="s">
        <v>151</v>
      </c>
      <c r="K429" s="1" t="s">
        <v>18</v>
      </c>
      <c r="L429" s="1" t="s">
        <v>19</v>
      </c>
      <c r="Q429" s="21"/>
    </row>
    <row r="430" spans="1:18" x14ac:dyDescent="0.15">
      <c r="A430" s="1">
        <v>464870</v>
      </c>
      <c r="B430" s="1">
        <v>0</v>
      </c>
      <c r="C430" s="1" t="s">
        <v>137</v>
      </c>
      <c r="D430" s="1" t="s">
        <v>27</v>
      </c>
      <c r="E430" s="1" t="s">
        <v>2746</v>
      </c>
      <c r="F430" s="1" t="s">
        <v>2747</v>
      </c>
      <c r="G430" s="1" t="s">
        <v>23</v>
      </c>
      <c r="I430" s="18">
        <v>42069.941157407404</v>
      </c>
      <c r="J430" s="1" t="s">
        <v>151</v>
      </c>
      <c r="K430" s="1" t="s">
        <v>18</v>
      </c>
      <c r="L430" s="1" t="s">
        <v>19</v>
      </c>
      <c r="Q430" s="21"/>
    </row>
    <row r="431" spans="1:18" x14ac:dyDescent="0.15">
      <c r="A431" s="1">
        <v>464792</v>
      </c>
      <c r="B431" s="1">
        <v>0</v>
      </c>
      <c r="D431" s="1" t="s">
        <v>27</v>
      </c>
      <c r="E431" s="1" t="s">
        <v>1650</v>
      </c>
      <c r="F431" s="1" t="s">
        <v>1651</v>
      </c>
      <c r="G431" s="1" t="s">
        <v>23</v>
      </c>
      <c r="I431" s="18">
        <v>42069.819467592592</v>
      </c>
      <c r="J431" s="1" t="s">
        <v>17</v>
      </c>
      <c r="K431" s="1" t="s">
        <v>18</v>
      </c>
      <c r="L431" s="1" t="s">
        <v>19</v>
      </c>
      <c r="Q431" s="21"/>
    </row>
    <row r="432" spans="1:18" x14ac:dyDescent="0.15">
      <c r="A432" s="1">
        <v>462843</v>
      </c>
      <c r="B432" s="1">
        <v>0</v>
      </c>
      <c r="D432" s="1" t="s">
        <v>27</v>
      </c>
      <c r="E432" s="1" t="s">
        <v>1926</v>
      </c>
      <c r="F432" s="1" t="s">
        <v>1927</v>
      </c>
      <c r="G432" s="1" t="s">
        <v>353</v>
      </c>
      <c r="I432" s="18">
        <v>42063.252222222225</v>
      </c>
      <c r="J432" s="1" t="s">
        <v>1928</v>
      </c>
      <c r="K432" s="1" t="s">
        <v>18</v>
      </c>
      <c r="L432" s="1" t="s">
        <v>19</v>
      </c>
      <c r="Q432" s="21"/>
    </row>
    <row r="433" spans="1:26" x14ac:dyDescent="0.15">
      <c r="A433" s="1">
        <v>462300</v>
      </c>
      <c r="B433" s="1">
        <v>0</v>
      </c>
      <c r="C433" s="1" t="s">
        <v>340</v>
      </c>
      <c r="D433" s="1" t="s">
        <v>27</v>
      </c>
      <c r="E433" s="1" t="s">
        <v>341</v>
      </c>
      <c r="F433" s="1" t="s">
        <v>342</v>
      </c>
      <c r="G433" s="1" t="s">
        <v>23</v>
      </c>
      <c r="I433" s="18">
        <v>42061.791458333333</v>
      </c>
      <c r="J433" s="1" t="s">
        <v>17</v>
      </c>
      <c r="K433" s="1" t="s">
        <v>18</v>
      </c>
      <c r="L433" s="1" t="s">
        <v>19</v>
      </c>
      <c r="Q433" s="21"/>
    </row>
    <row r="434" spans="1:26" x14ac:dyDescent="0.15">
      <c r="A434" s="1">
        <v>461191</v>
      </c>
      <c r="B434" s="1">
        <v>0</v>
      </c>
      <c r="C434" s="1" t="s">
        <v>829</v>
      </c>
      <c r="D434" s="1" t="s">
        <v>27</v>
      </c>
      <c r="E434" s="1" t="s">
        <v>3173</v>
      </c>
      <c r="F434" s="1" t="s">
        <v>3174</v>
      </c>
      <c r="G434" s="1" t="s">
        <v>23</v>
      </c>
      <c r="I434" s="18">
        <v>42059.154027777775</v>
      </c>
      <c r="J434" s="1" t="s">
        <v>98</v>
      </c>
      <c r="K434" s="1" t="s">
        <v>18</v>
      </c>
      <c r="L434" s="1" t="s">
        <v>19</v>
      </c>
      <c r="Q434" s="21"/>
    </row>
    <row r="435" spans="1:26" x14ac:dyDescent="0.15">
      <c r="A435" s="1">
        <v>460939</v>
      </c>
      <c r="B435" s="1">
        <v>0</v>
      </c>
      <c r="C435" s="1" t="s">
        <v>1447</v>
      </c>
      <c r="D435" s="1" t="s">
        <v>27</v>
      </c>
      <c r="E435" s="1" t="s">
        <v>1800</v>
      </c>
      <c r="F435" s="1" t="s">
        <v>1801</v>
      </c>
      <c r="G435" s="1" t="s">
        <v>23</v>
      </c>
      <c r="I435" s="18">
        <v>42058.680856481478</v>
      </c>
      <c r="J435" s="1" t="s">
        <v>17</v>
      </c>
      <c r="K435" s="1" t="s">
        <v>18</v>
      </c>
      <c r="L435" s="1" t="s">
        <v>19</v>
      </c>
      <c r="Q435" s="21"/>
    </row>
    <row r="436" spans="1:26" x14ac:dyDescent="0.15">
      <c r="A436" s="1">
        <v>460938</v>
      </c>
      <c r="B436" s="1">
        <v>0</v>
      </c>
      <c r="D436" s="1" t="s">
        <v>27</v>
      </c>
      <c r="E436" s="1" t="s">
        <v>3238</v>
      </c>
      <c r="F436" s="1" t="s">
        <v>3260</v>
      </c>
      <c r="G436" s="1" t="s">
        <v>23</v>
      </c>
      <c r="I436" s="18">
        <v>42058.67864583333</v>
      </c>
      <c r="J436" s="1" t="s">
        <v>17</v>
      </c>
      <c r="K436" s="1" t="s">
        <v>18</v>
      </c>
      <c r="L436" s="1" t="s">
        <v>19</v>
      </c>
      <c r="Q436" s="21"/>
    </row>
    <row r="437" spans="1:26" x14ac:dyDescent="0.15">
      <c r="A437" s="1">
        <v>460917</v>
      </c>
      <c r="B437" s="1">
        <v>0</v>
      </c>
      <c r="C437" s="1" t="s">
        <v>101</v>
      </c>
      <c r="D437" s="1" t="s">
        <v>3714</v>
      </c>
      <c r="E437" s="1" t="s">
        <v>3761</v>
      </c>
      <c r="F437" s="1" t="s">
        <v>3762</v>
      </c>
      <c r="G437" s="1" t="s">
        <v>23</v>
      </c>
      <c r="I437" s="18">
        <v>42058.631493055553</v>
      </c>
      <c r="J437" s="1" t="s">
        <v>3763</v>
      </c>
      <c r="K437" s="1" t="s">
        <v>18</v>
      </c>
      <c r="L437" s="1" t="s">
        <v>19</v>
      </c>
      <c r="Q437" s="21"/>
    </row>
    <row r="438" spans="1:26" x14ac:dyDescent="0.15">
      <c r="A438" s="1">
        <v>460752</v>
      </c>
      <c r="B438" s="1">
        <v>0</v>
      </c>
      <c r="D438" s="1" t="s">
        <v>27</v>
      </c>
      <c r="E438" s="1" t="s">
        <v>2570</v>
      </c>
      <c r="F438" s="1" t="s">
        <v>2571</v>
      </c>
      <c r="G438" s="1" t="s">
        <v>23</v>
      </c>
      <c r="I438" s="18">
        <v>42057.205254629633</v>
      </c>
      <c r="J438" s="1" t="s">
        <v>17</v>
      </c>
      <c r="K438" s="1" t="s">
        <v>18</v>
      </c>
      <c r="L438" s="1" t="s">
        <v>19</v>
      </c>
      <c r="Q438" s="21"/>
    </row>
    <row r="439" spans="1:26" x14ac:dyDescent="0.15">
      <c r="A439" s="1">
        <v>460282</v>
      </c>
      <c r="B439" s="1">
        <v>0</v>
      </c>
      <c r="D439" s="1" t="s">
        <v>3911</v>
      </c>
      <c r="E439" s="1" t="s">
        <v>4015</v>
      </c>
      <c r="F439" s="1" t="s">
        <v>4016</v>
      </c>
      <c r="G439" s="1" t="s">
        <v>23</v>
      </c>
      <c r="I439" s="18">
        <v>42054.981851851851</v>
      </c>
      <c r="J439" s="1" t="s">
        <v>17</v>
      </c>
      <c r="K439" s="1" t="s">
        <v>18</v>
      </c>
      <c r="L439" s="1" t="s">
        <v>19</v>
      </c>
      <c r="Q439" s="21"/>
    </row>
    <row r="440" spans="1:26" x14ac:dyDescent="0.15">
      <c r="A440" s="1">
        <v>460145</v>
      </c>
      <c r="B440" s="1">
        <v>0</v>
      </c>
      <c r="D440" s="1" t="s">
        <v>27</v>
      </c>
      <c r="E440" s="1" t="s">
        <v>3619</v>
      </c>
      <c r="F440" s="1" t="s">
        <v>3620</v>
      </c>
      <c r="G440" s="1"/>
      <c r="H440" s="1"/>
      <c r="I440" s="18">
        <v>42054.787534722222</v>
      </c>
      <c r="J440" s="1" t="s">
        <v>3621</v>
      </c>
      <c r="K440" s="1" t="s">
        <v>3586</v>
      </c>
      <c r="L440" s="1" t="s">
        <v>19</v>
      </c>
      <c r="Q440" s="21"/>
    </row>
    <row r="441" spans="1:26" x14ac:dyDescent="0.15">
      <c r="A441" s="1">
        <v>459898</v>
      </c>
      <c r="B441" s="1">
        <v>0</v>
      </c>
      <c r="D441" s="1" t="s">
        <v>27</v>
      </c>
      <c r="E441" s="1" t="s">
        <v>2012</v>
      </c>
      <c r="F441" s="1" t="s">
        <v>2656</v>
      </c>
      <c r="G441" s="1" t="s">
        <v>23</v>
      </c>
      <c r="I441" s="18">
        <v>42054.322638888887</v>
      </c>
      <c r="J441" s="1" t="s">
        <v>17</v>
      </c>
      <c r="K441" s="1" t="s">
        <v>18</v>
      </c>
      <c r="L441" s="1" t="s">
        <v>19</v>
      </c>
      <c r="Q441" s="21"/>
    </row>
    <row r="442" spans="1:26" x14ac:dyDescent="0.15">
      <c r="A442" s="1">
        <v>459533</v>
      </c>
      <c r="B442" s="1">
        <v>0</v>
      </c>
      <c r="D442" s="1" t="s">
        <v>27</v>
      </c>
      <c r="E442" s="1" t="s">
        <v>2535</v>
      </c>
      <c r="F442" s="1" t="s">
        <v>2536</v>
      </c>
      <c r="G442" s="1"/>
      <c r="H442" s="1"/>
      <c r="I442" s="18">
        <v>42053.410451388889</v>
      </c>
      <c r="J442" s="1" t="s">
        <v>68</v>
      </c>
      <c r="K442" s="1" t="s">
        <v>18</v>
      </c>
      <c r="L442" s="1" t="s">
        <v>19</v>
      </c>
      <c r="Q442" s="21"/>
    </row>
    <row r="443" spans="1:26" x14ac:dyDescent="0.15">
      <c r="A443" s="1">
        <v>459215</v>
      </c>
      <c r="B443" s="1">
        <v>0</v>
      </c>
      <c r="C443" s="1" t="s">
        <v>12</v>
      </c>
      <c r="D443" s="1" t="s">
        <v>27</v>
      </c>
      <c r="E443" s="1" t="s">
        <v>3067</v>
      </c>
      <c r="F443" s="1" t="s">
        <v>3068</v>
      </c>
      <c r="G443" s="1" t="s">
        <v>23</v>
      </c>
      <c r="I443" s="18">
        <v>42052.639537037037</v>
      </c>
      <c r="J443" s="1" t="s">
        <v>3069</v>
      </c>
      <c r="K443" s="1" t="s">
        <v>18</v>
      </c>
      <c r="L443" s="1" t="s">
        <v>19</v>
      </c>
      <c r="Q443" s="21"/>
    </row>
    <row r="444" spans="1:26" x14ac:dyDescent="0.15">
      <c r="A444" s="1">
        <v>459115</v>
      </c>
      <c r="B444" s="1">
        <v>0</v>
      </c>
      <c r="D444" s="1" t="s">
        <v>27</v>
      </c>
      <c r="E444" s="1" t="s">
        <v>2236</v>
      </c>
      <c r="F444" s="1" t="s">
        <v>250</v>
      </c>
      <c r="G444" s="1" t="s">
        <v>23</v>
      </c>
      <c r="I444" s="18">
        <v>42052.270810185182</v>
      </c>
      <c r="J444" s="1" t="s">
        <v>17</v>
      </c>
      <c r="K444" s="1" t="s">
        <v>18</v>
      </c>
      <c r="L444" s="1" t="s">
        <v>19</v>
      </c>
      <c r="Q444" s="21"/>
    </row>
    <row r="445" spans="1:26" x14ac:dyDescent="0.15">
      <c r="A445" s="1">
        <v>459043</v>
      </c>
      <c r="B445" s="1">
        <v>3</v>
      </c>
      <c r="C445" s="1" t="s">
        <v>1313</v>
      </c>
      <c r="D445" s="1" t="s">
        <v>27</v>
      </c>
      <c r="E445" s="1" t="s">
        <v>2002</v>
      </c>
      <c r="F445" s="1" t="s">
        <v>2003</v>
      </c>
      <c r="G445" s="1" t="s">
        <v>23</v>
      </c>
      <c r="I445" s="18">
        <v>42051.783750000002</v>
      </c>
      <c r="J445" s="1" t="s">
        <v>2004</v>
      </c>
      <c r="K445" s="1" t="s">
        <v>18</v>
      </c>
      <c r="L445" s="1" t="s">
        <v>19</v>
      </c>
      <c r="M445" s="1">
        <v>464252</v>
      </c>
      <c r="N445" s="1" t="s">
        <v>2005</v>
      </c>
      <c r="O445" s="18">
        <v>42068.213865740741</v>
      </c>
      <c r="P445" s="1" t="s">
        <v>2006</v>
      </c>
      <c r="Q445" s="21">
        <f t="shared" si="6"/>
        <v>16.430115740738984</v>
      </c>
      <c r="R445" s="1">
        <v>458874</v>
      </c>
      <c r="S445" s="1" t="s">
        <v>2005</v>
      </c>
      <c r="T445" s="2" t="s">
        <v>4166</v>
      </c>
      <c r="U445" s="1" t="s">
        <v>17</v>
      </c>
      <c r="V445" s="1">
        <v>454223</v>
      </c>
      <c r="W445" s="1" t="s">
        <v>2005</v>
      </c>
      <c r="X445" s="4" t="s">
        <v>4167</v>
      </c>
      <c r="Y445" s="1" t="s">
        <v>2007</v>
      </c>
      <c r="Z445" s="1"/>
    </row>
    <row r="446" spans="1:26" x14ac:dyDescent="0.15">
      <c r="A446" s="1">
        <v>458870</v>
      </c>
      <c r="B446" s="1">
        <v>0</v>
      </c>
      <c r="D446" s="1" t="s">
        <v>27</v>
      </c>
      <c r="E446" s="1" t="s">
        <v>1206</v>
      </c>
      <c r="F446" s="1" t="s">
        <v>1207</v>
      </c>
      <c r="G446" s="1" t="s">
        <v>23</v>
      </c>
      <c r="I446" s="18">
        <v>42050.98228009259</v>
      </c>
      <c r="J446" s="1" t="s">
        <v>17</v>
      </c>
      <c r="K446" s="1" t="s">
        <v>18</v>
      </c>
      <c r="L446" s="1" t="s">
        <v>19</v>
      </c>
      <c r="Q446" s="21"/>
    </row>
    <row r="447" spans="1:26" x14ac:dyDescent="0.15">
      <c r="A447" s="1">
        <v>458869</v>
      </c>
      <c r="B447" s="1">
        <v>0</v>
      </c>
      <c r="D447" s="1" t="s">
        <v>27</v>
      </c>
      <c r="E447" s="1" t="s">
        <v>532</v>
      </c>
      <c r="F447" s="1" t="s">
        <v>533</v>
      </c>
      <c r="G447" s="1" t="s">
        <v>23</v>
      </c>
      <c r="I447" s="18">
        <v>42050.981539351851</v>
      </c>
      <c r="J447" s="1" t="s">
        <v>17</v>
      </c>
      <c r="K447" s="1" t="s">
        <v>18</v>
      </c>
      <c r="L447" s="1" t="s">
        <v>19</v>
      </c>
      <c r="Q447" s="21"/>
    </row>
    <row r="448" spans="1:26" x14ac:dyDescent="0.15">
      <c r="A448" s="1">
        <v>458776</v>
      </c>
      <c r="B448" s="1">
        <v>0</v>
      </c>
      <c r="D448" s="1" t="s">
        <v>27</v>
      </c>
      <c r="E448" s="1" t="s">
        <v>2895</v>
      </c>
      <c r="F448" s="1" t="s">
        <v>2896</v>
      </c>
      <c r="G448" s="1" t="s">
        <v>23</v>
      </c>
      <c r="I448" s="18">
        <v>42049.591249999998</v>
      </c>
      <c r="J448" s="1" t="s">
        <v>17</v>
      </c>
      <c r="K448" s="1" t="s">
        <v>18</v>
      </c>
      <c r="L448" s="1" t="s">
        <v>19</v>
      </c>
      <c r="Q448" s="21"/>
    </row>
    <row r="449" spans="1:18" x14ac:dyDescent="0.15">
      <c r="A449" s="1">
        <v>458705</v>
      </c>
      <c r="B449" s="1">
        <v>0</v>
      </c>
      <c r="D449" s="1" t="s">
        <v>3911</v>
      </c>
      <c r="E449" s="1" t="s">
        <v>3974</v>
      </c>
      <c r="F449" s="1" t="s">
        <v>342</v>
      </c>
      <c r="G449" s="1" t="s">
        <v>23</v>
      </c>
      <c r="I449" s="18">
        <v>42048.981574074074</v>
      </c>
      <c r="J449" s="1" t="s">
        <v>17</v>
      </c>
      <c r="K449" s="1" t="s">
        <v>18</v>
      </c>
      <c r="L449" s="1" t="s">
        <v>19</v>
      </c>
      <c r="Q449" s="21"/>
    </row>
    <row r="450" spans="1:18" x14ac:dyDescent="0.15">
      <c r="A450" s="1">
        <v>458191</v>
      </c>
      <c r="B450" s="1">
        <v>0</v>
      </c>
      <c r="D450" s="1" t="s">
        <v>27</v>
      </c>
      <c r="E450" s="1" t="s">
        <v>2965</v>
      </c>
      <c r="F450" s="1" t="s">
        <v>2966</v>
      </c>
      <c r="G450" s="1" t="s">
        <v>23</v>
      </c>
      <c r="I450" s="18">
        <v>42047.741030092591</v>
      </c>
      <c r="J450" s="1" t="s">
        <v>17</v>
      </c>
      <c r="K450" s="1" t="s">
        <v>18</v>
      </c>
      <c r="L450" s="1" t="s">
        <v>19</v>
      </c>
      <c r="Q450" s="21"/>
    </row>
    <row r="451" spans="1:18" x14ac:dyDescent="0.15">
      <c r="A451" s="1">
        <v>457680</v>
      </c>
      <c r="B451" s="1">
        <v>0</v>
      </c>
      <c r="C451" s="1" t="s">
        <v>137</v>
      </c>
      <c r="D451" s="1" t="s">
        <v>27</v>
      </c>
      <c r="E451" s="1" t="s">
        <v>1215</v>
      </c>
      <c r="F451" s="1" t="s">
        <v>1634</v>
      </c>
      <c r="G451" s="1"/>
      <c r="H451" s="1"/>
      <c r="I451" s="18">
        <v>42046.660763888889</v>
      </c>
      <c r="J451" s="1" t="s">
        <v>656</v>
      </c>
      <c r="K451" s="1" t="s">
        <v>18</v>
      </c>
      <c r="L451" s="1" t="s">
        <v>19</v>
      </c>
      <c r="Q451" s="21"/>
    </row>
    <row r="452" spans="1:18" x14ac:dyDescent="0.15">
      <c r="A452" s="1">
        <v>457493</v>
      </c>
      <c r="B452" s="1">
        <v>0</v>
      </c>
      <c r="C452" s="1" t="s">
        <v>12</v>
      </c>
      <c r="D452" s="1" t="s">
        <v>27</v>
      </c>
      <c r="E452" s="1" t="s">
        <v>3404</v>
      </c>
      <c r="F452" s="1" t="s">
        <v>3405</v>
      </c>
      <c r="G452" s="1" t="s">
        <v>23</v>
      </c>
      <c r="I452" s="18">
        <v>42046.033368055556</v>
      </c>
      <c r="J452" s="1" t="s">
        <v>569</v>
      </c>
      <c r="K452" s="1" t="s">
        <v>18</v>
      </c>
      <c r="L452" s="1" t="s">
        <v>19</v>
      </c>
      <c r="Q452" s="21"/>
    </row>
    <row r="453" spans="1:18" x14ac:dyDescent="0.15">
      <c r="A453" s="1">
        <v>457480</v>
      </c>
      <c r="B453" s="1">
        <v>1</v>
      </c>
      <c r="C453" s="1" t="s">
        <v>12</v>
      </c>
      <c r="D453" s="1" t="s">
        <v>27</v>
      </c>
      <c r="E453" s="1" t="s">
        <v>264</v>
      </c>
      <c r="F453" s="1" t="s">
        <v>568</v>
      </c>
      <c r="G453" s="1" t="s">
        <v>23</v>
      </c>
      <c r="I453" s="18">
        <v>42046.012743055559</v>
      </c>
      <c r="J453" s="1" t="s">
        <v>569</v>
      </c>
      <c r="K453" s="1" t="s">
        <v>18</v>
      </c>
      <c r="L453" s="1" t="s">
        <v>19</v>
      </c>
      <c r="M453" s="1">
        <v>506642</v>
      </c>
      <c r="N453" s="1" t="s">
        <v>570</v>
      </c>
      <c r="O453" s="18">
        <v>42187.755243055559</v>
      </c>
      <c r="P453" s="1" t="s">
        <v>571</v>
      </c>
      <c r="Q453" s="21">
        <f t="shared" si="6"/>
        <v>141.74250000000029</v>
      </c>
      <c r="R453" s="1"/>
    </row>
    <row r="454" spans="1:18" x14ac:dyDescent="0.15">
      <c r="A454" s="1">
        <v>457278</v>
      </c>
      <c r="B454" s="1">
        <v>0</v>
      </c>
      <c r="C454" s="1" t="s">
        <v>137</v>
      </c>
      <c r="D454" s="1" t="s">
        <v>27</v>
      </c>
      <c r="E454" s="1" t="s">
        <v>695</v>
      </c>
      <c r="F454" s="1" t="s">
        <v>696</v>
      </c>
      <c r="G454" s="1"/>
      <c r="H454" s="1"/>
      <c r="I454" s="18">
        <v>42045.688888888886</v>
      </c>
      <c r="J454" s="1" t="s">
        <v>656</v>
      </c>
      <c r="K454" s="1" t="s">
        <v>18</v>
      </c>
      <c r="L454" s="1" t="s">
        <v>19</v>
      </c>
      <c r="Q454" s="21"/>
    </row>
    <row r="455" spans="1:18" x14ac:dyDescent="0.15">
      <c r="A455" s="1">
        <v>457261</v>
      </c>
      <c r="B455" s="1">
        <v>0</v>
      </c>
      <c r="C455" s="1" t="s">
        <v>137</v>
      </c>
      <c r="D455" s="1" t="s">
        <v>3911</v>
      </c>
      <c r="E455" s="1" t="s">
        <v>3977</v>
      </c>
      <c r="F455" s="1" t="s">
        <v>3978</v>
      </c>
      <c r="G455" s="1"/>
      <c r="H455" s="1"/>
      <c r="I455" s="18">
        <v>42045.655613425923</v>
      </c>
      <c r="J455" s="1" t="s">
        <v>656</v>
      </c>
      <c r="K455" s="1" t="s">
        <v>18</v>
      </c>
      <c r="L455" s="1" t="s">
        <v>19</v>
      </c>
      <c r="Q455" s="21"/>
    </row>
    <row r="456" spans="1:18" x14ac:dyDescent="0.15">
      <c r="A456" s="1">
        <v>456828</v>
      </c>
      <c r="B456" s="1">
        <v>0</v>
      </c>
      <c r="D456" s="1" t="s">
        <v>27</v>
      </c>
      <c r="E456" s="1" t="s">
        <v>2260</v>
      </c>
      <c r="F456" s="1" t="s">
        <v>2261</v>
      </c>
      <c r="G456" s="1" t="s">
        <v>23</v>
      </c>
      <c r="I456" s="18">
        <v>42044.613356481481</v>
      </c>
      <c r="J456" s="1" t="s">
        <v>68</v>
      </c>
      <c r="K456" s="1" t="s">
        <v>18</v>
      </c>
      <c r="L456" s="1" t="s">
        <v>19</v>
      </c>
      <c r="Q456" s="21"/>
    </row>
    <row r="457" spans="1:18" x14ac:dyDescent="0.15">
      <c r="A457" s="1">
        <v>456532</v>
      </c>
      <c r="B457" s="1">
        <v>0</v>
      </c>
      <c r="C457" s="1" t="s">
        <v>829</v>
      </c>
      <c r="D457" s="1" t="s">
        <v>27</v>
      </c>
      <c r="E457" s="1" t="s">
        <v>830</v>
      </c>
      <c r="F457" s="1" t="s">
        <v>831</v>
      </c>
      <c r="G457" s="1" t="s">
        <v>23</v>
      </c>
      <c r="I457" s="18">
        <v>42043.095462962963</v>
      </c>
      <c r="J457" s="1" t="s">
        <v>17</v>
      </c>
      <c r="K457" s="1" t="s">
        <v>18</v>
      </c>
      <c r="L457" s="1" t="s">
        <v>19</v>
      </c>
      <c r="Q457" s="21"/>
    </row>
    <row r="458" spans="1:18" x14ac:dyDescent="0.15">
      <c r="A458" s="1">
        <v>456516</v>
      </c>
      <c r="B458" s="1">
        <v>0</v>
      </c>
      <c r="D458" s="1" t="s">
        <v>27</v>
      </c>
      <c r="E458" s="1" t="s">
        <v>2411</v>
      </c>
      <c r="F458" s="1" t="s">
        <v>2412</v>
      </c>
      <c r="G458" s="1" t="s">
        <v>353</v>
      </c>
      <c r="I458" s="18">
        <v>42042.927395833336</v>
      </c>
      <c r="J458" s="1" t="s">
        <v>469</v>
      </c>
      <c r="K458" s="1" t="s">
        <v>18</v>
      </c>
      <c r="L458" s="1" t="s">
        <v>19</v>
      </c>
      <c r="Q458" s="21"/>
    </row>
    <row r="459" spans="1:18" x14ac:dyDescent="0.15">
      <c r="A459" s="1">
        <v>456192</v>
      </c>
      <c r="B459" s="1">
        <v>1</v>
      </c>
      <c r="C459" s="1" t="s">
        <v>77</v>
      </c>
      <c r="D459" s="1" t="s">
        <v>27</v>
      </c>
      <c r="E459" s="1" t="s">
        <v>78</v>
      </c>
      <c r="F459" s="1" t="s">
        <v>79</v>
      </c>
      <c r="G459" s="1" t="s">
        <v>23</v>
      </c>
      <c r="I459" s="18">
        <v>42041.759108796294</v>
      </c>
      <c r="J459" s="1" t="s">
        <v>80</v>
      </c>
      <c r="K459" s="1" t="s">
        <v>18</v>
      </c>
      <c r="L459" s="1" t="s">
        <v>19</v>
      </c>
      <c r="M459" s="1">
        <v>457016</v>
      </c>
      <c r="N459" s="1" t="s">
        <v>81</v>
      </c>
      <c r="O459" s="18">
        <v>42044.977083333331</v>
      </c>
      <c r="P459" s="1" t="s">
        <v>17</v>
      </c>
      <c r="Q459" s="21">
        <f t="shared" ref="Q459:Q508" si="7">ABS(O459-I459)</f>
        <v>3.2179745370376622</v>
      </c>
      <c r="R459" s="1"/>
    </row>
    <row r="460" spans="1:18" x14ac:dyDescent="0.15">
      <c r="A460" s="1">
        <v>456101</v>
      </c>
      <c r="B460" s="1">
        <v>0</v>
      </c>
      <c r="C460" s="1" t="s">
        <v>137</v>
      </c>
      <c r="D460" s="1" t="s">
        <v>27</v>
      </c>
      <c r="E460" s="1" t="s">
        <v>2450</v>
      </c>
      <c r="F460" s="1" t="s">
        <v>2451</v>
      </c>
      <c r="G460" s="1"/>
      <c r="H460" s="1"/>
      <c r="I460" s="18">
        <v>42041.580347222225</v>
      </c>
      <c r="J460" s="1" t="s">
        <v>656</v>
      </c>
      <c r="K460" s="1" t="s">
        <v>18</v>
      </c>
      <c r="L460" s="1" t="s">
        <v>19</v>
      </c>
      <c r="Q460" s="21"/>
    </row>
    <row r="461" spans="1:18" x14ac:dyDescent="0.15">
      <c r="A461" s="1">
        <v>456059</v>
      </c>
      <c r="B461" s="1">
        <v>0</v>
      </c>
      <c r="D461" s="1" t="s">
        <v>27</v>
      </c>
      <c r="E461" s="1" t="s">
        <v>1284</v>
      </c>
      <c r="F461" s="1" t="s">
        <v>2739</v>
      </c>
      <c r="G461" s="1"/>
      <c r="H461" s="1"/>
      <c r="I461" s="18">
        <v>42041.470590277779</v>
      </c>
      <c r="J461" s="1" t="s">
        <v>68</v>
      </c>
      <c r="K461" s="1" t="s">
        <v>18</v>
      </c>
      <c r="L461" s="1" t="s">
        <v>19</v>
      </c>
      <c r="Q461" s="21"/>
    </row>
    <row r="462" spans="1:18" x14ac:dyDescent="0.15">
      <c r="A462" s="1">
        <v>455857</v>
      </c>
      <c r="B462" s="1">
        <v>1</v>
      </c>
      <c r="C462" s="1" t="s">
        <v>73</v>
      </c>
      <c r="D462" s="1" t="s">
        <v>27</v>
      </c>
      <c r="E462" s="1" t="s">
        <v>1269</v>
      </c>
      <c r="F462" s="1" t="s">
        <v>1270</v>
      </c>
      <c r="G462" s="1" t="s">
        <v>23</v>
      </c>
      <c r="I462" s="18">
        <v>42040.865532407406</v>
      </c>
      <c r="J462" s="1" t="s">
        <v>1074</v>
      </c>
      <c r="K462" s="1" t="s">
        <v>18</v>
      </c>
      <c r="L462" s="1" t="s">
        <v>19</v>
      </c>
      <c r="M462" s="50">
        <v>449739</v>
      </c>
      <c r="O462" s="24">
        <v>42037</v>
      </c>
      <c r="Q462" s="21">
        <f t="shared" si="7"/>
        <v>3.8655324074061355</v>
      </c>
    </row>
    <row r="463" spans="1:18" x14ac:dyDescent="0.15">
      <c r="A463" s="1">
        <v>455768</v>
      </c>
      <c r="B463" s="1">
        <v>0</v>
      </c>
      <c r="C463" s="1" t="s">
        <v>65</v>
      </c>
      <c r="D463" s="1" t="s">
        <v>3911</v>
      </c>
      <c r="E463" s="1" t="s">
        <v>4028</v>
      </c>
      <c r="F463" s="1" t="s">
        <v>3969</v>
      </c>
      <c r="G463" s="1" t="s">
        <v>23</v>
      </c>
      <c r="I463" s="18">
        <v>42040.735543981478</v>
      </c>
      <c r="J463" s="1" t="s">
        <v>17</v>
      </c>
      <c r="K463" s="1" t="s">
        <v>18</v>
      </c>
      <c r="L463" s="1" t="s">
        <v>19</v>
      </c>
      <c r="Q463" s="21"/>
    </row>
    <row r="464" spans="1:18" x14ac:dyDescent="0.15">
      <c r="A464" s="1">
        <v>455735</v>
      </c>
      <c r="B464" s="1">
        <v>0</v>
      </c>
      <c r="C464" s="1" t="s">
        <v>73</v>
      </c>
      <c r="D464" s="1" t="s">
        <v>27</v>
      </c>
      <c r="E464" s="1" t="s">
        <v>642</v>
      </c>
      <c r="F464" s="1" t="s">
        <v>643</v>
      </c>
      <c r="G464" s="1" t="s">
        <v>23</v>
      </c>
      <c r="I464" s="18">
        <v>42040.662141203706</v>
      </c>
      <c r="J464" s="1" t="s">
        <v>98</v>
      </c>
      <c r="K464" s="1" t="s">
        <v>18</v>
      </c>
      <c r="L464" s="1" t="s">
        <v>19</v>
      </c>
      <c r="Q464" s="21"/>
    </row>
    <row r="465" spans="1:18" x14ac:dyDescent="0.15">
      <c r="A465" s="1">
        <v>455368</v>
      </c>
      <c r="B465" s="1">
        <v>0</v>
      </c>
      <c r="C465" s="1" t="s">
        <v>1391</v>
      </c>
      <c r="D465" s="1" t="s">
        <v>27</v>
      </c>
      <c r="E465" s="1" t="s">
        <v>2522</v>
      </c>
      <c r="F465" s="1" t="s">
        <v>2523</v>
      </c>
      <c r="G465" s="1" t="s">
        <v>23</v>
      </c>
      <c r="I465" s="18">
        <v>42039.867708333331</v>
      </c>
      <c r="J465" s="1" t="s">
        <v>17</v>
      </c>
      <c r="K465" s="1" t="s">
        <v>18</v>
      </c>
      <c r="L465" s="1" t="s">
        <v>19</v>
      </c>
      <c r="Q465" s="21"/>
    </row>
    <row r="466" spans="1:18" x14ac:dyDescent="0.15">
      <c r="A466" s="1">
        <v>454231</v>
      </c>
      <c r="B466" s="1">
        <v>0</v>
      </c>
      <c r="C466" s="1" t="s">
        <v>369</v>
      </c>
      <c r="D466" s="1" t="s">
        <v>27</v>
      </c>
      <c r="E466" s="1" t="s">
        <v>2391</v>
      </c>
      <c r="F466" s="1" t="s">
        <v>2392</v>
      </c>
      <c r="G466" s="1" t="s">
        <v>23</v>
      </c>
      <c r="I466" s="18">
        <v>42036.855787037035</v>
      </c>
      <c r="J466" s="1" t="s">
        <v>2393</v>
      </c>
      <c r="K466" s="1" t="s">
        <v>18</v>
      </c>
      <c r="L466" s="1" t="s">
        <v>19</v>
      </c>
      <c r="Q466" s="21"/>
    </row>
    <row r="467" spans="1:18" x14ac:dyDescent="0.15">
      <c r="A467" s="1">
        <v>454157</v>
      </c>
      <c r="B467" s="1">
        <v>0</v>
      </c>
      <c r="C467" s="1" t="s">
        <v>101</v>
      </c>
      <c r="D467" s="1" t="s">
        <v>27</v>
      </c>
      <c r="E467" s="1" t="s">
        <v>3359</v>
      </c>
      <c r="F467" s="1" t="s">
        <v>3360</v>
      </c>
      <c r="G467" s="1" t="s">
        <v>23</v>
      </c>
      <c r="I467" s="18">
        <v>42036.291608796295</v>
      </c>
      <c r="J467" s="1" t="s">
        <v>17</v>
      </c>
      <c r="K467" s="1" t="s">
        <v>18</v>
      </c>
      <c r="L467" s="1" t="s">
        <v>19</v>
      </c>
      <c r="Q467" s="21"/>
    </row>
    <row r="468" spans="1:18" x14ac:dyDescent="0.15">
      <c r="A468" s="1">
        <v>453982</v>
      </c>
      <c r="B468" s="1">
        <v>0</v>
      </c>
      <c r="C468" s="1" t="s">
        <v>490</v>
      </c>
      <c r="D468" s="1" t="s">
        <v>27</v>
      </c>
      <c r="E468" s="1" t="s">
        <v>491</v>
      </c>
      <c r="F468" s="1" t="s">
        <v>492</v>
      </c>
      <c r="G468" s="1" t="s">
        <v>23</v>
      </c>
      <c r="I468" s="18">
        <v>42034.94939814815</v>
      </c>
      <c r="J468" s="1" t="s">
        <v>405</v>
      </c>
      <c r="K468" s="1" t="s">
        <v>18</v>
      </c>
      <c r="L468" s="1" t="s">
        <v>19</v>
      </c>
      <c r="Q468" s="21"/>
    </row>
    <row r="469" spans="1:18" x14ac:dyDescent="0.15">
      <c r="A469" s="1">
        <v>453979</v>
      </c>
      <c r="B469" s="1">
        <v>0</v>
      </c>
      <c r="C469" s="1" t="s">
        <v>26</v>
      </c>
      <c r="D469" s="1" t="s">
        <v>27</v>
      </c>
      <c r="E469" s="1" t="s">
        <v>1792</v>
      </c>
      <c r="F469" s="1" t="s">
        <v>1793</v>
      </c>
      <c r="G469" s="1" t="s">
        <v>23</v>
      </c>
      <c r="I469" s="18">
        <v>42034.940868055557</v>
      </c>
      <c r="J469" s="1" t="s">
        <v>405</v>
      </c>
      <c r="K469" s="1" t="s">
        <v>18</v>
      </c>
      <c r="L469" s="1" t="s">
        <v>19</v>
      </c>
      <c r="Q469" s="21"/>
    </row>
    <row r="470" spans="1:18" x14ac:dyDescent="0.15">
      <c r="A470" s="1">
        <v>453279</v>
      </c>
      <c r="B470" s="1">
        <v>0</v>
      </c>
      <c r="D470" s="1" t="s">
        <v>27</v>
      </c>
      <c r="E470" s="1" t="s">
        <v>3016</v>
      </c>
      <c r="F470" s="1" t="s">
        <v>3017</v>
      </c>
      <c r="G470" s="1"/>
      <c r="H470" s="1"/>
      <c r="I470" s="18">
        <v>42033.391770833332</v>
      </c>
      <c r="J470" s="1" t="s">
        <v>726</v>
      </c>
      <c r="K470" s="1" t="s">
        <v>18</v>
      </c>
      <c r="L470" s="1" t="s">
        <v>19</v>
      </c>
      <c r="Q470" s="21"/>
    </row>
    <row r="471" spans="1:18" x14ac:dyDescent="0.15">
      <c r="A471" s="1">
        <v>453126</v>
      </c>
      <c r="B471" s="1">
        <v>0</v>
      </c>
      <c r="D471" s="1" t="s">
        <v>27</v>
      </c>
      <c r="E471" s="1" t="s">
        <v>2796</v>
      </c>
      <c r="F471" s="1" t="s">
        <v>2797</v>
      </c>
      <c r="G471" s="1" t="s">
        <v>16</v>
      </c>
      <c r="I471" s="18">
        <v>42032.968275462961</v>
      </c>
      <c r="J471" s="1" t="s">
        <v>2798</v>
      </c>
      <c r="K471" s="1" t="s">
        <v>18</v>
      </c>
      <c r="L471" s="1" t="s">
        <v>19</v>
      </c>
      <c r="Q471" s="21"/>
    </row>
    <row r="472" spans="1:18" x14ac:dyDescent="0.15">
      <c r="A472" s="1">
        <v>452794</v>
      </c>
      <c r="B472" s="1">
        <v>0</v>
      </c>
      <c r="D472" s="1" t="s">
        <v>27</v>
      </c>
      <c r="E472" s="1" t="s">
        <v>2501</v>
      </c>
      <c r="F472" s="1" t="s">
        <v>2414</v>
      </c>
      <c r="G472" s="1" t="s">
        <v>23</v>
      </c>
      <c r="I472" s="18">
        <v>42032.282152777778</v>
      </c>
      <c r="J472" s="1" t="s">
        <v>17</v>
      </c>
      <c r="K472" s="1" t="s">
        <v>18</v>
      </c>
      <c r="L472" s="1" t="s">
        <v>19</v>
      </c>
      <c r="Q472" s="21"/>
    </row>
    <row r="473" spans="1:18" x14ac:dyDescent="0.15">
      <c r="A473" s="1">
        <v>452793</v>
      </c>
      <c r="B473" s="1">
        <v>0</v>
      </c>
      <c r="D473" s="1" t="s">
        <v>27</v>
      </c>
      <c r="E473" s="1" t="s">
        <v>2499</v>
      </c>
      <c r="F473" s="1" t="s">
        <v>2500</v>
      </c>
      <c r="G473" s="1" t="s">
        <v>23</v>
      </c>
      <c r="I473" s="18">
        <v>42032.281655092593</v>
      </c>
      <c r="J473" s="1" t="s">
        <v>17</v>
      </c>
      <c r="K473" s="1" t="s">
        <v>18</v>
      </c>
      <c r="L473" s="1" t="s">
        <v>19</v>
      </c>
      <c r="Q473" s="21"/>
    </row>
    <row r="474" spans="1:18" x14ac:dyDescent="0.15">
      <c r="A474" s="1">
        <v>452455</v>
      </c>
      <c r="B474" s="1">
        <v>1</v>
      </c>
      <c r="C474" s="1" t="s">
        <v>12</v>
      </c>
      <c r="D474" s="1" t="s">
        <v>27</v>
      </c>
      <c r="E474" s="1" t="s">
        <v>2702</v>
      </c>
      <c r="F474" s="1" t="s">
        <v>250</v>
      </c>
      <c r="G474" s="1" t="s">
        <v>23</v>
      </c>
      <c r="I474" s="18">
        <v>42031.442627314813</v>
      </c>
      <c r="J474" s="1" t="s">
        <v>17</v>
      </c>
      <c r="K474" s="1" t="s">
        <v>18</v>
      </c>
      <c r="L474" s="1" t="s">
        <v>19</v>
      </c>
      <c r="M474" s="1">
        <v>455637</v>
      </c>
      <c r="N474" s="1" t="s">
        <v>2703</v>
      </c>
      <c r="O474" s="18">
        <v>42040.460532407407</v>
      </c>
      <c r="P474" s="1" t="s">
        <v>190</v>
      </c>
      <c r="Q474" s="21">
        <f t="shared" si="7"/>
        <v>9.0179050925944466</v>
      </c>
      <c r="R474" s="1"/>
    </row>
    <row r="475" spans="1:18" x14ac:dyDescent="0.15">
      <c r="A475" s="1">
        <v>451918</v>
      </c>
      <c r="B475" s="1">
        <v>0</v>
      </c>
      <c r="D475" s="1" t="s">
        <v>27</v>
      </c>
      <c r="E475" s="1" t="s">
        <v>1813</v>
      </c>
      <c r="F475" s="1" t="s">
        <v>1814</v>
      </c>
      <c r="G475" s="1" t="s">
        <v>23</v>
      </c>
      <c r="I475" s="18">
        <v>42030.145127314812</v>
      </c>
      <c r="J475" s="1" t="s">
        <v>17</v>
      </c>
      <c r="K475" s="1" t="s">
        <v>18</v>
      </c>
      <c r="L475" s="1" t="s">
        <v>19</v>
      </c>
      <c r="Q475" s="21"/>
    </row>
    <row r="476" spans="1:18" x14ac:dyDescent="0.15">
      <c r="A476" s="1">
        <v>451755</v>
      </c>
      <c r="B476" s="1">
        <v>0</v>
      </c>
      <c r="D476" s="1" t="s">
        <v>27</v>
      </c>
      <c r="E476" s="1" t="s">
        <v>284</v>
      </c>
      <c r="F476" s="1" t="s">
        <v>250</v>
      </c>
      <c r="G476" s="1" t="s">
        <v>23</v>
      </c>
      <c r="I476" s="18">
        <v>42028.888460648152</v>
      </c>
      <c r="J476" s="1" t="s">
        <v>17</v>
      </c>
      <c r="K476" s="1" t="s">
        <v>18</v>
      </c>
      <c r="L476" s="1" t="s">
        <v>19</v>
      </c>
      <c r="Q476" s="21"/>
    </row>
    <row r="477" spans="1:18" x14ac:dyDescent="0.15">
      <c r="A477" s="1">
        <v>451753</v>
      </c>
      <c r="B477" s="1">
        <v>0</v>
      </c>
      <c r="D477" s="1" t="s">
        <v>27</v>
      </c>
      <c r="E477" s="1" t="s">
        <v>285</v>
      </c>
      <c r="F477" s="1" t="s">
        <v>286</v>
      </c>
      <c r="G477" s="1" t="s">
        <v>23</v>
      </c>
      <c r="I477" s="18">
        <v>42028.887187499997</v>
      </c>
      <c r="J477" s="1" t="s">
        <v>17</v>
      </c>
      <c r="K477" s="1" t="s">
        <v>18</v>
      </c>
      <c r="L477" s="1" t="s">
        <v>19</v>
      </c>
      <c r="Q477" s="21"/>
    </row>
    <row r="478" spans="1:18" x14ac:dyDescent="0.15">
      <c r="A478" s="1">
        <v>451685</v>
      </c>
      <c r="B478" s="1">
        <v>0</v>
      </c>
      <c r="C478" s="1" t="s">
        <v>3369</v>
      </c>
      <c r="D478" s="1" t="s">
        <v>27</v>
      </c>
      <c r="E478" s="1" t="s">
        <v>3370</v>
      </c>
      <c r="F478" s="1" t="s">
        <v>250</v>
      </c>
      <c r="G478" s="1" t="s">
        <v>23</v>
      </c>
      <c r="I478" s="18">
        <v>42028.324432870373</v>
      </c>
      <c r="J478" s="1" t="s">
        <v>17</v>
      </c>
      <c r="K478" s="1" t="s">
        <v>18</v>
      </c>
      <c r="L478" s="1" t="s">
        <v>19</v>
      </c>
      <c r="Q478" s="21"/>
    </row>
    <row r="479" spans="1:18" x14ac:dyDescent="0.15">
      <c r="A479" s="1">
        <v>451684</v>
      </c>
      <c r="B479" s="1">
        <v>0</v>
      </c>
      <c r="D479" s="1" t="s">
        <v>27</v>
      </c>
      <c r="E479" s="1" t="s">
        <v>3367</v>
      </c>
      <c r="F479" s="1" t="s">
        <v>3368</v>
      </c>
      <c r="G479" s="1" t="s">
        <v>23</v>
      </c>
      <c r="I479" s="18">
        <v>42028.320381944446</v>
      </c>
      <c r="J479" s="1" t="s">
        <v>17</v>
      </c>
      <c r="K479" s="1" t="s">
        <v>18</v>
      </c>
      <c r="L479" s="1" t="s">
        <v>19</v>
      </c>
      <c r="Q479" s="21"/>
    </row>
    <row r="480" spans="1:18" x14ac:dyDescent="0.15">
      <c r="A480" s="1">
        <v>451059</v>
      </c>
      <c r="B480" s="1">
        <v>1</v>
      </c>
      <c r="D480" s="1" t="s">
        <v>27</v>
      </c>
      <c r="E480" s="1" t="s">
        <v>2413</v>
      </c>
      <c r="F480" s="1" t="s">
        <v>2414</v>
      </c>
      <c r="G480" s="1" t="s">
        <v>23</v>
      </c>
      <c r="I480" s="18">
        <v>42026.681157407409</v>
      </c>
      <c r="J480" s="1" t="s">
        <v>17</v>
      </c>
      <c r="K480" s="1" t="s">
        <v>18</v>
      </c>
      <c r="L480" s="1" t="s">
        <v>19</v>
      </c>
      <c r="M480" s="1">
        <v>454045</v>
      </c>
      <c r="N480" s="1" t="s">
        <v>2415</v>
      </c>
      <c r="O480" s="18">
        <v>42035.118784722225</v>
      </c>
      <c r="P480" s="1" t="s">
        <v>98</v>
      </c>
      <c r="Q480" s="21">
        <f t="shared" si="7"/>
        <v>8.4376273148154723</v>
      </c>
      <c r="R480" s="1"/>
    </row>
    <row r="481" spans="1:17" x14ac:dyDescent="0.15">
      <c r="A481" s="1">
        <v>450654</v>
      </c>
      <c r="B481" s="1">
        <v>0</v>
      </c>
      <c r="C481" s="1" t="s">
        <v>1593</v>
      </c>
      <c r="D481" s="1" t="s">
        <v>27</v>
      </c>
      <c r="E481" s="1" t="s">
        <v>3238</v>
      </c>
      <c r="F481" s="1" t="s">
        <v>2320</v>
      </c>
      <c r="G481" s="1" t="s">
        <v>23</v>
      </c>
      <c r="I481" s="18">
        <v>42025.735937500001</v>
      </c>
      <c r="J481" s="1" t="s">
        <v>17</v>
      </c>
      <c r="K481" s="1" t="s">
        <v>18</v>
      </c>
      <c r="L481" s="1" t="s">
        <v>19</v>
      </c>
      <c r="Q481" s="21"/>
    </row>
    <row r="482" spans="1:17" x14ac:dyDescent="0.15">
      <c r="A482" s="1">
        <v>450198</v>
      </c>
      <c r="B482" s="1">
        <v>0</v>
      </c>
      <c r="C482" s="1" t="s">
        <v>137</v>
      </c>
      <c r="D482" s="1" t="s">
        <v>27</v>
      </c>
      <c r="E482" s="1" t="s">
        <v>138</v>
      </c>
      <c r="F482" s="1" t="s">
        <v>139</v>
      </c>
      <c r="G482" s="1" t="s">
        <v>23</v>
      </c>
      <c r="I482" s="18">
        <v>42024.48814814815</v>
      </c>
      <c r="J482" s="1" t="s">
        <v>140</v>
      </c>
      <c r="K482" s="1" t="s">
        <v>18</v>
      </c>
      <c r="L482" s="1" t="s">
        <v>19</v>
      </c>
      <c r="Q482" s="21"/>
    </row>
    <row r="483" spans="1:17" x14ac:dyDescent="0.15">
      <c r="A483" s="1">
        <v>450051</v>
      </c>
      <c r="B483" s="1">
        <v>0</v>
      </c>
      <c r="C483" s="1" t="s">
        <v>1815</v>
      </c>
      <c r="D483" s="1" t="s">
        <v>3911</v>
      </c>
      <c r="E483" s="1" t="s">
        <v>3957</v>
      </c>
      <c r="F483" s="1" t="s">
        <v>3958</v>
      </c>
      <c r="G483" s="1" t="s">
        <v>23</v>
      </c>
      <c r="I483" s="18">
        <v>42023.76054398148</v>
      </c>
      <c r="J483" s="1" t="s">
        <v>17</v>
      </c>
      <c r="K483" s="1" t="s">
        <v>18</v>
      </c>
      <c r="L483" s="1" t="s">
        <v>19</v>
      </c>
      <c r="Q483" s="21"/>
    </row>
    <row r="484" spans="1:17" x14ac:dyDescent="0.15">
      <c r="A484" s="1">
        <v>449829</v>
      </c>
      <c r="B484" s="1">
        <v>0</v>
      </c>
      <c r="C484" s="1" t="s">
        <v>1886</v>
      </c>
      <c r="D484" s="1" t="s">
        <v>27</v>
      </c>
      <c r="E484" s="1" t="s">
        <v>1887</v>
      </c>
      <c r="F484" s="1" t="s">
        <v>1888</v>
      </c>
      <c r="G484" s="1" t="s">
        <v>23</v>
      </c>
      <c r="I484" s="18">
        <v>42022.463587962964</v>
      </c>
      <c r="J484" s="1" t="s">
        <v>1889</v>
      </c>
      <c r="K484" s="1" t="s">
        <v>18</v>
      </c>
      <c r="L484" s="1" t="s">
        <v>19</v>
      </c>
      <c r="Q484" s="21"/>
    </row>
    <row r="485" spans="1:17" x14ac:dyDescent="0.15">
      <c r="A485" s="1">
        <v>449777</v>
      </c>
      <c r="B485" s="1">
        <v>0</v>
      </c>
      <c r="D485" s="1" t="s">
        <v>27</v>
      </c>
      <c r="E485" s="1" t="s">
        <v>284</v>
      </c>
      <c r="F485" s="1" t="s">
        <v>250</v>
      </c>
      <c r="G485" s="1" t="s">
        <v>23</v>
      </c>
      <c r="I485" s="18">
        <v>42021.688958333332</v>
      </c>
      <c r="J485" s="1" t="s">
        <v>17</v>
      </c>
      <c r="K485" s="1" t="s">
        <v>18</v>
      </c>
      <c r="L485" s="1" t="s">
        <v>19</v>
      </c>
      <c r="Q485" s="21"/>
    </row>
    <row r="486" spans="1:17" x14ac:dyDescent="0.15">
      <c r="A486" s="1">
        <v>449610</v>
      </c>
      <c r="B486" s="1">
        <v>0</v>
      </c>
      <c r="C486" s="1" t="s">
        <v>101</v>
      </c>
      <c r="D486" s="1" t="s">
        <v>27</v>
      </c>
      <c r="E486" s="1" t="s">
        <v>1072</v>
      </c>
      <c r="F486" s="1" t="s">
        <v>1073</v>
      </c>
      <c r="G486" s="1" t="s">
        <v>159</v>
      </c>
      <c r="I486" s="18">
        <v>42020.797384259262</v>
      </c>
      <c r="J486" s="1" t="s">
        <v>1074</v>
      </c>
      <c r="K486" s="1" t="s">
        <v>18</v>
      </c>
      <c r="L486" s="1" t="s">
        <v>19</v>
      </c>
      <c r="Q486" s="21"/>
    </row>
    <row r="487" spans="1:17" x14ac:dyDescent="0.15">
      <c r="A487" s="1">
        <v>449591</v>
      </c>
      <c r="B487" s="1">
        <v>0</v>
      </c>
      <c r="D487" s="1" t="s">
        <v>3911</v>
      </c>
      <c r="E487" s="1" t="s">
        <v>4004</v>
      </c>
      <c r="F487" s="1" t="s">
        <v>3969</v>
      </c>
      <c r="G487" s="1" t="s">
        <v>23</v>
      </c>
      <c r="I487" s="18">
        <v>42020.74596064815</v>
      </c>
      <c r="J487" s="1" t="s">
        <v>17</v>
      </c>
      <c r="K487" s="1" t="s">
        <v>18</v>
      </c>
      <c r="L487" s="1" t="s">
        <v>19</v>
      </c>
      <c r="Q487" s="21"/>
    </row>
    <row r="488" spans="1:17" x14ac:dyDescent="0.15">
      <c r="A488" s="1">
        <v>449049</v>
      </c>
      <c r="B488" s="1">
        <v>0</v>
      </c>
      <c r="C488" s="1" t="s">
        <v>248</v>
      </c>
      <c r="D488" s="1" t="s">
        <v>27</v>
      </c>
      <c r="E488" s="1" t="s">
        <v>249</v>
      </c>
      <c r="F488" s="1" t="s">
        <v>250</v>
      </c>
      <c r="G488" s="1" t="s">
        <v>23</v>
      </c>
      <c r="I488" s="18">
        <v>42019.238576388889</v>
      </c>
      <c r="J488" s="1" t="s">
        <v>17</v>
      </c>
      <c r="K488" s="1" t="s">
        <v>18</v>
      </c>
      <c r="L488" s="1" t="s">
        <v>19</v>
      </c>
      <c r="Q488" s="21"/>
    </row>
    <row r="489" spans="1:17" x14ac:dyDescent="0.15">
      <c r="A489" s="1">
        <v>449045</v>
      </c>
      <c r="B489" s="1">
        <v>0</v>
      </c>
      <c r="D489" s="1" t="s">
        <v>27</v>
      </c>
      <c r="E489" s="1" t="s">
        <v>1076</v>
      </c>
      <c r="F489" s="1" t="s">
        <v>1077</v>
      </c>
      <c r="G489" s="1" t="s">
        <v>23</v>
      </c>
      <c r="I489" s="18">
        <v>42019.232766203706</v>
      </c>
      <c r="J489" s="1" t="s">
        <v>17</v>
      </c>
      <c r="K489" s="1" t="s">
        <v>18</v>
      </c>
      <c r="L489" s="1" t="s">
        <v>19</v>
      </c>
      <c r="Q489" s="21"/>
    </row>
    <row r="490" spans="1:17" x14ac:dyDescent="0.15">
      <c r="A490" s="1">
        <v>448423</v>
      </c>
      <c r="B490" s="1">
        <v>0</v>
      </c>
      <c r="C490" s="1" t="s">
        <v>65</v>
      </c>
      <c r="D490" s="1" t="s">
        <v>27</v>
      </c>
      <c r="E490" s="1" t="s">
        <v>798</v>
      </c>
      <c r="F490" s="1" t="s">
        <v>2351</v>
      </c>
      <c r="G490" s="1" t="s">
        <v>23</v>
      </c>
      <c r="I490" s="18">
        <v>42017.720694444448</v>
      </c>
      <c r="J490" s="1" t="s">
        <v>68</v>
      </c>
      <c r="K490" s="1" t="s">
        <v>18</v>
      </c>
      <c r="L490" s="1" t="s">
        <v>19</v>
      </c>
      <c r="Q490" s="21"/>
    </row>
    <row r="491" spans="1:17" x14ac:dyDescent="0.15">
      <c r="A491" s="1">
        <v>448314</v>
      </c>
      <c r="B491" s="1">
        <v>0</v>
      </c>
      <c r="C491" s="1" t="s">
        <v>77</v>
      </c>
      <c r="D491" s="1" t="s">
        <v>27</v>
      </c>
      <c r="E491" s="1" t="s">
        <v>251</v>
      </c>
      <c r="F491" s="1" t="s">
        <v>252</v>
      </c>
      <c r="G491" s="1"/>
      <c r="H491" s="1"/>
      <c r="I491" s="18">
        <v>42017.344583333332</v>
      </c>
      <c r="J491" s="1" t="s">
        <v>68</v>
      </c>
      <c r="K491" s="1" t="s">
        <v>18</v>
      </c>
      <c r="L491" s="1" t="s">
        <v>19</v>
      </c>
      <c r="Q491" s="21"/>
    </row>
    <row r="492" spans="1:17" x14ac:dyDescent="0.15">
      <c r="A492" s="1">
        <v>448299</v>
      </c>
      <c r="B492" s="1">
        <v>0</v>
      </c>
      <c r="C492" s="1" t="s">
        <v>65</v>
      </c>
      <c r="D492" s="1" t="s">
        <v>27</v>
      </c>
      <c r="E492" s="1" t="s">
        <v>217</v>
      </c>
      <c r="F492" s="1" t="s">
        <v>218</v>
      </c>
      <c r="G492" s="1" t="s">
        <v>23</v>
      </c>
      <c r="I492" s="18">
        <v>42017.301539351851</v>
      </c>
      <c r="J492" s="1" t="s">
        <v>17</v>
      </c>
      <c r="K492" s="1" t="s">
        <v>18</v>
      </c>
      <c r="L492" s="1" t="s">
        <v>19</v>
      </c>
      <c r="Q492" s="21"/>
    </row>
    <row r="493" spans="1:17" x14ac:dyDescent="0.15">
      <c r="A493" s="1">
        <v>448082</v>
      </c>
      <c r="B493" s="1">
        <v>0</v>
      </c>
      <c r="D493" s="1" t="s">
        <v>27</v>
      </c>
      <c r="E493" s="1" t="s">
        <v>3281</v>
      </c>
      <c r="F493" s="1" t="s">
        <v>3282</v>
      </c>
      <c r="G493" s="1" t="s">
        <v>23</v>
      </c>
      <c r="I493" s="18">
        <v>42016.74423611111</v>
      </c>
      <c r="J493" s="1" t="s">
        <v>17</v>
      </c>
      <c r="K493" s="1" t="s">
        <v>18</v>
      </c>
      <c r="L493" s="1" t="s">
        <v>19</v>
      </c>
      <c r="Q493" s="21"/>
    </row>
    <row r="494" spans="1:17" x14ac:dyDescent="0.15">
      <c r="A494" s="1">
        <v>448056</v>
      </c>
      <c r="B494" s="1">
        <v>0</v>
      </c>
      <c r="D494" s="1" t="s">
        <v>27</v>
      </c>
      <c r="E494" s="1" t="s">
        <v>1756</v>
      </c>
      <c r="F494" s="1" t="s">
        <v>1757</v>
      </c>
      <c r="G494" s="1" t="s">
        <v>23</v>
      </c>
      <c r="I494" s="18">
        <v>42016.694803240738</v>
      </c>
      <c r="J494" s="1" t="s">
        <v>17</v>
      </c>
      <c r="K494" s="1" t="s">
        <v>18</v>
      </c>
      <c r="L494" s="1" t="s">
        <v>19</v>
      </c>
      <c r="Q494" s="21"/>
    </row>
    <row r="495" spans="1:17" x14ac:dyDescent="0.15">
      <c r="A495" s="1">
        <v>447906</v>
      </c>
      <c r="B495" s="1">
        <v>0</v>
      </c>
      <c r="D495" s="1" t="s">
        <v>27</v>
      </c>
      <c r="E495" s="1" t="s">
        <v>3497</v>
      </c>
      <c r="F495" s="1" t="s">
        <v>3498</v>
      </c>
      <c r="G495" s="1" t="s">
        <v>23</v>
      </c>
      <c r="I495" s="18">
        <v>42015.723078703704</v>
      </c>
      <c r="J495" s="1" t="s">
        <v>2393</v>
      </c>
      <c r="K495" s="1" t="s">
        <v>18</v>
      </c>
      <c r="L495" s="1" t="s">
        <v>19</v>
      </c>
      <c r="Q495" s="21"/>
    </row>
    <row r="496" spans="1:17" x14ac:dyDescent="0.15">
      <c r="A496" s="1">
        <v>446459</v>
      </c>
      <c r="B496" s="1">
        <v>0</v>
      </c>
      <c r="C496" s="1" t="s">
        <v>1596</v>
      </c>
      <c r="D496" s="1" t="s">
        <v>27</v>
      </c>
      <c r="E496" s="1" t="s">
        <v>2425</v>
      </c>
      <c r="F496" s="1" t="s">
        <v>2426</v>
      </c>
      <c r="G496" s="1" t="s">
        <v>23</v>
      </c>
      <c r="I496" s="18">
        <v>42010.453865740739</v>
      </c>
      <c r="J496" s="1" t="s">
        <v>2427</v>
      </c>
      <c r="K496" s="1" t="s">
        <v>18</v>
      </c>
      <c r="L496" s="1" t="s">
        <v>19</v>
      </c>
      <c r="Q496" s="21"/>
    </row>
    <row r="497" spans="1:22" x14ac:dyDescent="0.15">
      <c r="A497" s="1">
        <v>446164</v>
      </c>
      <c r="B497" s="1">
        <v>0</v>
      </c>
      <c r="C497" s="1" t="s">
        <v>129</v>
      </c>
      <c r="D497" s="1" t="s">
        <v>27</v>
      </c>
      <c r="E497" s="1" t="s">
        <v>130</v>
      </c>
      <c r="F497" s="1" t="s">
        <v>131</v>
      </c>
      <c r="G497" s="1" t="s">
        <v>23</v>
      </c>
      <c r="I497" s="18">
        <v>42009.576909722222</v>
      </c>
      <c r="J497" s="1" t="s">
        <v>132</v>
      </c>
      <c r="K497" s="1" t="s">
        <v>18</v>
      </c>
      <c r="L497" s="1" t="s">
        <v>19</v>
      </c>
      <c r="Q497" s="21"/>
    </row>
    <row r="498" spans="1:22" x14ac:dyDescent="0.15">
      <c r="A498" s="1">
        <v>446076</v>
      </c>
      <c r="B498" s="1">
        <v>0</v>
      </c>
      <c r="C498" s="1" t="s">
        <v>1593</v>
      </c>
      <c r="D498" s="1" t="s">
        <v>27</v>
      </c>
      <c r="E498" s="1" t="s">
        <v>3512</v>
      </c>
      <c r="F498" s="1" t="s">
        <v>761</v>
      </c>
      <c r="G498" s="1" t="s">
        <v>23</v>
      </c>
      <c r="I498" s="18">
        <v>42009.057037037041</v>
      </c>
      <c r="J498" s="1" t="s">
        <v>17</v>
      </c>
      <c r="K498" s="1" t="s">
        <v>18</v>
      </c>
      <c r="L498" s="1" t="s">
        <v>19</v>
      </c>
      <c r="Q498" s="21"/>
    </row>
    <row r="499" spans="1:22" x14ac:dyDescent="0.15">
      <c r="A499" s="1">
        <v>446037</v>
      </c>
      <c r="B499" s="1">
        <v>0</v>
      </c>
      <c r="D499" s="1" t="s">
        <v>27</v>
      </c>
      <c r="E499" s="1" t="s">
        <v>900</v>
      </c>
      <c r="F499" s="1" t="s">
        <v>901</v>
      </c>
      <c r="G499" s="1" t="s">
        <v>23</v>
      </c>
      <c r="I499" s="18">
        <v>42008.68949074074</v>
      </c>
      <c r="J499" s="1" t="s">
        <v>17</v>
      </c>
      <c r="K499" s="1" t="s">
        <v>18</v>
      </c>
      <c r="L499" s="1" t="s">
        <v>19</v>
      </c>
      <c r="Q499" s="21"/>
    </row>
    <row r="500" spans="1:22" x14ac:dyDescent="0.15">
      <c r="A500" s="1">
        <v>446032</v>
      </c>
      <c r="B500" s="1">
        <v>2</v>
      </c>
      <c r="C500" s="1" t="s">
        <v>12</v>
      </c>
      <c r="D500" s="1" t="s">
        <v>27</v>
      </c>
      <c r="E500" s="1" t="s">
        <v>896</v>
      </c>
      <c r="F500" s="1" t="s">
        <v>897</v>
      </c>
      <c r="G500" s="1" t="s">
        <v>23</v>
      </c>
      <c r="I500" s="18">
        <v>42008.586956018517</v>
      </c>
      <c r="J500" s="1" t="s">
        <v>68</v>
      </c>
      <c r="K500" s="1" t="s">
        <v>18</v>
      </c>
      <c r="L500" s="1" t="s">
        <v>19</v>
      </c>
      <c r="M500" s="1">
        <v>459654</v>
      </c>
      <c r="N500" s="1" t="s">
        <v>898</v>
      </c>
      <c r="O500" s="18">
        <v>42053.73773148148</v>
      </c>
      <c r="P500" s="1" t="s">
        <v>106</v>
      </c>
      <c r="Q500" s="21">
        <f t="shared" si="7"/>
        <v>45.150775462963793</v>
      </c>
      <c r="R500" s="1">
        <v>465437</v>
      </c>
      <c r="S500" s="1" t="s">
        <v>899</v>
      </c>
      <c r="T500" s="4" t="s">
        <v>4149</v>
      </c>
      <c r="U500" s="1" t="s">
        <v>17</v>
      </c>
      <c r="V500" s="1"/>
    </row>
    <row r="501" spans="1:22" x14ac:dyDescent="0.15">
      <c r="A501" s="1">
        <v>445831</v>
      </c>
      <c r="B501" s="1">
        <v>1</v>
      </c>
      <c r="C501" s="1" t="s">
        <v>65</v>
      </c>
      <c r="D501" s="1" t="s">
        <v>27</v>
      </c>
      <c r="E501" s="1" t="s">
        <v>2319</v>
      </c>
      <c r="F501" s="1" t="s">
        <v>2320</v>
      </c>
      <c r="G501" s="1" t="s">
        <v>23</v>
      </c>
      <c r="I501" s="18">
        <v>42006.06827546296</v>
      </c>
      <c r="J501" s="1" t="s">
        <v>17</v>
      </c>
      <c r="K501" s="1" t="s">
        <v>18</v>
      </c>
      <c r="L501" s="1" t="s">
        <v>19</v>
      </c>
      <c r="M501" s="1">
        <v>445811</v>
      </c>
      <c r="N501" s="1" t="s">
        <v>2321</v>
      </c>
      <c r="O501" s="18">
        <v>42005.784594907411</v>
      </c>
      <c r="P501" s="1" t="s">
        <v>68</v>
      </c>
      <c r="Q501" s="21">
        <f t="shared" si="7"/>
        <v>0.28368055554892635</v>
      </c>
      <c r="R501" s="1"/>
    </row>
    <row r="502" spans="1:22" x14ac:dyDescent="0.15">
      <c r="A502" s="1">
        <v>445810</v>
      </c>
      <c r="B502" s="1">
        <v>0</v>
      </c>
      <c r="C502" s="1" t="s">
        <v>65</v>
      </c>
      <c r="D502" s="1" t="s">
        <v>27</v>
      </c>
      <c r="E502" s="1" t="s">
        <v>66</v>
      </c>
      <c r="F502" s="1" t="s">
        <v>67</v>
      </c>
      <c r="G502" s="1" t="s">
        <v>23</v>
      </c>
      <c r="I502" s="18">
        <v>42005.783796296295</v>
      </c>
      <c r="J502" s="1" t="s">
        <v>68</v>
      </c>
      <c r="K502" s="1" t="s">
        <v>18</v>
      </c>
      <c r="L502" s="1" t="s">
        <v>19</v>
      </c>
      <c r="Q502" s="21"/>
    </row>
    <row r="503" spans="1:22" x14ac:dyDescent="0.15">
      <c r="A503" s="1">
        <v>445809</v>
      </c>
      <c r="B503" s="1">
        <v>0</v>
      </c>
      <c r="C503" s="1" t="s">
        <v>65</v>
      </c>
      <c r="D503" s="1" t="s">
        <v>27</v>
      </c>
      <c r="E503" s="1" t="s">
        <v>2953</v>
      </c>
      <c r="F503" s="1" t="s">
        <v>2954</v>
      </c>
      <c r="G503" s="1" t="s">
        <v>23</v>
      </c>
      <c r="I503" s="18">
        <v>42005.783113425925</v>
      </c>
      <c r="J503" s="1" t="s">
        <v>68</v>
      </c>
      <c r="K503" s="1" t="s">
        <v>18</v>
      </c>
      <c r="L503" s="1" t="s">
        <v>19</v>
      </c>
      <c r="Q503" s="21"/>
    </row>
    <row r="504" spans="1:22" x14ac:dyDescent="0.15">
      <c r="A504" s="1">
        <v>445808</v>
      </c>
      <c r="B504" s="1">
        <v>0</v>
      </c>
      <c r="C504" s="1" t="s">
        <v>65</v>
      </c>
      <c r="D504" s="1" t="s">
        <v>27</v>
      </c>
      <c r="E504" s="1" t="s">
        <v>1484</v>
      </c>
      <c r="F504" s="1" t="s">
        <v>2955</v>
      </c>
      <c r="G504" s="1" t="s">
        <v>23</v>
      </c>
      <c r="I504" s="18">
        <v>42005.782465277778</v>
      </c>
      <c r="J504" s="1" t="s">
        <v>68</v>
      </c>
      <c r="K504" s="1" t="s">
        <v>18</v>
      </c>
      <c r="L504" s="1" t="s">
        <v>19</v>
      </c>
      <c r="Q504" s="21"/>
    </row>
    <row r="505" spans="1:22" x14ac:dyDescent="0.15">
      <c r="A505" s="1">
        <v>445807</v>
      </c>
      <c r="B505" s="1">
        <v>0</v>
      </c>
      <c r="C505" s="1" t="s">
        <v>65</v>
      </c>
      <c r="D505" s="1" t="s">
        <v>27</v>
      </c>
      <c r="E505" s="1" t="s">
        <v>2951</v>
      </c>
      <c r="F505" s="1" t="s">
        <v>2952</v>
      </c>
      <c r="G505" s="1" t="s">
        <v>23</v>
      </c>
      <c r="I505" s="18">
        <v>42005.781666666669</v>
      </c>
      <c r="J505" s="1" t="s">
        <v>68</v>
      </c>
      <c r="K505" s="1" t="s">
        <v>18</v>
      </c>
      <c r="L505" s="1" t="s">
        <v>19</v>
      </c>
      <c r="Q505" s="21"/>
    </row>
    <row r="506" spans="1:22" x14ac:dyDescent="0.15">
      <c r="A506" s="1">
        <v>445747</v>
      </c>
      <c r="B506" s="1">
        <v>0</v>
      </c>
      <c r="D506" s="1" t="s">
        <v>27</v>
      </c>
      <c r="E506" s="1" t="s">
        <v>2291</v>
      </c>
      <c r="F506" s="1" t="s">
        <v>2292</v>
      </c>
      <c r="G506" s="1" t="s">
        <v>23</v>
      </c>
      <c r="I506" s="18">
        <v>42004.662210648145</v>
      </c>
      <c r="J506" s="1" t="s">
        <v>17</v>
      </c>
      <c r="K506" s="1" t="s">
        <v>18</v>
      </c>
      <c r="L506" s="1" t="s">
        <v>19</v>
      </c>
      <c r="Q506" s="21"/>
    </row>
    <row r="507" spans="1:22" x14ac:dyDescent="0.15">
      <c r="A507" s="1">
        <v>445679</v>
      </c>
      <c r="B507" s="1">
        <v>0</v>
      </c>
      <c r="C507" s="1" t="s">
        <v>3340</v>
      </c>
      <c r="D507" s="1" t="s">
        <v>27</v>
      </c>
      <c r="E507" s="1" t="s">
        <v>3341</v>
      </c>
      <c r="F507" s="1" t="s">
        <v>3342</v>
      </c>
      <c r="G507" s="1" t="s">
        <v>23</v>
      </c>
      <c r="I507" s="18">
        <v>42004.153287037036</v>
      </c>
      <c r="J507" s="1" t="s">
        <v>3343</v>
      </c>
      <c r="K507" s="1" t="s">
        <v>18</v>
      </c>
      <c r="L507" s="1" t="s">
        <v>19</v>
      </c>
      <c r="Q507" s="21"/>
    </row>
    <row r="508" spans="1:22" x14ac:dyDescent="0.15">
      <c r="A508" s="1">
        <v>445285</v>
      </c>
      <c r="B508" s="1">
        <v>1</v>
      </c>
      <c r="D508" s="1" t="s">
        <v>27</v>
      </c>
      <c r="E508" s="1" t="s">
        <v>2674</v>
      </c>
      <c r="F508" s="1" t="s">
        <v>2726</v>
      </c>
      <c r="G508" s="1"/>
      <c r="H508" s="1"/>
      <c r="I508" s="18">
        <v>42001.892210648148</v>
      </c>
      <c r="J508" s="1" t="s">
        <v>408</v>
      </c>
      <c r="K508" s="1" t="s">
        <v>18</v>
      </c>
      <c r="L508" s="1" t="s">
        <v>19</v>
      </c>
      <c r="M508" s="1">
        <v>448067</v>
      </c>
      <c r="N508" s="1" t="s">
        <v>2727</v>
      </c>
      <c r="O508" s="18">
        <v>42016.717615740738</v>
      </c>
      <c r="P508" s="1" t="s">
        <v>17</v>
      </c>
      <c r="Q508" s="21">
        <f t="shared" si="7"/>
        <v>14.82540509258979</v>
      </c>
      <c r="R508" s="1"/>
    </row>
    <row r="509" spans="1:22" x14ac:dyDescent="0.15">
      <c r="A509" s="1">
        <v>444927</v>
      </c>
      <c r="B509" s="1">
        <v>0</v>
      </c>
      <c r="C509" s="1" t="s">
        <v>3442</v>
      </c>
      <c r="D509" s="1" t="s">
        <v>27</v>
      </c>
      <c r="E509" s="1" t="s">
        <v>3443</v>
      </c>
      <c r="F509" s="1" t="s">
        <v>3444</v>
      </c>
      <c r="G509" s="1" t="s">
        <v>23</v>
      </c>
      <c r="I509" s="18">
        <v>41996.903761574074</v>
      </c>
      <c r="J509" s="1" t="s">
        <v>3445</v>
      </c>
      <c r="K509" s="1" t="s">
        <v>18</v>
      </c>
      <c r="L509" s="1" t="s">
        <v>19</v>
      </c>
      <c r="Q509" s="21"/>
    </row>
    <row r="510" spans="1:22" x14ac:dyDescent="0.15">
      <c r="A510" s="1">
        <v>444695</v>
      </c>
      <c r="B510" s="1">
        <v>0</v>
      </c>
      <c r="C510" s="1" t="s">
        <v>101</v>
      </c>
      <c r="D510" s="1" t="s">
        <v>27</v>
      </c>
      <c r="E510" s="1" t="s">
        <v>877</v>
      </c>
      <c r="F510" s="1" t="s">
        <v>1999</v>
      </c>
      <c r="G510" s="1" t="s">
        <v>23</v>
      </c>
      <c r="I510" s="18">
        <v>41995.960370370369</v>
      </c>
      <c r="J510" s="1" t="s">
        <v>17</v>
      </c>
      <c r="K510" s="1" t="s">
        <v>18</v>
      </c>
      <c r="L510" s="1" t="s">
        <v>19</v>
      </c>
      <c r="Q510" s="21"/>
    </row>
    <row r="511" spans="1:22" x14ac:dyDescent="0.15">
      <c r="A511" s="1">
        <v>444539</v>
      </c>
      <c r="B511" s="1">
        <v>0</v>
      </c>
      <c r="D511" s="1" t="s">
        <v>27</v>
      </c>
      <c r="E511" s="1" t="s">
        <v>3232</v>
      </c>
      <c r="F511" s="1" t="s">
        <v>3233</v>
      </c>
      <c r="G511" s="1" t="s">
        <v>23</v>
      </c>
      <c r="I511" s="18">
        <v>41995.501307870371</v>
      </c>
      <c r="J511" s="1" t="s">
        <v>1151</v>
      </c>
      <c r="K511" s="1" t="s">
        <v>18</v>
      </c>
      <c r="L511" s="1" t="s">
        <v>19</v>
      </c>
      <c r="Q511" s="21"/>
    </row>
    <row r="512" spans="1:22" x14ac:dyDescent="0.15">
      <c r="A512" s="1">
        <v>444522</v>
      </c>
      <c r="B512" s="1">
        <v>0</v>
      </c>
      <c r="D512" s="1" t="s">
        <v>27</v>
      </c>
      <c r="E512" s="1" t="s">
        <v>3506</v>
      </c>
      <c r="F512" s="1" t="s">
        <v>3507</v>
      </c>
      <c r="G512" s="1" t="s">
        <v>23</v>
      </c>
      <c r="I512" s="18">
        <v>41995.430092592593</v>
      </c>
      <c r="J512" s="1" t="s">
        <v>1151</v>
      </c>
      <c r="K512" s="1" t="s">
        <v>18</v>
      </c>
      <c r="L512" s="1" t="s">
        <v>19</v>
      </c>
      <c r="Q512" s="21"/>
    </row>
    <row r="513" spans="1:18" x14ac:dyDescent="0.15">
      <c r="A513" s="1">
        <v>443333</v>
      </c>
      <c r="B513" s="1">
        <v>0</v>
      </c>
      <c r="D513" s="1" t="s">
        <v>27</v>
      </c>
      <c r="E513" s="1" t="s">
        <v>104</v>
      </c>
      <c r="F513" s="1" t="s">
        <v>105</v>
      </c>
      <c r="G513" s="1" t="s">
        <v>23</v>
      </c>
      <c r="I513" s="18">
        <v>41990.897627314815</v>
      </c>
      <c r="J513" s="1" t="s">
        <v>106</v>
      </c>
      <c r="K513" s="1" t="s">
        <v>18</v>
      </c>
      <c r="L513" s="1" t="s">
        <v>19</v>
      </c>
      <c r="Q513" s="21"/>
    </row>
    <row r="514" spans="1:18" x14ac:dyDescent="0.15">
      <c r="A514" s="1">
        <v>443274</v>
      </c>
      <c r="B514" s="1">
        <v>0</v>
      </c>
      <c r="C514" s="1" t="s">
        <v>1313</v>
      </c>
      <c r="D514" s="1" t="s">
        <v>27</v>
      </c>
      <c r="E514" s="1" t="s">
        <v>1314</v>
      </c>
      <c r="F514" s="1" t="s">
        <v>1315</v>
      </c>
      <c r="G514" s="1" t="s">
        <v>23</v>
      </c>
      <c r="I514" s="18">
        <v>41990.813738425924</v>
      </c>
      <c r="J514" s="1" t="s">
        <v>669</v>
      </c>
      <c r="K514" s="1" t="s">
        <v>18</v>
      </c>
      <c r="L514" s="1" t="s">
        <v>19</v>
      </c>
      <c r="Q514" s="21"/>
    </row>
    <row r="515" spans="1:18" x14ac:dyDescent="0.15">
      <c r="A515" s="1">
        <v>443115</v>
      </c>
      <c r="B515" s="1">
        <v>0</v>
      </c>
      <c r="D515" s="1" t="s">
        <v>27</v>
      </c>
      <c r="E515" s="1" t="s">
        <v>1284</v>
      </c>
      <c r="F515" s="1" t="s">
        <v>1285</v>
      </c>
      <c r="G515" s="1"/>
      <c r="H515" s="1"/>
      <c r="I515" s="18">
        <v>41990.465150462966</v>
      </c>
      <c r="J515" s="1" t="s">
        <v>68</v>
      </c>
      <c r="K515" s="1" t="s">
        <v>18</v>
      </c>
      <c r="L515" s="1" t="s">
        <v>19</v>
      </c>
      <c r="Q515" s="21"/>
    </row>
    <row r="516" spans="1:18" x14ac:dyDescent="0.15">
      <c r="A516" s="1">
        <v>442806</v>
      </c>
      <c r="B516" s="1">
        <v>0</v>
      </c>
      <c r="C516" s="1" t="s">
        <v>1593</v>
      </c>
      <c r="D516" s="1" t="s">
        <v>27</v>
      </c>
      <c r="E516" s="1" t="s">
        <v>3525</v>
      </c>
      <c r="F516" s="1" t="s">
        <v>3526</v>
      </c>
      <c r="G516" s="1"/>
      <c r="H516" s="1"/>
      <c r="I516" s="18">
        <v>41989.748391203706</v>
      </c>
      <c r="J516" s="1" t="s">
        <v>68</v>
      </c>
      <c r="K516" s="1" t="s">
        <v>18</v>
      </c>
      <c r="L516" s="1" t="s">
        <v>19</v>
      </c>
      <c r="Q516" s="21"/>
    </row>
    <row r="517" spans="1:18" x14ac:dyDescent="0.15">
      <c r="A517" s="1">
        <v>442710</v>
      </c>
      <c r="B517" s="1">
        <v>0</v>
      </c>
      <c r="C517" s="1" t="s">
        <v>101</v>
      </c>
      <c r="D517" s="1" t="s">
        <v>27</v>
      </c>
      <c r="E517" s="1" t="s">
        <v>2274</v>
      </c>
      <c r="F517" s="1" t="s">
        <v>2275</v>
      </c>
      <c r="G517" s="1"/>
      <c r="H517" s="1"/>
      <c r="I517" s="18">
        <v>41989.549560185187</v>
      </c>
      <c r="J517" s="1" t="s">
        <v>68</v>
      </c>
      <c r="K517" s="1" t="s">
        <v>18</v>
      </c>
      <c r="L517" s="1" t="s">
        <v>19</v>
      </c>
      <c r="Q517" s="21"/>
    </row>
    <row r="518" spans="1:18" x14ac:dyDescent="0.15">
      <c r="A518" s="1">
        <v>442585</v>
      </c>
      <c r="B518" s="1">
        <v>0</v>
      </c>
      <c r="C518" s="1" t="s">
        <v>137</v>
      </c>
      <c r="D518" s="1" t="s">
        <v>27</v>
      </c>
      <c r="E518" s="1" t="s">
        <v>1787</v>
      </c>
      <c r="F518" s="1" t="s">
        <v>1788</v>
      </c>
      <c r="G518" s="1" t="s">
        <v>23</v>
      </c>
      <c r="I518" s="18">
        <v>41989.08630787037</v>
      </c>
      <c r="J518" s="1" t="s">
        <v>836</v>
      </c>
      <c r="K518" s="1" t="s">
        <v>18</v>
      </c>
      <c r="L518" s="1" t="s">
        <v>19</v>
      </c>
      <c r="Q518" s="21"/>
    </row>
    <row r="519" spans="1:18" x14ac:dyDescent="0.15">
      <c r="A519" s="1">
        <v>441834</v>
      </c>
      <c r="B519" s="1">
        <v>0</v>
      </c>
      <c r="C519" s="1" t="s">
        <v>3649</v>
      </c>
      <c r="D519" s="1" t="s">
        <v>27</v>
      </c>
      <c r="E519" s="1" t="s">
        <v>3650</v>
      </c>
      <c r="F519" s="1" t="s">
        <v>3651</v>
      </c>
      <c r="G519" s="1" t="s">
        <v>159</v>
      </c>
      <c r="I519" s="18">
        <v>41985.773564814815</v>
      </c>
      <c r="J519" s="1" t="s">
        <v>3652</v>
      </c>
      <c r="K519" s="1" t="s">
        <v>3586</v>
      </c>
      <c r="L519" s="1" t="s">
        <v>19</v>
      </c>
      <c r="Q519" s="21"/>
    </row>
    <row r="520" spans="1:18" x14ac:dyDescent="0.15">
      <c r="A520" s="1">
        <v>440205</v>
      </c>
      <c r="B520" s="1">
        <v>0</v>
      </c>
      <c r="C520" s="1" t="s">
        <v>137</v>
      </c>
      <c r="D520" s="1" t="s">
        <v>3911</v>
      </c>
      <c r="E520" s="1" t="s">
        <v>3992</v>
      </c>
      <c r="F520" s="1" t="s">
        <v>3993</v>
      </c>
      <c r="G520" s="1"/>
      <c r="H520" s="1"/>
      <c r="I520" s="18">
        <v>41982.050625000003</v>
      </c>
      <c r="J520" s="1" t="s">
        <v>836</v>
      </c>
      <c r="K520" s="1" t="s">
        <v>18</v>
      </c>
      <c r="L520" s="1" t="s">
        <v>19</v>
      </c>
      <c r="Q520" s="21"/>
    </row>
    <row r="521" spans="1:18" x14ac:dyDescent="0.15">
      <c r="A521" s="13">
        <v>439800</v>
      </c>
      <c r="B521" s="13">
        <v>0</v>
      </c>
      <c r="C521" s="13" t="s">
        <v>2352</v>
      </c>
      <c r="D521" s="13" t="s">
        <v>4082</v>
      </c>
      <c r="E521" s="13" t="s">
        <v>4095</v>
      </c>
      <c r="F521" s="13" t="s">
        <v>3993</v>
      </c>
      <c r="G521" s="13"/>
      <c r="H521" s="13">
        <v>439534</v>
      </c>
      <c r="I521" s="23">
        <v>41980.691157407404</v>
      </c>
      <c r="J521" s="13" t="s">
        <v>408</v>
      </c>
      <c r="K521" s="13" t="s">
        <v>18</v>
      </c>
      <c r="L521" s="13" t="s">
        <v>19</v>
      </c>
      <c r="M521" s="13" t="s">
        <v>4085</v>
      </c>
      <c r="Q521" s="21"/>
    </row>
    <row r="522" spans="1:18" x14ac:dyDescent="0.15">
      <c r="A522" s="1">
        <v>439319</v>
      </c>
      <c r="B522" s="1">
        <v>1</v>
      </c>
      <c r="C522" s="1" t="s">
        <v>663</v>
      </c>
      <c r="D522" s="1" t="s">
        <v>27</v>
      </c>
      <c r="E522" s="1" t="s">
        <v>1266</v>
      </c>
      <c r="F522" s="1" t="s">
        <v>1267</v>
      </c>
      <c r="G522" s="1" t="s">
        <v>23</v>
      </c>
      <c r="I522" s="18">
        <v>41978.126875000002</v>
      </c>
      <c r="J522" s="1" t="s">
        <v>17</v>
      </c>
      <c r="K522" s="1" t="s">
        <v>18</v>
      </c>
      <c r="L522" s="1" t="s">
        <v>19</v>
      </c>
      <c r="M522" s="1">
        <v>442534</v>
      </c>
      <c r="N522" s="1" t="s">
        <v>1268</v>
      </c>
      <c r="O522" s="18">
        <v>41988.991296296299</v>
      </c>
      <c r="P522" s="1" t="s">
        <v>68</v>
      </c>
      <c r="Q522" s="21">
        <f t="shared" ref="Q522:Q560" si="8">ABS(O522-I522)</f>
        <v>10.864421296297223</v>
      </c>
      <c r="R522" s="1"/>
    </row>
    <row r="523" spans="1:18" x14ac:dyDescent="0.15">
      <c r="A523" s="13">
        <v>438366</v>
      </c>
      <c r="B523" s="13">
        <v>0</v>
      </c>
      <c r="C523" s="13" t="s">
        <v>137</v>
      </c>
      <c r="D523" s="13" t="s">
        <v>4082</v>
      </c>
      <c r="E523" s="13" t="s">
        <v>3934</v>
      </c>
      <c r="F523" s="13" t="s">
        <v>3458</v>
      </c>
      <c r="G523" s="13" t="s">
        <v>23</v>
      </c>
      <c r="H523" s="13">
        <v>411737</v>
      </c>
      <c r="I523" s="23">
        <v>41975.893912037034</v>
      </c>
      <c r="J523" s="13" t="s">
        <v>17</v>
      </c>
      <c r="K523" s="13" t="s">
        <v>18</v>
      </c>
      <c r="L523" s="13" t="s">
        <v>19</v>
      </c>
      <c r="M523" s="13" t="s">
        <v>4085</v>
      </c>
      <c r="Q523" s="21"/>
    </row>
    <row r="524" spans="1:18" x14ac:dyDescent="0.15">
      <c r="A524" s="1">
        <v>438365</v>
      </c>
      <c r="B524" s="1">
        <v>0</v>
      </c>
      <c r="C524" s="1" t="s">
        <v>3529</v>
      </c>
      <c r="D524" s="1" t="s">
        <v>27</v>
      </c>
      <c r="E524" s="1" t="s">
        <v>3530</v>
      </c>
      <c r="F524" s="1" t="s">
        <v>3531</v>
      </c>
      <c r="G524" s="1" t="s">
        <v>23</v>
      </c>
      <c r="I524" s="18">
        <v>41975.893194444441</v>
      </c>
      <c r="J524" s="1" t="s">
        <v>17</v>
      </c>
      <c r="K524" s="1" t="s">
        <v>18</v>
      </c>
      <c r="L524" s="1" t="s">
        <v>19</v>
      </c>
      <c r="Q524" s="21"/>
    </row>
    <row r="525" spans="1:18" x14ac:dyDescent="0.15">
      <c r="A525" s="1">
        <v>438364</v>
      </c>
      <c r="B525" s="1">
        <v>0</v>
      </c>
      <c r="C525" s="1" t="s">
        <v>759</v>
      </c>
      <c r="D525" s="1" t="s">
        <v>27</v>
      </c>
      <c r="E525" s="1" t="s">
        <v>3527</v>
      </c>
      <c r="F525" s="1" t="s">
        <v>3528</v>
      </c>
      <c r="G525" s="1" t="s">
        <v>23</v>
      </c>
      <c r="I525" s="18">
        <v>41975.890729166669</v>
      </c>
      <c r="J525" s="1" t="s">
        <v>17</v>
      </c>
      <c r="K525" s="1" t="s">
        <v>18</v>
      </c>
      <c r="L525" s="1" t="s">
        <v>19</v>
      </c>
      <c r="Q525" s="21"/>
    </row>
    <row r="526" spans="1:18" x14ac:dyDescent="0.15">
      <c r="A526" s="1">
        <v>437655</v>
      </c>
      <c r="B526" s="1">
        <v>0</v>
      </c>
      <c r="C526" s="1" t="s">
        <v>918</v>
      </c>
      <c r="D526" s="1" t="s">
        <v>27</v>
      </c>
      <c r="E526" s="1" t="s">
        <v>919</v>
      </c>
      <c r="F526" s="1" t="s">
        <v>761</v>
      </c>
      <c r="G526" s="1" t="s">
        <v>23</v>
      </c>
      <c r="I526" s="18">
        <v>41973.628518518519</v>
      </c>
      <c r="J526" s="1" t="s">
        <v>17</v>
      </c>
      <c r="K526" s="1" t="s">
        <v>18</v>
      </c>
      <c r="L526" s="1" t="s">
        <v>19</v>
      </c>
      <c r="Q526" s="21"/>
    </row>
    <row r="527" spans="1:18" x14ac:dyDescent="0.15">
      <c r="A527" s="1">
        <v>437651</v>
      </c>
      <c r="B527" s="1">
        <v>0</v>
      </c>
      <c r="D527" s="1" t="s">
        <v>27</v>
      </c>
      <c r="E527" s="1" t="s">
        <v>916</v>
      </c>
      <c r="F527" s="1" t="s">
        <v>917</v>
      </c>
      <c r="G527" s="1" t="s">
        <v>16</v>
      </c>
      <c r="I527" s="18">
        <v>41973.486898148149</v>
      </c>
      <c r="J527" s="1" t="s">
        <v>190</v>
      </c>
      <c r="K527" s="1" t="s">
        <v>18</v>
      </c>
      <c r="L527" s="1" t="s">
        <v>19</v>
      </c>
      <c r="Q527" s="21"/>
    </row>
    <row r="528" spans="1:18" x14ac:dyDescent="0.15">
      <c r="A528" s="1">
        <v>437636</v>
      </c>
      <c r="B528" s="1">
        <v>0</v>
      </c>
      <c r="D528" s="1" t="s">
        <v>27</v>
      </c>
      <c r="E528" s="1" t="s">
        <v>2220</v>
      </c>
      <c r="F528" s="1" t="s">
        <v>2221</v>
      </c>
      <c r="G528" s="1" t="s">
        <v>23</v>
      </c>
      <c r="I528" s="18">
        <v>41973.065671296295</v>
      </c>
      <c r="J528" s="1" t="s">
        <v>17</v>
      </c>
      <c r="K528" s="1" t="s">
        <v>18</v>
      </c>
      <c r="L528" s="1" t="s">
        <v>19</v>
      </c>
      <c r="Q528" s="21"/>
    </row>
    <row r="529" spans="1:18" x14ac:dyDescent="0.15">
      <c r="A529" s="1">
        <v>437472</v>
      </c>
      <c r="B529" s="1">
        <v>0</v>
      </c>
      <c r="D529" s="1" t="s">
        <v>27</v>
      </c>
      <c r="E529" s="1" t="s">
        <v>1493</v>
      </c>
      <c r="F529" s="1" t="s">
        <v>1494</v>
      </c>
      <c r="G529" s="1" t="s">
        <v>353</v>
      </c>
      <c r="I529" s="18">
        <v>41971.57130787037</v>
      </c>
      <c r="J529" s="1" t="s">
        <v>17</v>
      </c>
      <c r="K529" s="1" t="s">
        <v>18</v>
      </c>
      <c r="L529" s="1" t="s">
        <v>19</v>
      </c>
      <c r="Q529" s="21"/>
    </row>
    <row r="530" spans="1:18" x14ac:dyDescent="0.15">
      <c r="A530" s="1">
        <v>437441</v>
      </c>
      <c r="B530" s="1">
        <v>0</v>
      </c>
      <c r="C530" s="1" t="s">
        <v>137</v>
      </c>
      <c r="D530" s="1" t="s">
        <v>27</v>
      </c>
      <c r="E530" s="1" t="s">
        <v>816</v>
      </c>
      <c r="F530" s="1" t="s">
        <v>817</v>
      </c>
      <c r="G530" s="1" t="s">
        <v>23</v>
      </c>
      <c r="I530" s="18">
        <v>41971.483703703707</v>
      </c>
      <c r="J530" s="1" t="s">
        <v>656</v>
      </c>
      <c r="K530" s="1" t="s">
        <v>18</v>
      </c>
      <c r="L530" s="1" t="s">
        <v>19</v>
      </c>
      <c r="Q530" s="21"/>
    </row>
    <row r="531" spans="1:18" x14ac:dyDescent="0.15">
      <c r="A531" s="1">
        <v>436022</v>
      </c>
      <c r="B531" s="1">
        <v>0</v>
      </c>
      <c r="C531" s="1" t="s">
        <v>137</v>
      </c>
      <c r="D531" s="1" t="s">
        <v>27</v>
      </c>
      <c r="E531" s="1" t="s">
        <v>3305</v>
      </c>
      <c r="F531" s="1" t="s">
        <v>3306</v>
      </c>
      <c r="G531" s="1" t="s">
        <v>23</v>
      </c>
      <c r="I531" s="18">
        <v>41967.54277777778</v>
      </c>
      <c r="J531" s="1" t="s">
        <v>656</v>
      </c>
      <c r="K531" s="1" t="s">
        <v>18</v>
      </c>
      <c r="L531" s="1" t="s">
        <v>19</v>
      </c>
      <c r="Q531" s="21"/>
    </row>
    <row r="532" spans="1:18" x14ac:dyDescent="0.15">
      <c r="A532" s="1">
        <v>435880</v>
      </c>
      <c r="B532" s="1">
        <v>0</v>
      </c>
      <c r="C532" s="1" t="s">
        <v>689</v>
      </c>
      <c r="D532" s="1" t="s">
        <v>27</v>
      </c>
      <c r="E532" s="1" t="s">
        <v>1466</v>
      </c>
      <c r="F532" s="1" t="s">
        <v>1467</v>
      </c>
      <c r="G532" s="1" t="s">
        <v>23</v>
      </c>
      <c r="I532" s="18">
        <v>41966.27648148148</v>
      </c>
      <c r="J532" s="1" t="s">
        <v>17</v>
      </c>
      <c r="K532" s="1" t="s">
        <v>18</v>
      </c>
      <c r="L532" s="1" t="s">
        <v>19</v>
      </c>
      <c r="Q532" s="21"/>
    </row>
    <row r="533" spans="1:18" x14ac:dyDescent="0.15">
      <c r="A533" s="1">
        <v>435816</v>
      </c>
      <c r="B533" s="1">
        <v>0</v>
      </c>
      <c r="D533" s="1" t="s">
        <v>3911</v>
      </c>
      <c r="E533" s="1" t="s">
        <v>4026</v>
      </c>
      <c r="F533" s="1" t="s">
        <v>4027</v>
      </c>
      <c r="G533" s="1" t="s">
        <v>23</v>
      </c>
      <c r="I533" s="18">
        <v>41965.397141203706</v>
      </c>
      <c r="J533" s="1" t="s">
        <v>17</v>
      </c>
      <c r="K533" s="1" t="s">
        <v>18</v>
      </c>
      <c r="L533" s="1" t="s">
        <v>19</v>
      </c>
      <c r="Q533" s="21"/>
    </row>
    <row r="534" spans="1:18" x14ac:dyDescent="0.15">
      <c r="A534" s="1">
        <v>435815</v>
      </c>
      <c r="B534" s="1">
        <v>0</v>
      </c>
      <c r="D534" s="1" t="s">
        <v>27</v>
      </c>
      <c r="E534" s="1" t="s">
        <v>2473</v>
      </c>
      <c r="F534" s="1" t="s">
        <v>2474</v>
      </c>
      <c r="G534" s="1" t="s">
        <v>23</v>
      </c>
      <c r="I534" s="18">
        <v>41965.395752314813</v>
      </c>
      <c r="J534" s="1" t="s">
        <v>17</v>
      </c>
      <c r="K534" s="1" t="s">
        <v>18</v>
      </c>
      <c r="L534" s="1" t="s">
        <v>19</v>
      </c>
      <c r="Q534" s="21"/>
    </row>
    <row r="535" spans="1:18" x14ac:dyDescent="0.15">
      <c r="A535" s="1">
        <v>435514</v>
      </c>
      <c r="B535" s="1">
        <v>0</v>
      </c>
      <c r="C535" s="1" t="s">
        <v>759</v>
      </c>
      <c r="D535" s="1" t="s">
        <v>27</v>
      </c>
      <c r="E535" s="1" t="s">
        <v>760</v>
      </c>
      <c r="F535" s="1" t="s">
        <v>761</v>
      </c>
      <c r="G535" s="1" t="s">
        <v>23</v>
      </c>
      <c r="I535" s="18">
        <v>41964.45071759259</v>
      </c>
      <c r="J535" s="1" t="s">
        <v>17</v>
      </c>
      <c r="K535" s="1" t="s">
        <v>18</v>
      </c>
      <c r="L535" s="1" t="s">
        <v>19</v>
      </c>
      <c r="Q535" s="21"/>
    </row>
    <row r="536" spans="1:18" x14ac:dyDescent="0.15">
      <c r="A536" s="1">
        <v>435383</v>
      </c>
      <c r="B536" s="1">
        <v>0</v>
      </c>
      <c r="C536" s="1" t="s">
        <v>137</v>
      </c>
      <c r="D536" s="1" t="s">
        <v>27</v>
      </c>
      <c r="E536" s="1" t="s">
        <v>834</v>
      </c>
      <c r="F536" s="1" t="s">
        <v>835</v>
      </c>
      <c r="G536" s="1" t="s">
        <v>23</v>
      </c>
      <c r="I536" s="18">
        <v>41964.017256944448</v>
      </c>
      <c r="J536" s="1" t="s">
        <v>836</v>
      </c>
      <c r="K536" s="1" t="s">
        <v>18</v>
      </c>
      <c r="L536" s="1" t="s">
        <v>19</v>
      </c>
      <c r="Q536" s="21"/>
    </row>
    <row r="537" spans="1:18" x14ac:dyDescent="0.15">
      <c r="A537" s="1">
        <v>435073</v>
      </c>
      <c r="B537" s="1">
        <v>0</v>
      </c>
      <c r="C537" s="1" t="s">
        <v>101</v>
      </c>
      <c r="D537" s="1" t="s">
        <v>27</v>
      </c>
      <c r="E537" s="1" t="s">
        <v>102</v>
      </c>
      <c r="F537" s="1" t="s">
        <v>103</v>
      </c>
      <c r="G537" s="1" t="s">
        <v>23</v>
      </c>
      <c r="I537" s="18">
        <v>41963.527384259258</v>
      </c>
      <c r="J537" s="1" t="s">
        <v>17</v>
      </c>
      <c r="K537" s="1" t="s">
        <v>18</v>
      </c>
      <c r="L537" s="1" t="s">
        <v>19</v>
      </c>
      <c r="Q537" s="21"/>
    </row>
    <row r="538" spans="1:18" x14ac:dyDescent="0.15">
      <c r="A538" s="1">
        <v>434723</v>
      </c>
      <c r="B538" s="1">
        <v>0</v>
      </c>
      <c r="D538" s="1" t="s">
        <v>27</v>
      </c>
      <c r="E538" s="1" t="s">
        <v>1537</v>
      </c>
      <c r="F538" s="1" t="s">
        <v>1538</v>
      </c>
      <c r="G538" s="1" t="s">
        <v>23</v>
      </c>
      <c r="I538" s="18">
        <v>41962.64949074074</v>
      </c>
      <c r="J538" s="1" t="s">
        <v>17</v>
      </c>
      <c r="K538" s="1" t="s">
        <v>18</v>
      </c>
      <c r="L538" s="1" t="s">
        <v>19</v>
      </c>
      <c r="Q538" s="21"/>
    </row>
    <row r="539" spans="1:18" x14ac:dyDescent="0.15">
      <c r="A539" s="1">
        <v>434136</v>
      </c>
      <c r="B539" s="1">
        <v>1</v>
      </c>
      <c r="C539" s="1" t="s">
        <v>759</v>
      </c>
      <c r="D539" s="1" t="s">
        <v>27</v>
      </c>
      <c r="E539" s="1" t="s">
        <v>2663</v>
      </c>
      <c r="F539" s="1" t="s">
        <v>2664</v>
      </c>
      <c r="G539" s="1" t="s">
        <v>23</v>
      </c>
      <c r="I539" s="18">
        <v>41961.029351851852</v>
      </c>
      <c r="J539" s="1" t="s">
        <v>2665</v>
      </c>
      <c r="K539" s="1" t="s">
        <v>18</v>
      </c>
      <c r="L539" s="1" t="s">
        <v>19</v>
      </c>
      <c r="M539" s="1">
        <v>431546</v>
      </c>
      <c r="N539" s="1" t="s">
        <v>2666</v>
      </c>
      <c r="O539" s="18">
        <v>41951.874259259261</v>
      </c>
      <c r="P539" s="1" t="s">
        <v>2667</v>
      </c>
      <c r="Q539" s="21">
        <f t="shared" si="8"/>
        <v>9.1550925925912452</v>
      </c>
      <c r="R539" s="1"/>
    </row>
    <row r="540" spans="1:18" x14ac:dyDescent="0.15">
      <c r="A540" s="1">
        <v>433862</v>
      </c>
      <c r="B540" s="1">
        <v>0</v>
      </c>
      <c r="C540" s="1" t="s">
        <v>424</v>
      </c>
      <c r="D540" s="1" t="s">
        <v>3911</v>
      </c>
      <c r="E540" s="1" t="s">
        <v>4019</v>
      </c>
      <c r="F540" s="1" t="s">
        <v>4020</v>
      </c>
      <c r="G540" s="1" t="s">
        <v>23</v>
      </c>
      <c r="I540" s="18">
        <v>41960.672083333331</v>
      </c>
      <c r="J540" s="1" t="s">
        <v>17</v>
      </c>
      <c r="K540" s="1" t="s">
        <v>18</v>
      </c>
      <c r="L540" s="1" t="s">
        <v>19</v>
      </c>
      <c r="Q540" s="21"/>
    </row>
    <row r="541" spans="1:18" x14ac:dyDescent="0.15">
      <c r="A541" s="1">
        <v>432209</v>
      </c>
      <c r="B541" s="1">
        <v>0</v>
      </c>
      <c r="D541" s="1" t="s">
        <v>27</v>
      </c>
      <c r="E541" s="1" t="s">
        <v>1024</v>
      </c>
      <c r="F541" s="1" t="s">
        <v>1025</v>
      </c>
      <c r="G541" s="1"/>
      <c r="H541" s="1"/>
      <c r="I541" s="18">
        <v>41954.805185185185</v>
      </c>
      <c r="J541" s="1" t="s">
        <v>1026</v>
      </c>
      <c r="K541" s="1" t="s">
        <v>18</v>
      </c>
      <c r="L541" s="1" t="s">
        <v>19</v>
      </c>
      <c r="Q541" s="21"/>
    </row>
    <row r="542" spans="1:18" x14ac:dyDescent="0.15">
      <c r="A542" s="1">
        <v>431563</v>
      </c>
      <c r="B542" s="1">
        <v>0</v>
      </c>
      <c r="D542" s="1" t="s">
        <v>3911</v>
      </c>
      <c r="E542" s="1" t="s">
        <v>3928</v>
      </c>
      <c r="F542" s="1" t="s">
        <v>3458</v>
      </c>
      <c r="G542" s="1" t="s">
        <v>23</v>
      </c>
      <c r="I542" s="18">
        <v>41952.149861111109</v>
      </c>
      <c r="J542" s="1" t="s">
        <v>17</v>
      </c>
      <c r="K542" s="1" t="s">
        <v>18</v>
      </c>
      <c r="L542" s="1" t="s">
        <v>19</v>
      </c>
      <c r="Q542" s="21"/>
    </row>
    <row r="543" spans="1:18" x14ac:dyDescent="0.15">
      <c r="A543" s="1">
        <v>430891</v>
      </c>
      <c r="B543" s="1">
        <v>1</v>
      </c>
      <c r="C543" s="1" t="s">
        <v>12</v>
      </c>
      <c r="D543" s="1" t="s">
        <v>27</v>
      </c>
      <c r="E543" s="1" t="s">
        <v>167</v>
      </c>
      <c r="F543" s="1" t="s">
        <v>168</v>
      </c>
      <c r="G543" s="1" t="s">
        <v>23</v>
      </c>
      <c r="I543" s="18">
        <v>41949.613506944443</v>
      </c>
      <c r="J543" s="1" t="s">
        <v>68</v>
      </c>
      <c r="K543" s="1" t="s">
        <v>18</v>
      </c>
      <c r="L543" s="1" t="s">
        <v>19</v>
      </c>
      <c r="M543" s="1">
        <v>467350</v>
      </c>
      <c r="N543" s="1" t="s">
        <v>169</v>
      </c>
      <c r="O543" s="18">
        <v>42077.901967592596</v>
      </c>
      <c r="P543" s="1" t="s">
        <v>17</v>
      </c>
      <c r="Q543" s="21">
        <f t="shared" si="8"/>
        <v>128.28846064815298</v>
      </c>
      <c r="R543" s="1"/>
    </row>
    <row r="544" spans="1:18" x14ac:dyDescent="0.15">
      <c r="A544" s="1">
        <v>430591</v>
      </c>
      <c r="B544" s="1">
        <v>0</v>
      </c>
      <c r="D544" s="1" t="s">
        <v>3911</v>
      </c>
      <c r="E544" s="1" t="s">
        <v>4063</v>
      </c>
      <c r="F544" s="1" t="s">
        <v>4064</v>
      </c>
      <c r="G544" s="1" t="s">
        <v>23</v>
      </c>
      <c r="I544" s="18">
        <v>41948.854016203702</v>
      </c>
      <c r="J544" s="1" t="s">
        <v>17</v>
      </c>
      <c r="K544" s="1" t="s">
        <v>18</v>
      </c>
      <c r="L544" s="1" t="s">
        <v>19</v>
      </c>
      <c r="Q544" s="21"/>
    </row>
    <row r="545" spans="1:18" x14ac:dyDescent="0.15">
      <c r="A545" s="1">
        <v>430353</v>
      </c>
      <c r="B545" s="1">
        <v>0</v>
      </c>
      <c r="D545" s="1" t="s">
        <v>27</v>
      </c>
      <c r="E545" s="1" t="s">
        <v>1561</v>
      </c>
      <c r="F545" s="1" t="s">
        <v>1562</v>
      </c>
      <c r="G545" s="1" t="s">
        <v>23</v>
      </c>
      <c r="I545" s="18">
        <v>41948.232418981483</v>
      </c>
      <c r="J545" s="1" t="s">
        <v>836</v>
      </c>
      <c r="K545" s="1" t="s">
        <v>18</v>
      </c>
      <c r="L545" s="1" t="s">
        <v>19</v>
      </c>
      <c r="Q545" s="21"/>
    </row>
    <row r="546" spans="1:18" x14ac:dyDescent="0.15">
      <c r="A546" s="1">
        <v>429666</v>
      </c>
      <c r="B546" s="1">
        <v>0</v>
      </c>
      <c r="D546" s="1" t="s">
        <v>27</v>
      </c>
      <c r="E546" s="1" t="s">
        <v>1572</v>
      </c>
      <c r="F546" s="1" t="s">
        <v>1573</v>
      </c>
      <c r="G546" s="1"/>
      <c r="H546" s="1"/>
      <c r="I546" s="18">
        <v>41946.627997685187</v>
      </c>
      <c r="J546" s="1" t="s">
        <v>408</v>
      </c>
      <c r="K546" s="1" t="s">
        <v>18</v>
      </c>
      <c r="L546" s="1" t="s">
        <v>19</v>
      </c>
      <c r="Q546" s="21"/>
    </row>
    <row r="547" spans="1:18" x14ac:dyDescent="0.15">
      <c r="A547" s="1">
        <v>429276</v>
      </c>
      <c r="B547" s="1">
        <v>0</v>
      </c>
      <c r="C547" s="1" t="s">
        <v>137</v>
      </c>
      <c r="D547" s="1" t="s">
        <v>27</v>
      </c>
      <c r="E547" s="1" t="s">
        <v>1915</v>
      </c>
      <c r="F547" s="1" t="s">
        <v>1916</v>
      </c>
      <c r="G547" s="1" t="s">
        <v>23</v>
      </c>
      <c r="I547" s="18">
        <v>41943.801840277774</v>
      </c>
      <c r="J547" s="1" t="s">
        <v>656</v>
      </c>
      <c r="K547" s="1" t="s">
        <v>18</v>
      </c>
      <c r="L547" s="1" t="s">
        <v>19</v>
      </c>
      <c r="Q547" s="21"/>
    </row>
    <row r="548" spans="1:18" x14ac:dyDescent="0.15">
      <c r="A548" s="1">
        <v>429166</v>
      </c>
      <c r="B548" s="1">
        <v>0</v>
      </c>
      <c r="D548" s="1" t="s">
        <v>27</v>
      </c>
      <c r="E548" s="1" t="s">
        <v>2368</v>
      </c>
      <c r="F548" s="1" t="s">
        <v>2369</v>
      </c>
      <c r="G548" s="1" t="s">
        <v>23</v>
      </c>
      <c r="I548" s="18">
        <v>41943.578136574077</v>
      </c>
      <c r="J548" s="1" t="s">
        <v>1151</v>
      </c>
      <c r="K548" s="1" t="s">
        <v>18</v>
      </c>
      <c r="L548" s="1" t="s">
        <v>19</v>
      </c>
      <c r="Q548" s="21"/>
    </row>
    <row r="549" spans="1:18" x14ac:dyDescent="0.15">
      <c r="A549" s="1">
        <v>429139</v>
      </c>
      <c r="B549" s="1">
        <v>0</v>
      </c>
      <c r="C549" s="1" t="s">
        <v>12</v>
      </c>
      <c r="D549" s="1" t="s">
        <v>27</v>
      </c>
      <c r="E549" s="1" t="s">
        <v>791</v>
      </c>
      <c r="F549" s="1" t="s">
        <v>792</v>
      </c>
      <c r="G549" s="1" t="s">
        <v>23</v>
      </c>
      <c r="I549" s="18">
        <v>41943.451643518521</v>
      </c>
      <c r="J549" s="1" t="s">
        <v>17</v>
      </c>
      <c r="K549" s="1" t="s">
        <v>18</v>
      </c>
      <c r="L549" s="1" t="s">
        <v>19</v>
      </c>
      <c r="Q549" s="21"/>
    </row>
    <row r="550" spans="1:18" x14ac:dyDescent="0.15">
      <c r="A550" s="1">
        <v>429134</v>
      </c>
      <c r="B550" s="1">
        <v>0</v>
      </c>
      <c r="C550" s="1" t="s">
        <v>12</v>
      </c>
      <c r="D550" s="1" t="s">
        <v>27</v>
      </c>
      <c r="E550" s="1" t="s">
        <v>790</v>
      </c>
      <c r="F550" s="1" t="s">
        <v>761</v>
      </c>
      <c r="G550" s="1" t="s">
        <v>23</v>
      </c>
      <c r="I550" s="18">
        <v>41943.439606481479</v>
      </c>
      <c r="J550" s="1" t="s">
        <v>17</v>
      </c>
      <c r="K550" s="1" t="s">
        <v>18</v>
      </c>
      <c r="L550" s="1" t="s">
        <v>19</v>
      </c>
      <c r="Q550" s="21"/>
    </row>
    <row r="551" spans="1:18" x14ac:dyDescent="0.15">
      <c r="A551" s="1">
        <v>428828</v>
      </c>
      <c r="B551" s="1">
        <v>0</v>
      </c>
      <c r="C551" s="1" t="s">
        <v>689</v>
      </c>
      <c r="D551" s="1" t="s">
        <v>27</v>
      </c>
      <c r="E551" s="1" t="s">
        <v>1306</v>
      </c>
      <c r="F551" s="1" t="s">
        <v>792</v>
      </c>
      <c r="G551" s="1" t="s">
        <v>23</v>
      </c>
      <c r="I551" s="18">
        <v>41942.710636574076</v>
      </c>
      <c r="J551" s="1" t="s">
        <v>17</v>
      </c>
      <c r="K551" s="1" t="s">
        <v>18</v>
      </c>
      <c r="L551" s="1" t="s">
        <v>19</v>
      </c>
      <c r="Q551" s="21"/>
    </row>
    <row r="552" spans="1:18" x14ac:dyDescent="0.15">
      <c r="A552" s="1">
        <v>428578</v>
      </c>
      <c r="B552" s="1">
        <v>0</v>
      </c>
      <c r="C552" s="1" t="s">
        <v>170</v>
      </c>
      <c r="D552" s="1" t="s">
        <v>27</v>
      </c>
      <c r="E552" s="1" t="s">
        <v>807</v>
      </c>
      <c r="F552" s="1" t="s">
        <v>808</v>
      </c>
      <c r="G552" s="1" t="s">
        <v>159</v>
      </c>
      <c r="I552" s="18">
        <v>41942.098692129628</v>
      </c>
      <c r="J552" s="1" t="s">
        <v>809</v>
      </c>
      <c r="K552" s="1" t="s">
        <v>18</v>
      </c>
      <c r="L552" s="1" t="s">
        <v>19</v>
      </c>
      <c r="Q552" s="21"/>
    </row>
    <row r="553" spans="1:18" x14ac:dyDescent="0.15">
      <c r="A553" s="1">
        <v>427511</v>
      </c>
      <c r="B553" s="1">
        <v>0</v>
      </c>
      <c r="D553" s="1" t="s">
        <v>3911</v>
      </c>
      <c r="E553" s="1" t="s">
        <v>3938</v>
      </c>
      <c r="F553" s="1" t="s">
        <v>3939</v>
      </c>
      <c r="G553" s="1" t="s">
        <v>23</v>
      </c>
      <c r="I553" s="18">
        <v>41939.655509259261</v>
      </c>
      <c r="J553" s="1" t="s">
        <v>17</v>
      </c>
      <c r="K553" s="1" t="s">
        <v>18</v>
      </c>
      <c r="L553" s="1" t="s">
        <v>19</v>
      </c>
      <c r="Q553" s="21"/>
    </row>
    <row r="554" spans="1:18" x14ac:dyDescent="0.15">
      <c r="A554" s="1">
        <v>427303</v>
      </c>
      <c r="B554" s="1">
        <v>0</v>
      </c>
      <c r="D554" s="1" t="s">
        <v>27</v>
      </c>
      <c r="E554" s="1" t="s">
        <v>1047</v>
      </c>
      <c r="F554" s="1" t="s">
        <v>2533</v>
      </c>
      <c r="G554" s="1" t="s">
        <v>23</v>
      </c>
      <c r="I554" s="18">
        <v>41938.846168981479</v>
      </c>
      <c r="J554" s="1" t="s">
        <v>17</v>
      </c>
      <c r="K554" s="1" t="s">
        <v>18</v>
      </c>
      <c r="L554" s="1" t="s">
        <v>19</v>
      </c>
      <c r="Q554" s="21"/>
    </row>
    <row r="555" spans="1:18" x14ac:dyDescent="0.15">
      <c r="A555" s="1">
        <v>427266</v>
      </c>
      <c r="B555" s="1">
        <v>0</v>
      </c>
      <c r="C555" s="1" t="s">
        <v>2969</v>
      </c>
      <c r="D555" s="1" t="s">
        <v>27</v>
      </c>
      <c r="E555" s="1" t="s">
        <v>3453</v>
      </c>
      <c r="F555" s="1" t="s">
        <v>3454</v>
      </c>
      <c r="G555" s="1" t="s">
        <v>16</v>
      </c>
      <c r="I555" s="18">
        <v>41938.630798611113</v>
      </c>
      <c r="J555" s="1" t="s">
        <v>190</v>
      </c>
      <c r="K555" s="1" t="s">
        <v>18</v>
      </c>
      <c r="L555" s="1" t="s">
        <v>19</v>
      </c>
      <c r="Q555" s="21"/>
    </row>
    <row r="556" spans="1:18" x14ac:dyDescent="0.15">
      <c r="A556" s="1">
        <v>427249</v>
      </c>
      <c r="B556" s="1">
        <v>0</v>
      </c>
      <c r="D556" s="1" t="s">
        <v>27</v>
      </c>
      <c r="E556" s="1" t="s">
        <v>2162</v>
      </c>
      <c r="F556" s="1" t="s">
        <v>2163</v>
      </c>
      <c r="G556" s="1"/>
      <c r="H556" s="1"/>
      <c r="I556" s="18">
        <v>41938.510914351849</v>
      </c>
      <c r="J556" s="1" t="s">
        <v>68</v>
      </c>
      <c r="K556" s="1" t="s">
        <v>18</v>
      </c>
      <c r="L556" s="1" t="s">
        <v>19</v>
      </c>
      <c r="Q556" s="21"/>
    </row>
    <row r="557" spans="1:18" x14ac:dyDescent="0.15">
      <c r="A557" s="1">
        <v>425980</v>
      </c>
      <c r="B557" s="1">
        <v>0</v>
      </c>
      <c r="D557" s="1" t="s">
        <v>27</v>
      </c>
      <c r="E557" s="1" t="s">
        <v>182</v>
      </c>
      <c r="F557" s="1" t="s">
        <v>183</v>
      </c>
      <c r="G557" s="1" t="s">
        <v>23</v>
      </c>
      <c r="I557" s="18">
        <v>41934.546400462961</v>
      </c>
      <c r="J557" s="1" t="s">
        <v>17</v>
      </c>
      <c r="K557" s="1" t="s">
        <v>18</v>
      </c>
      <c r="L557" s="1" t="s">
        <v>19</v>
      </c>
      <c r="Q557" s="21"/>
    </row>
    <row r="558" spans="1:18" x14ac:dyDescent="0.15">
      <c r="A558" s="1">
        <v>425152</v>
      </c>
      <c r="B558" s="1">
        <v>0</v>
      </c>
      <c r="C558" s="1" t="s">
        <v>12</v>
      </c>
      <c r="D558" s="1" t="s">
        <v>27</v>
      </c>
      <c r="E558" s="1" t="s">
        <v>749</v>
      </c>
      <c r="F558" s="1" t="s">
        <v>750</v>
      </c>
      <c r="G558" s="1" t="s">
        <v>23</v>
      </c>
      <c r="I558" s="18">
        <v>41932.692835648151</v>
      </c>
      <c r="J558" s="1" t="s">
        <v>17</v>
      </c>
      <c r="K558" s="1" t="s">
        <v>18</v>
      </c>
      <c r="L558" s="1" t="s">
        <v>19</v>
      </c>
      <c r="Q558" s="21"/>
    </row>
    <row r="559" spans="1:18" x14ac:dyDescent="0.15">
      <c r="A559" s="1">
        <v>425151</v>
      </c>
      <c r="B559" s="1">
        <v>0</v>
      </c>
      <c r="C559" s="1" t="s">
        <v>12</v>
      </c>
      <c r="D559" s="1" t="s">
        <v>27</v>
      </c>
      <c r="E559" s="1" t="s">
        <v>747</v>
      </c>
      <c r="F559" s="1" t="s">
        <v>748</v>
      </c>
      <c r="G559" s="1" t="s">
        <v>23</v>
      </c>
      <c r="I559" s="18">
        <v>41932.692800925928</v>
      </c>
      <c r="J559" s="1" t="s">
        <v>17</v>
      </c>
      <c r="K559" s="1" t="s">
        <v>18</v>
      </c>
      <c r="L559" s="1" t="s">
        <v>19</v>
      </c>
      <c r="Q559" s="21"/>
    </row>
    <row r="560" spans="1:18" x14ac:dyDescent="0.15">
      <c r="A560" s="1">
        <v>425040</v>
      </c>
      <c r="B560" s="1">
        <v>1</v>
      </c>
      <c r="C560" s="1" t="s">
        <v>12</v>
      </c>
      <c r="D560" s="1" t="s">
        <v>27</v>
      </c>
      <c r="E560" s="1" t="s">
        <v>2012</v>
      </c>
      <c r="F560" s="1" t="s">
        <v>2013</v>
      </c>
      <c r="G560" s="1" t="s">
        <v>23</v>
      </c>
      <c r="I560" s="18">
        <v>41932.372002314813</v>
      </c>
      <c r="J560" s="1" t="s">
        <v>17</v>
      </c>
      <c r="K560" s="1" t="s">
        <v>18</v>
      </c>
      <c r="L560" s="1" t="s">
        <v>19</v>
      </c>
      <c r="M560" s="1">
        <v>439776</v>
      </c>
      <c r="N560" s="1" t="s">
        <v>2014</v>
      </c>
      <c r="O560" s="18">
        <v>41980.362013888887</v>
      </c>
      <c r="P560" s="1" t="s">
        <v>408</v>
      </c>
      <c r="Q560" s="21">
        <f t="shared" si="8"/>
        <v>47.990011574074742</v>
      </c>
      <c r="R560" s="1"/>
    </row>
    <row r="561" spans="1:17" x14ac:dyDescent="0.15">
      <c r="A561" s="1">
        <v>424999</v>
      </c>
      <c r="B561" s="1">
        <v>0</v>
      </c>
      <c r="D561" s="1" t="s">
        <v>27</v>
      </c>
      <c r="E561" s="1" t="s">
        <v>574</v>
      </c>
      <c r="F561" s="1" t="s">
        <v>575</v>
      </c>
      <c r="G561" s="1" t="s">
        <v>23</v>
      </c>
      <c r="I561" s="18">
        <v>41932.168773148151</v>
      </c>
      <c r="J561" s="1" t="s">
        <v>17</v>
      </c>
      <c r="K561" s="1" t="s">
        <v>18</v>
      </c>
      <c r="L561" s="1" t="s">
        <v>19</v>
      </c>
      <c r="Q561" s="21"/>
    </row>
    <row r="562" spans="1:17" x14ac:dyDescent="0.15">
      <c r="A562" s="1">
        <v>424981</v>
      </c>
      <c r="B562" s="1">
        <v>0</v>
      </c>
      <c r="C562" s="1" t="s">
        <v>137</v>
      </c>
      <c r="D562" s="1" t="s">
        <v>27</v>
      </c>
      <c r="E562" s="1" t="s">
        <v>3416</v>
      </c>
      <c r="F562" s="1" t="s">
        <v>3417</v>
      </c>
      <c r="G562" s="1"/>
      <c r="H562" s="1"/>
      <c r="I562" s="18">
        <v>41932.072615740741</v>
      </c>
      <c r="J562" s="1" t="s">
        <v>3418</v>
      </c>
      <c r="K562" s="1" t="s">
        <v>18</v>
      </c>
      <c r="L562" s="1" t="s">
        <v>19</v>
      </c>
      <c r="Q562" s="21"/>
    </row>
    <row r="563" spans="1:17" x14ac:dyDescent="0.15">
      <c r="A563" s="13">
        <v>424458</v>
      </c>
      <c r="B563" s="13">
        <v>0</v>
      </c>
      <c r="C563" s="12"/>
      <c r="D563" s="13" t="s">
        <v>4082</v>
      </c>
      <c r="E563" s="13" t="s">
        <v>4086</v>
      </c>
      <c r="F563" s="13" t="s">
        <v>4087</v>
      </c>
      <c r="G563" s="13" t="s">
        <v>23</v>
      </c>
      <c r="H563" s="13">
        <v>423030</v>
      </c>
      <c r="I563" s="23">
        <v>41929.173819444448</v>
      </c>
      <c r="J563" s="13" t="s">
        <v>132</v>
      </c>
      <c r="K563" s="13" t="s">
        <v>18</v>
      </c>
      <c r="L563" s="13" t="s">
        <v>19</v>
      </c>
      <c r="M563" s="13" t="s">
        <v>4085</v>
      </c>
      <c r="Q563" s="21"/>
    </row>
    <row r="564" spans="1:17" x14ac:dyDescent="0.15">
      <c r="A564" s="1">
        <v>423891</v>
      </c>
      <c r="B564" s="1">
        <v>0</v>
      </c>
      <c r="D564" s="1" t="s">
        <v>27</v>
      </c>
      <c r="E564" s="1" t="s">
        <v>2724</v>
      </c>
      <c r="F564" s="1" t="s">
        <v>2725</v>
      </c>
      <c r="G564" s="1" t="s">
        <v>23</v>
      </c>
      <c r="I564" s="18">
        <v>41927.873680555553</v>
      </c>
      <c r="J564" s="1" t="s">
        <v>17</v>
      </c>
      <c r="K564" s="1" t="s">
        <v>18</v>
      </c>
      <c r="L564" s="1" t="s">
        <v>19</v>
      </c>
      <c r="Q564" s="21"/>
    </row>
    <row r="565" spans="1:17" x14ac:dyDescent="0.15">
      <c r="A565" s="1">
        <v>423703</v>
      </c>
      <c r="B565" s="1">
        <v>0</v>
      </c>
      <c r="C565" s="1" t="s">
        <v>137</v>
      </c>
      <c r="D565" s="1" t="s">
        <v>27</v>
      </c>
      <c r="E565" s="1" t="s">
        <v>2484</v>
      </c>
      <c r="F565" s="1" t="s">
        <v>2485</v>
      </c>
      <c r="G565" s="1"/>
      <c r="H565" s="1"/>
      <c r="I565" s="18">
        <v>41927.443726851852</v>
      </c>
      <c r="J565" s="1" t="s">
        <v>656</v>
      </c>
      <c r="K565" s="1" t="s">
        <v>18</v>
      </c>
      <c r="L565" s="1" t="s">
        <v>19</v>
      </c>
      <c r="Q565" s="21"/>
    </row>
    <row r="566" spans="1:17" x14ac:dyDescent="0.15">
      <c r="A566" s="1">
        <v>422824</v>
      </c>
      <c r="B566" s="1">
        <v>0</v>
      </c>
      <c r="D566" s="1" t="s">
        <v>27</v>
      </c>
      <c r="E566" s="1" t="s">
        <v>1024</v>
      </c>
      <c r="F566" s="1" t="s">
        <v>1261</v>
      </c>
      <c r="G566" s="1" t="s">
        <v>23</v>
      </c>
      <c r="I566" s="18">
        <v>41925.196423611109</v>
      </c>
      <c r="J566" s="1" t="s">
        <v>836</v>
      </c>
      <c r="K566" s="1" t="s">
        <v>18</v>
      </c>
      <c r="L566" s="1" t="s">
        <v>19</v>
      </c>
      <c r="Q566" s="21"/>
    </row>
    <row r="567" spans="1:17" x14ac:dyDescent="0.15">
      <c r="A567" s="1">
        <v>422765</v>
      </c>
      <c r="B567" s="1">
        <v>0</v>
      </c>
      <c r="D567" s="1" t="s">
        <v>27</v>
      </c>
      <c r="E567" s="1" t="s">
        <v>1946</v>
      </c>
      <c r="F567" s="1" t="s">
        <v>1947</v>
      </c>
      <c r="G567" s="1" t="s">
        <v>23</v>
      </c>
      <c r="I567" s="18">
        <v>41924.627083333333</v>
      </c>
      <c r="J567" s="1" t="s">
        <v>17</v>
      </c>
      <c r="K567" s="1" t="s">
        <v>18</v>
      </c>
      <c r="L567" s="1" t="s">
        <v>19</v>
      </c>
      <c r="Q567" s="21"/>
    </row>
    <row r="568" spans="1:17" x14ac:dyDescent="0.15">
      <c r="A568" s="1">
        <v>422374</v>
      </c>
      <c r="B568" s="1">
        <v>0</v>
      </c>
      <c r="C568" s="1" t="s">
        <v>2213</v>
      </c>
      <c r="D568" s="1" t="s">
        <v>27</v>
      </c>
      <c r="E568" s="1" t="s">
        <v>2214</v>
      </c>
      <c r="F568" s="1" t="s">
        <v>2215</v>
      </c>
      <c r="G568" s="1"/>
      <c r="H568" s="1"/>
      <c r="I568" s="18">
        <v>41922.709560185183</v>
      </c>
      <c r="J568" s="1" t="s">
        <v>2216</v>
      </c>
      <c r="K568" s="1" t="s">
        <v>18</v>
      </c>
      <c r="L568" s="1" t="s">
        <v>19</v>
      </c>
      <c r="Q568" s="21"/>
    </row>
    <row r="569" spans="1:17" x14ac:dyDescent="0.15">
      <c r="A569" s="1">
        <v>421817</v>
      </c>
      <c r="B569" s="1">
        <v>0</v>
      </c>
      <c r="C569" s="1" t="s">
        <v>2647</v>
      </c>
      <c r="D569" s="1" t="s">
        <v>27</v>
      </c>
      <c r="E569" s="1" t="s">
        <v>2648</v>
      </c>
      <c r="F569" s="1" t="s">
        <v>2649</v>
      </c>
      <c r="G569" s="1" t="s">
        <v>353</v>
      </c>
      <c r="I569" s="18">
        <v>41921.458599537036</v>
      </c>
      <c r="J569" s="1" t="s">
        <v>1928</v>
      </c>
      <c r="K569" s="1" t="s">
        <v>18</v>
      </c>
      <c r="L569" s="1" t="s">
        <v>19</v>
      </c>
      <c r="Q569" s="21"/>
    </row>
    <row r="570" spans="1:17" x14ac:dyDescent="0.15">
      <c r="A570" s="1">
        <v>421720</v>
      </c>
      <c r="B570" s="1">
        <v>0</v>
      </c>
      <c r="C570" s="1" t="s">
        <v>268</v>
      </c>
      <c r="D570" s="1" t="s">
        <v>27</v>
      </c>
      <c r="E570" s="1" t="s">
        <v>1675</v>
      </c>
      <c r="F570" s="1" t="s">
        <v>1676</v>
      </c>
      <c r="G570" s="1" t="s">
        <v>23</v>
      </c>
      <c r="I570" s="18">
        <v>41921.107638888891</v>
      </c>
      <c r="J570" s="1" t="s">
        <v>1677</v>
      </c>
      <c r="K570" s="1" t="s">
        <v>18</v>
      </c>
      <c r="L570" s="1" t="s">
        <v>19</v>
      </c>
      <c r="Q570" s="21"/>
    </row>
    <row r="571" spans="1:17" x14ac:dyDescent="0.15">
      <c r="A571" s="1">
        <v>421504</v>
      </c>
      <c r="B571" s="1">
        <v>0</v>
      </c>
      <c r="C571" s="1" t="s">
        <v>2089</v>
      </c>
      <c r="D571" s="1" t="s">
        <v>27</v>
      </c>
      <c r="E571" s="1" t="s">
        <v>3037</v>
      </c>
      <c r="F571" s="1" t="s">
        <v>3038</v>
      </c>
      <c r="G571" s="1" t="s">
        <v>23</v>
      </c>
      <c r="I571" s="18">
        <v>41920.693530092591</v>
      </c>
      <c r="J571" s="1" t="s">
        <v>17</v>
      </c>
      <c r="K571" s="1" t="s">
        <v>18</v>
      </c>
      <c r="L571" s="1" t="s">
        <v>19</v>
      </c>
      <c r="Q571" s="21"/>
    </row>
    <row r="572" spans="1:17" x14ac:dyDescent="0.15">
      <c r="A572" s="1">
        <v>421332</v>
      </c>
      <c r="B572" s="1">
        <v>0</v>
      </c>
      <c r="C572" s="1" t="s">
        <v>2621</v>
      </c>
      <c r="D572" s="1" t="s">
        <v>27</v>
      </c>
      <c r="E572" s="1" t="s">
        <v>2622</v>
      </c>
      <c r="F572" s="1" t="s">
        <v>2623</v>
      </c>
      <c r="G572" s="1" t="s">
        <v>2624</v>
      </c>
      <c r="H572" s="1"/>
      <c r="I572" s="18">
        <v>41920.287418981483</v>
      </c>
      <c r="J572" s="1" t="s">
        <v>2625</v>
      </c>
      <c r="K572" s="1" t="s">
        <v>18</v>
      </c>
      <c r="L572" s="1" t="s">
        <v>19</v>
      </c>
      <c r="Q572" s="21"/>
    </row>
    <row r="573" spans="1:17" x14ac:dyDescent="0.15">
      <c r="A573" s="1">
        <v>421321</v>
      </c>
      <c r="B573" s="1">
        <v>0</v>
      </c>
      <c r="C573" s="1" t="s">
        <v>409</v>
      </c>
      <c r="D573" s="1" t="s">
        <v>27</v>
      </c>
      <c r="E573" s="1" t="s">
        <v>3242</v>
      </c>
      <c r="F573" s="1" t="s">
        <v>3243</v>
      </c>
      <c r="G573" s="1" t="s">
        <v>23</v>
      </c>
      <c r="I573" s="18">
        <v>41920.250162037039</v>
      </c>
      <c r="J573" s="1" t="s">
        <v>718</v>
      </c>
      <c r="K573" s="1" t="s">
        <v>18</v>
      </c>
      <c r="L573" s="1" t="s">
        <v>19</v>
      </c>
      <c r="Q573" s="21"/>
    </row>
    <row r="574" spans="1:17" x14ac:dyDescent="0.15">
      <c r="A574" s="1">
        <v>421090</v>
      </c>
      <c r="B574" s="1">
        <v>0</v>
      </c>
      <c r="C574" s="1" t="s">
        <v>156</v>
      </c>
      <c r="D574" s="1" t="s">
        <v>27</v>
      </c>
      <c r="E574" s="1" t="s">
        <v>383</v>
      </c>
      <c r="F574" s="1" t="s">
        <v>384</v>
      </c>
      <c r="G574" s="1" t="s">
        <v>23</v>
      </c>
      <c r="I574" s="18">
        <v>41919.64947916667</v>
      </c>
      <c r="J574" s="1" t="s">
        <v>160</v>
      </c>
      <c r="K574" s="1" t="s">
        <v>18</v>
      </c>
      <c r="L574" s="1" t="s">
        <v>19</v>
      </c>
      <c r="Q574" s="21"/>
    </row>
    <row r="575" spans="1:17" x14ac:dyDescent="0.15">
      <c r="A575" s="1">
        <v>418161</v>
      </c>
      <c r="B575" s="1">
        <v>0</v>
      </c>
      <c r="C575" s="1" t="s">
        <v>65</v>
      </c>
      <c r="D575" s="1" t="s">
        <v>27</v>
      </c>
      <c r="E575" s="1" t="s">
        <v>3024</v>
      </c>
      <c r="F575" s="1" t="s">
        <v>3025</v>
      </c>
      <c r="G575" s="1" t="s">
        <v>16</v>
      </c>
      <c r="I575" s="18">
        <v>41908.743831018517</v>
      </c>
      <c r="J575" s="1" t="s">
        <v>408</v>
      </c>
      <c r="K575" s="1" t="s">
        <v>18</v>
      </c>
      <c r="L575" s="1" t="s">
        <v>19</v>
      </c>
      <c r="Q575" s="21"/>
    </row>
    <row r="576" spans="1:17" x14ac:dyDescent="0.15">
      <c r="A576" s="1">
        <v>417731</v>
      </c>
      <c r="B576" s="1">
        <v>0</v>
      </c>
      <c r="C576" s="1" t="s">
        <v>1846</v>
      </c>
      <c r="D576" s="1" t="s">
        <v>27</v>
      </c>
      <c r="E576" s="1" t="s">
        <v>1847</v>
      </c>
      <c r="F576" s="1" t="s">
        <v>1848</v>
      </c>
      <c r="G576" s="1" t="s">
        <v>23</v>
      </c>
      <c r="I576" s="18">
        <v>41907.635833333334</v>
      </c>
      <c r="J576" s="1" t="s">
        <v>17</v>
      </c>
      <c r="K576" s="1" t="s">
        <v>18</v>
      </c>
      <c r="L576" s="1" t="s">
        <v>19</v>
      </c>
      <c r="Q576" s="21"/>
    </row>
    <row r="577" spans="1:17" x14ac:dyDescent="0.15">
      <c r="A577" s="1">
        <v>416528</v>
      </c>
      <c r="B577" s="1">
        <v>0</v>
      </c>
      <c r="C577" s="1" t="s">
        <v>2903</v>
      </c>
      <c r="D577" s="1" t="s">
        <v>27</v>
      </c>
      <c r="E577" s="1" t="s">
        <v>2904</v>
      </c>
      <c r="F577" s="1" t="s">
        <v>2905</v>
      </c>
      <c r="G577" s="1" t="s">
        <v>23</v>
      </c>
      <c r="I577" s="18">
        <v>41904.733946759261</v>
      </c>
      <c r="J577" s="1" t="s">
        <v>2902</v>
      </c>
      <c r="K577" s="1" t="s">
        <v>18</v>
      </c>
      <c r="L577" s="1" t="s">
        <v>19</v>
      </c>
      <c r="Q577" s="21"/>
    </row>
    <row r="578" spans="1:17" x14ac:dyDescent="0.15">
      <c r="A578" s="1">
        <v>416526</v>
      </c>
      <c r="B578" s="1">
        <v>0</v>
      </c>
      <c r="C578" s="1" t="s">
        <v>101</v>
      </c>
      <c r="D578" s="1" t="s">
        <v>27</v>
      </c>
      <c r="E578" s="1" t="s">
        <v>2900</v>
      </c>
      <c r="F578" s="1" t="s">
        <v>2901</v>
      </c>
      <c r="G578" s="1" t="s">
        <v>23</v>
      </c>
      <c r="I578" s="18">
        <v>41904.726574074077</v>
      </c>
      <c r="J578" s="1" t="s">
        <v>2902</v>
      </c>
      <c r="K578" s="1" t="s">
        <v>18</v>
      </c>
      <c r="L578" s="1" t="s">
        <v>19</v>
      </c>
      <c r="Q578" s="21"/>
    </row>
    <row r="579" spans="1:17" x14ac:dyDescent="0.15">
      <c r="A579" s="1">
        <v>416323</v>
      </c>
      <c r="B579" s="1">
        <v>0</v>
      </c>
      <c r="D579" s="1" t="s">
        <v>27</v>
      </c>
      <c r="E579" s="1" t="s">
        <v>803</v>
      </c>
      <c r="F579" s="1" t="s">
        <v>804</v>
      </c>
      <c r="G579" s="1" t="s">
        <v>23</v>
      </c>
      <c r="I579" s="18">
        <v>41904.204513888886</v>
      </c>
      <c r="J579" s="1" t="s">
        <v>17</v>
      </c>
      <c r="K579" s="1" t="s">
        <v>18</v>
      </c>
      <c r="L579" s="1" t="s">
        <v>19</v>
      </c>
      <c r="Q579" s="21"/>
    </row>
    <row r="580" spans="1:17" x14ac:dyDescent="0.15">
      <c r="A580" s="1">
        <v>415407</v>
      </c>
      <c r="B580" s="1">
        <v>0</v>
      </c>
      <c r="C580" s="1" t="s">
        <v>268</v>
      </c>
      <c r="D580" s="1" t="s">
        <v>27</v>
      </c>
      <c r="E580" s="1" t="s">
        <v>3213</v>
      </c>
      <c r="F580" s="1" t="s">
        <v>3214</v>
      </c>
      <c r="G580" s="1" t="s">
        <v>23</v>
      </c>
      <c r="I580" s="18">
        <v>41900.042222222219</v>
      </c>
      <c r="J580" s="1" t="s">
        <v>17</v>
      </c>
      <c r="K580" s="1" t="s">
        <v>18</v>
      </c>
      <c r="L580" s="1" t="s">
        <v>19</v>
      </c>
      <c r="Q580" s="21"/>
    </row>
    <row r="581" spans="1:17" x14ac:dyDescent="0.15">
      <c r="A581" s="1">
        <v>415305</v>
      </c>
      <c r="B581" s="1">
        <v>0</v>
      </c>
      <c r="D581" s="1" t="s">
        <v>27</v>
      </c>
      <c r="E581" s="1" t="s">
        <v>1047</v>
      </c>
      <c r="F581" s="1" t="s">
        <v>1048</v>
      </c>
      <c r="G581" s="1" t="s">
        <v>23</v>
      </c>
      <c r="I581" s="18">
        <v>41899.880810185183</v>
      </c>
      <c r="J581" s="1" t="s">
        <v>17</v>
      </c>
      <c r="K581" s="1" t="s">
        <v>18</v>
      </c>
      <c r="L581" s="1" t="s">
        <v>19</v>
      </c>
      <c r="Q581" s="21"/>
    </row>
    <row r="582" spans="1:17" x14ac:dyDescent="0.15">
      <c r="A582" s="1">
        <v>414525</v>
      </c>
      <c r="B582" s="1">
        <v>0</v>
      </c>
      <c r="C582" s="1" t="s">
        <v>12</v>
      </c>
      <c r="D582" s="1" t="s">
        <v>27</v>
      </c>
      <c r="E582" s="1" t="s">
        <v>264</v>
      </c>
      <c r="F582" s="1" t="s">
        <v>265</v>
      </c>
      <c r="G582" s="1"/>
      <c r="H582" s="1"/>
      <c r="I582" s="18">
        <v>41898.002314814818</v>
      </c>
      <c r="J582" s="1" t="s">
        <v>68</v>
      </c>
      <c r="K582" s="1" t="s">
        <v>18</v>
      </c>
      <c r="L582" s="1" t="s">
        <v>19</v>
      </c>
      <c r="Q582" s="21"/>
    </row>
    <row r="583" spans="1:17" x14ac:dyDescent="0.15">
      <c r="A583" s="1">
        <v>414504</v>
      </c>
      <c r="B583" s="1">
        <v>0</v>
      </c>
      <c r="C583" s="1" t="s">
        <v>12</v>
      </c>
      <c r="D583" s="1" t="s">
        <v>27</v>
      </c>
      <c r="E583" s="1" t="s">
        <v>1566</v>
      </c>
      <c r="F583" s="1" t="s">
        <v>1567</v>
      </c>
      <c r="G583" s="1"/>
      <c r="H583" s="1"/>
      <c r="I583" s="18">
        <v>41897.95511574074</v>
      </c>
      <c r="J583" s="1" t="s">
        <v>68</v>
      </c>
      <c r="K583" s="1" t="s">
        <v>18</v>
      </c>
      <c r="L583" s="1" t="s">
        <v>19</v>
      </c>
      <c r="Q583" s="21"/>
    </row>
    <row r="584" spans="1:17" x14ac:dyDescent="0.15">
      <c r="A584" s="1">
        <v>414124</v>
      </c>
      <c r="B584" s="1">
        <v>0</v>
      </c>
      <c r="C584" s="1" t="s">
        <v>1545</v>
      </c>
      <c r="D584" s="1" t="s">
        <v>27</v>
      </c>
      <c r="E584" s="1" t="s">
        <v>3678</v>
      </c>
      <c r="F584" s="1" t="s">
        <v>3679</v>
      </c>
      <c r="G584" s="1"/>
      <c r="H584" s="1"/>
      <c r="I584" s="18">
        <v>41896.934108796297</v>
      </c>
      <c r="J584" s="1" t="s">
        <v>3680</v>
      </c>
      <c r="K584" s="1" t="s">
        <v>3586</v>
      </c>
      <c r="L584" s="1" t="s">
        <v>19</v>
      </c>
      <c r="Q584" s="21"/>
    </row>
    <row r="585" spans="1:17" x14ac:dyDescent="0.15">
      <c r="A585" s="1">
        <v>414100</v>
      </c>
      <c r="B585" s="1">
        <v>0</v>
      </c>
      <c r="D585" s="1" t="s">
        <v>27</v>
      </c>
      <c r="E585" s="1" t="s">
        <v>2171</v>
      </c>
      <c r="F585" s="1" t="s">
        <v>2172</v>
      </c>
      <c r="G585" s="1" t="s">
        <v>23</v>
      </c>
      <c r="I585" s="18">
        <v>41896.652453703704</v>
      </c>
      <c r="J585" s="1" t="s">
        <v>17</v>
      </c>
      <c r="K585" s="1" t="s">
        <v>18</v>
      </c>
      <c r="L585" s="1" t="s">
        <v>19</v>
      </c>
      <c r="Q585" s="21"/>
    </row>
    <row r="586" spans="1:17" x14ac:dyDescent="0.15">
      <c r="A586" s="1">
        <v>413744</v>
      </c>
      <c r="B586" s="1">
        <v>0</v>
      </c>
      <c r="D586" s="1" t="s">
        <v>27</v>
      </c>
      <c r="E586" s="1" t="s">
        <v>1680</v>
      </c>
      <c r="F586" s="1" t="s">
        <v>1681</v>
      </c>
      <c r="G586" s="1" t="s">
        <v>23</v>
      </c>
      <c r="I586" s="18">
        <v>41894.694224537037</v>
      </c>
      <c r="J586" s="1" t="s">
        <v>17</v>
      </c>
      <c r="K586" s="1" t="s">
        <v>18</v>
      </c>
      <c r="L586" s="1" t="s">
        <v>19</v>
      </c>
      <c r="Q586" s="21"/>
    </row>
    <row r="587" spans="1:17" x14ac:dyDescent="0.15">
      <c r="A587" s="1">
        <v>413743</v>
      </c>
      <c r="B587" s="1">
        <v>0</v>
      </c>
      <c r="D587" s="1" t="s">
        <v>27</v>
      </c>
      <c r="E587" s="1" t="s">
        <v>1678</v>
      </c>
      <c r="F587" s="1" t="s">
        <v>1679</v>
      </c>
      <c r="G587" s="1" t="s">
        <v>23</v>
      </c>
      <c r="I587" s="18">
        <v>41894.693958333337</v>
      </c>
      <c r="J587" s="1" t="s">
        <v>17</v>
      </c>
      <c r="K587" s="1" t="s">
        <v>18</v>
      </c>
      <c r="L587" s="1" t="s">
        <v>19</v>
      </c>
      <c r="Q587" s="21"/>
    </row>
    <row r="588" spans="1:17" x14ac:dyDescent="0.15">
      <c r="A588" s="1">
        <v>413530</v>
      </c>
      <c r="B588" s="1">
        <v>0</v>
      </c>
      <c r="D588" s="1" t="s">
        <v>27</v>
      </c>
      <c r="E588" s="1" t="s">
        <v>871</v>
      </c>
      <c r="F588" s="1" t="s">
        <v>872</v>
      </c>
      <c r="G588" s="1" t="s">
        <v>23</v>
      </c>
      <c r="I588" s="18">
        <v>41894.22347222222</v>
      </c>
      <c r="J588" s="1" t="s">
        <v>17</v>
      </c>
      <c r="K588" s="1" t="s">
        <v>18</v>
      </c>
      <c r="L588" s="1" t="s">
        <v>19</v>
      </c>
      <c r="Q588" s="21"/>
    </row>
    <row r="589" spans="1:17" x14ac:dyDescent="0.15">
      <c r="A589" s="1">
        <v>413447</v>
      </c>
      <c r="B589" s="1">
        <v>0</v>
      </c>
      <c r="C589" s="1" t="s">
        <v>12</v>
      </c>
      <c r="D589" s="1" t="s">
        <v>27</v>
      </c>
      <c r="E589" s="1" t="s">
        <v>2448</v>
      </c>
      <c r="F589" s="1" t="s">
        <v>2449</v>
      </c>
      <c r="G589" s="1"/>
      <c r="H589" s="1"/>
      <c r="I589" s="18">
        <v>41893.952175925922</v>
      </c>
      <c r="J589" s="1" t="s">
        <v>68</v>
      </c>
      <c r="K589" s="1" t="s">
        <v>18</v>
      </c>
      <c r="L589" s="1" t="s">
        <v>19</v>
      </c>
      <c r="Q589" s="21"/>
    </row>
    <row r="590" spans="1:17" x14ac:dyDescent="0.15">
      <c r="A590" s="1">
        <v>413375</v>
      </c>
      <c r="B590" s="1">
        <v>1</v>
      </c>
      <c r="C590" s="1" t="s">
        <v>12</v>
      </c>
      <c r="D590" s="1" t="s">
        <v>27</v>
      </c>
      <c r="E590" s="1" t="s">
        <v>1368</v>
      </c>
      <c r="F590" s="1" t="s">
        <v>1369</v>
      </c>
      <c r="G590" s="1"/>
      <c r="H590" s="1"/>
      <c r="I590" s="18">
        <v>41893.838263888887</v>
      </c>
      <c r="J590" s="1" t="s">
        <v>68</v>
      </c>
      <c r="K590" s="1" t="s">
        <v>18</v>
      </c>
      <c r="L590" s="1" t="s">
        <v>19</v>
      </c>
      <c r="M590" s="50">
        <v>407964</v>
      </c>
      <c r="O590" s="24">
        <v>41893</v>
      </c>
      <c r="Q590" s="21">
        <f t="shared" ref="Q590" si="9">ABS(O590-I590)</f>
        <v>0.83826388888701331</v>
      </c>
    </row>
    <row r="591" spans="1:17" x14ac:dyDescent="0.15">
      <c r="A591" s="1">
        <v>411736</v>
      </c>
      <c r="B591" s="1">
        <v>0</v>
      </c>
      <c r="D591" s="1" t="s">
        <v>3911</v>
      </c>
      <c r="E591" s="1" t="s">
        <v>3912</v>
      </c>
      <c r="F591" s="1" t="s">
        <v>3913</v>
      </c>
      <c r="G591" s="1" t="s">
        <v>23</v>
      </c>
      <c r="I591" s="18">
        <v>41889.969363425924</v>
      </c>
      <c r="J591" s="1" t="s">
        <v>17</v>
      </c>
      <c r="K591" s="1" t="s">
        <v>18</v>
      </c>
      <c r="L591" s="1" t="s">
        <v>19</v>
      </c>
      <c r="Q591" s="21"/>
    </row>
    <row r="592" spans="1:17" x14ac:dyDescent="0.15">
      <c r="A592" s="1">
        <v>411318</v>
      </c>
      <c r="B592" s="1">
        <v>0</v>
      </c>
      <c r="C592" s="1" t="s">
        <v>50</v>
      </c>
      <c r="D592" s="1" t="s">
        <v>27</v>
      </c>
      <c r="E592" s="1" t="s">
        <v>121</v>
      </c>
      <c r="F592" s="1" t="s">
        <v>122</v>
      </c>
      <c r="G592" s="1" t="s">
        <v>23</v>
      </c>
      <c r="I592" s="18">
        <v>41887.652511574073</v>
      </c>
      <c r="J592" s="1" t="s">
        <v>17</v>
      </c>
      <c r="K592" s="1" t="s">
        <v>18</v>
      </c>
      <c r="L592" s="1" t="s">
        <v>19</v>
      </c>
      <c r="Q592" s="21"/>
    </row>
    <row r="593" spans="1:17" x14ac:dyDescent="0.15">
      <c r="A593" s="1">
        <v>411210</v>
      </c>
      <c r="B593" s="1">
        <v>0</v>
      </c>
      <c r="C593" s="1" t="s">
        <v>101</v>
      </c>
      <c r="D593" s="1" t="s">
        <v>27</v>
      </c>
      <c r="E593" s="1" t="s">
        <v>1853</v>
      </c>
      <c r="F593" s="1" t="s">
        <v>1854</v>
      </c>
      <c r="G593" s="1" t="s">
        <v>23</v>
      </c>
      <c r="I593" s="18">
        <v>41887.386956018519</v>
      </c>
      <c r="J593" s="1" t="s">
        <v>17</v>
      </c>
      <c r="K593" s="1" t="s">
        <v>18</v>
      </c>
      <c r="L593" s="1" t="s">
        <v>19</v>
      </c>
      <c r="Q593" s="21"/>
    </row>
    <row r="594" spans="1:17" x14ac:dyDescent="0.15">
      <c r="A594" s="1">
        <v>410030</v>
      </c>
      <c r="B594" s="1">
        <v>0</v>
      </c>
      <c r="C594" s="1" t="s">
        <v>101</v>
      </c>
      <c r="D594" s="1" t="s">
        <v>27</v>
      </c>
      <c r="E594" s="1" t="s">
        <v>3336</v>
      </c>
      <c r="F594" s="1" t="s">
        <v>3337</v>
      </c>
      <c r="G594" s="1" t="s">
        <v>23</v>
      </c>
      <c r="I594" s="18">
        <v>41884.89570601852</v>
      </c>
      <c r="J594" s="1" t="s">
        <v>17</v>
      </c>
      <c r="K594" s="1" t="s">
        <v>18</v>
      </c>
      <c r="L594" s="1" t="s">
        <v>19</v>
      </c>
      <c r="Q594" s="21"/>
    </row>
    <row r="595" spans="1:17" x14ac:dyDescent="0.15">
      <c r="A595" s="1">
        <v>409508</v>
      </c>
      <c r="B595" s="1">
        <v>0</v>
      </c>
      <c r="C595" s="1" t="s">
        <v>268</v>
      </c>
      <c r="D595" s="1" t="s">
        <v>27</v>
      </c>
      <c r="E595" s="1" t="s">
        <v>269</v>
      </c>
      <c r="F595" s="1" t="s">
        <v>270</v>
      </c>
      <c r="G595" s="1" t="s">
        <v>23</v>
      </c>
      <c r="I595" s="18">
        <v>41883.235115740739</v>
      </c>
      <c r="J595" s="1" t="s">
        <v>17</v>
      </c>
      <c r="K595" s="1" t="s">
        <v>18</v>
      </c>
      <c r="L595" s="1" t="s">
        <v>19</v>
      </c>
      <c r="Q595" s="21"/>
    </row>
    <row r="596" spans="1:17" x14ac:dyDescent="0.15">
      <c r="A596" s="1">
        <v>409506</v>
      </c>
      <c r="B596" s="1">
        <v>0</v>
      </c>
      <c r="D596" s="1" t="s">
        <v>27</v>
      </c>
      <c r="E596" s="1" t="s">
        <v>266</v>
      </c>
      <c r="F596" s="1" t="s">
        <v>267</v>
      </c>
      <c r="G596" s="1" t="s">
        <v>23</v>
      </c>
      <c r="I596" s="18">
        <v>41883.233136574076</v>
      </c>
      <c r="J596" s="1" t="s">
        <v>17</v>
      </c>
      <c r="K596" s="1" t="s">
        <v>18</v>
      </c>
      <c r="L596" s="1" t="s">
        <v>19</v>
      </c>
      <c r="Q596" s="21"/>
    </row>
    <row r="597" spans="1:17" x14ac:dyDescent="0.15">
      <c r="A597" s="1">
        <v>409023</v>
      </c>
      <c r="B597" s="1">
        <v>0</v>
      </c>
      <c r="D597" s="1" t="s">
        <v>27</v>
      </c>
      <c r="E597" s="1" t="s">
        <v>1424</v>
      </c>
      <c r="F597" s="1" t="s">
        <v>1425</v>
      </c>
      <c r="G597" s="1" t="s">
        <v>23</v>
      </c>
      <c r="I597" s="18">
        <v>41880.642511574071</v>
      </c>
      <c r="J597" s="1" t="s">
        <v>17</v>
      </c>
      <c r="K597" s="1" t="s">
        <v>18</v>
      </c>
      <c r="L597" s="1" t="s">
        <v>19</v>
      </c>
      <c r="Q597" s="21"/>
    </row>
    <row r="598" spans="1:17" x14ac:dyDescent="0.15">
      <c r="A598" s="1">
        <v>408426</v>
      </c>
      <c r="B598" s="1">
        <v>0</v>
      </c>
      <c r="D598" s="1" t="s">
        <v>27</v>
      </c>
      <c r="E598" s="1" t="s">
        <v>1652</v>
      </c>
      <c r="F598" s="1" t="s">
        <v>1653</v>
      </c>
      <c r="G598" s="1" t="s">
        <v>353</v>
      </c>
      <c r="I598" s="18">
        <v>41879.113217592596</v>
      </c>
      <c r="J598" s="1" t="s">
        <v>1654</v>
      </c>
      <c r="K598" s="1" t="s">
        <v>18</v>
      </c>
      <c r="L598" s="1" t="s">
        <v>19</v>
      </c>
      <c r="Q598" s="21"/>
    </row>
    <row r="599" spans="1:17" x14ac:dyDescent="0.15">
      <c r="A599" s="1">
        <v>407477</v>
      </c>
      <c r="B599" s="1">
        <v>0</v>
      </c>
      <c r="D599" s="1" t="s">
        <v>27</v>
      </c>
      <c r="E599" s="1" t="s">
        <v>2565</v>
      </c>
      <c r="F599" s="1" t="s">
        <v>122</v>
      </c>
      <c r="G599" s="1" t="s">
        <v>23</v>
      </c>
      <c r="I599" s="18">
        <v>41877.177754629629</v>
      </c>
      <c r="J599" s="1" t="s">
        <v>17</v>
      </c>
      <c r="K599" s="1" t="s">
        <v>18</v>
      </c>
      <c r="L599" s="1" t="s">
        <v>19</v>
      </c>
      <c r="Q599" s="21"/>
    </row>
    <row r="600" spans="1:17" x14ac:dyDescent="0.15">
      <c r="A600" s="1">
        <v>407341</v>
      </c>
      <c r="B600" s="1">
        <v>0</v>
      </c>
      <c r="C600" s="1" t="s">
        <v>1761</v>
      </c>
      <c r="D600" s="1" t="s">
        <v>27</v>
      </c>
      <c r="E600" s="1" t="s">
        <v>1762</v>
      </c>
      <c r="F600" s="1" t="s">
        <v>1763</v>
      </c>
      <c r="G600" s="1" t="s">
        <v>23</v>
      </c>
      <c r="I600" s="18">
        <v>41876.890868055554</v>
      </c>
      <c r="J600" s="1" t="s">
        <v>1301</v>
      </c>
      <c r="K600" s="1" t="s">
        <v>18</v>
      </c>
      <c r="L600" s="1" t="s">
        <v>19</v>
      </c>
      <c r="Q600" s="21"/>
    </row>
    <row r="601" spans="1:17" x14ac:dyDescent="0.15">
      <c r="A601" s="1">
        <v>407339</v>
      </c>
      <c r="B601" s="1">
        <v>0</v>
      </c>
      <c r="C601" s="1" t="s">
        <v>665</v>
      </c>
      <c r="D601" s="1" t="s">
        <v>3714</v>
      </c>
      <c r="E601" s="1" t="s">
        <v>3862</v>
      </c>
      <c r="F601" s="1" t="s">
        <v>3863</v>
      </c>
      <c r="G601" s="1" t="s">
        <v>1056</v>
      </c>
      <c r="I601" s="18">
        <v>41876.890856481485</v>
      </c>
      <c r="J601" s="1" t="s">
        <v>1301</v>
      </c>
      <c r="K601" s="1" t="s">
        <v>18</v>
      </c>
      <c r="L601" s="1" t="s">
        <v>19</v>
      </c>
      <c r="Q601" s="21"/>
    </row>
    <row r="602" spans="1:17" x14ac:dyDescent="0.15">
      <c r="A602" s="1">
        <v>406879</v>
      </c>
      <c r="B602" s="1">
        <v>0</v>
      </c>
      <c r="D602" s="1" t="s">
        <v>27</v>
      </c>
      <c r="E602" s="1" t="s">
        <v>351</v>
      </c>
      <c r="F602" s="1" t="s">
        <v>352</v>
      </c>
      <c r="G602" s="1" t="s">
        <v>353</v>
      </c>
      <c r="I602" s="18">
        <v>41875.001666666663</v>
      </c>
      <c r="J602" s="1" t="s">
        <v>17</v>
      </c>
      <c r="K602" s="1" t="s">
        <v>18</v>
      </c>
      <c r="L602" s="1" t="s">
        <v>19</v>
      </c>
      <c r="Q602" s="21"/>
    </row>
    <row r="603" spans="1:17" x14ac:dyDescent="0.15">
      <c r="A603" s="1">
        <v>406868</v>
      </c>
      <c r="B603" s="1">
        <v>0</v>
      </c>
      <c r="C603" s="1" t="s">
        <v>12</v>
      </c>
      <c r="D603" s="1" t="s">
        <v>27</v>
      </c>
      <c r="E603" s="1" t="s">
        <v>1010</v>
      </c>
      <c r="F603" s="1" t="s">
        <v>1011</v>
      </c>
      <c r="G603" s="1"/>
      <c r="H603" s="1"/>
      <c r="I603" s="18">
        <v>41874.889027777775</v>
      </c>
      <c r="J603" s="1" t="s">
        <v>408</v>
      </c>
      <c r="K603" s="1" t="s">
        <v>18</v>
      </c>
      <c r="L603" s="1" t="s">
        <v>19</v>
      </c>
      <c r="Q603" s="21"/>
    </row>
    <row r="604" spans="1:17" x14ac:dyDescent="0.15">
      <c r="A604" s="1">
        <v>405959</v>
      </c>
      <c r="B604" s="1">
        <v>0</v>
      </c>
      <c r="C604" s="1" t="s">
        <v>829</v>
      </c>
      <c r="D604" s="1" t="s">
        <v>3911</v>
      </c>
      <c r="E604" s="1" t="s">
        <v>4004</v>
      </c>
      <c r="F604" s="1" t="s">
        <v>3458</v>
      </c>
      <c r="G604" s="1" t="s">
        <v>23</v>
      </c>
      <c r="I604" s="18">
        <v>41872.625659722224</v>
      </c>
      <c r="J604" s="1" t="s">
        <v>17</v>
      </c>
      <c r="K604" s="1" t="s">
        <v>18</v>
      </c>
      <c r="L604" s="1" t="s">
        <v>19</v>
      </c>
      <c r="Q604" s="21"/>
    </row>
    <row r="605" spans="1:17" x14ac:dyDescent="0.15">
      <c r="A605" s="1">
        <v>405335</v>
      </c>
      <c r="B605" s="1">
        <v>0</v>
      </c>
      <c r="D605" s="1" t="s">
        <v>27</v>
      </c>
      <c r="E605" s="1" t="s">
        <v>3077</v>
      </c>
      <c r="F605" s="1" t="s">
        <v>3078</v>
      </c>
      <c r="G605" s="1" t="s">
        <v>353</v>
      </c>
      <c r="I605" s="18">
        <v>41870.948923611111</v>
      </c>
      <c r="J605" s="1" t="s">
        <v>17</v>
      </c>
      <c r="K605" s="1" t="s">
        <v>18</v>
      </c>
      <c r="L605" s="1" t="s">
        <v>19</v>
      </c>
      <c r="Q605" s="21"/>
    </row>
    <row r="606" spans="1:17" x14ac:dyDescent="0.15">
      <c r="A606" s="1">
        <v>404513</v>
      </c>
      <c r="B606" s="1">
        <v>0</v>
      </c>
      <c r="D606" s="1" t="s">
        <v>27</v>
      </c>
      <c r="E606" s="1" t="s">
        <v>1633</v>
      </c>
      <c r="F606" s="1" t="s">
        <v>122</v>
      </c>
      <c r="G606" s="1" t="s">
        <v>23</v>
      </c>
      <c r="I606" s="18">
        <v>41869.131597222222</v>
      </c>
      <c r="J606" s="1" t="s">
        <v>17</v>
      </c>
      <c r="K606" s="1" t="s">
        <v>18</v>
      </c>
      <c r="L606" s="1" t="s">
        <v>19</v>
      </c>
      <c r="Q606" s="21"/>
    </row>
    <row r="607" spans="1:17" x14ac:dyDescent="0.15">
      <c r="A607" s="1">
        <v>404462</v>
      </c>
      <c r="B607" s="1">
        <v>0</v>
      </c>
      <c r="C607" s="1" t="s">
        <v>268</v>
      </c>
      <c r="D607" s="1" t="s">
        <v>27</v>
      </c>
      <c r="E607" s="1" t="s">
        <v>1751</v>
      </c>
      <c r="F607" s="1" t="s">
        <v>1752</v>
      </c>
      <c r="G607" s="1" t="s">
        <v>23</v>
      </c>
      <c r="I607" s="18">
        <v>41868.642384259256</v>
      </c>
      <c r="J607" s="1" t="s">
        <v>17</v>
      </c>
      <c r="K607" s="1" t="s">
        <v>18</v>
      </c>
      <c r="L607" s="1" t="s">
        <v>19</v>
      </c>
      <c r="Q607" s="21"/>
    </row>
    <row r="608" spans="1:17" x14ac:dyDescent="0.15">
      <c r="A608" s="1">
        <v>404300</v>
      </c>
      <c r="B608" s="1">
        <v>0</v>
      </c>
      <c r="C608" s="1" t="s">
        <v>145</v>
      </c>
      <c r="D608" s="1" t="s">
        <v>27</v>
      </c>
      <c r="E608" s="1" t="s">
        <v>3401</v>
      </c>
      <c r="F608" s="1" t="s">
        <v>3402</v>
      </c>
      <c r="G608" s="1" t="s">
        <v>23</v>
      </c>
      <c r="I608" s="18">
        <v>41866.981898148151</v>
      </c>
      <c r="J608" s="1" t="s">
        <v>3403</v>
      </c>
      <c r="K608" s="1" t="s">
        <v>18</v>
      </c>
      <c r="L608" s="1" t="s">
        <v>19</v>
      </c>
      <c r="Q608" s="21"/>
    </row>
    <row r="609" spans="1:22" x14ac:dyDescent="0.15">
      <c r="A609" s="1">
        <v>403665</v>
      </c>
      <c r="B609" s="1">
        <v>0</v>
      </c>
      <c r="D609" s="1" t="s">
        <v>27</v>
      </c>
      <c r="E609" s="1" t="s">
        <v>2844</v>
      </c>
      <c r="F609" s="1" t="s">
        <v>2845</v>
      </c>
      <c r="G609" s="1" t="s">
        <v>23</v>
      </c>
      <c r="I609" s="18">
        <v>41865.241284722222</v>
      </c>
      <c r="J609" s="1" t="s">
        <v>17</v>
      </c>
      <c r="K609" s="1" t="s">
        <v>18</v>
      </c>
      <c r="L609" s="1" t="s">
        <v>19</v>
      </c>
      <c r="Q609" s="21"/>
    </row>
    <row r="610" spans="1:22" x14ac:dyDescent="0.15">
      <c r="A610" s="1">
        <v>403276</v>
      </c>
      <c r="B610" s="1">
        <v>0</v>
      </c>
      <c r="D610" s="1" t="s">
        <v>27</v>
      </c>
      <c r="E610" s="1" t="s">
        <v>3049</v>
      </c>
      <c r="F610" s="1" t="s">
        <v>3050</v>
      </c>
      <c r="G610" s="1" t="s">
        <v>16</v>
      </c>
      <c r="I610" s="18">
        <v>41864.446909722225</v>
      </c>
      <c r="J610" s="1" t="s">
        <v>68</v>
      </c>
      <c r="K610" s="1" t="s">
        <v>18</v>
      </c>
      <c r="L610" s="1" t="s">
        <v>19</v>
      </c>
      <c r="Q610" s="21"/>
    </row>
    <row r="611" spans="1:22" x14ac:dyDescent="0.15">
      <c r="A611" s="1">
        <v>402957</v>
      </c>
      <c r="B611" s="1">
        <v>0</v>
      </c>
      <c r="C611" s="1" t="s">
        <v>2854</v>
      </c>
      <c r="D611" s="1" t="s">
        <v>27</v>
      </c>
      <c r="E611" s="1" t="s">
        <v>2855</v>
      </c>
      <c r="F611" s="1" t="s">
        <v>2856</v>
      </c>
      <c r="G611" s="1" t="s">
        <v>159</v>
      </c>
      <c r="I611" s="18">
        <v>41863.740925925929</v>
      </c>
      <c r="J611" s="1" t="s">
        <v>98</v>
      </c>
      <c r="K611" s="1" t="s">
        <v>18</v>
      </c>
      <c r="L611" s="1" t="s">
        <v>19</v>
      </c>
      <c r="Q611" s="21"/>
    </row>
    <row r="612" spans="1:22" x14ac:dyDescent="0.15">
      <c r="A612" s="1">
        <v>402407</v>
      </c>
      <c r="B612" s="1">
        <v>0</v>
      </c>
      <c r="D612" s="1" t="s">
        <v>27</v>
      </c>
      <c r="E612" s="1" t="s">
        <v>1154</v>
      </c>
      <c r="F612" s="1" t="s">
        <v>1155</v>
      </c>
      <c r="G612" s="1"/>
      <c r="H612" s="1"/>
      <c r="I612" s="18">
        <v>41862.451909722222</v>
      </c>
      <c r="J612" s="1" t="s">
        <v>68</v>
      </c>
      <c r="K612" s="1" t="s">
        <v>18</v>
      </c>
      <c r="L612" s="1" t="s">
        <v>19</v>
      </c>
      <c r="Q612" s="21"/>
    </row>
    <row r="613" spans="1:22" x14ac:dyDescent="0.15">
      <c r="A613" s="1">
        <v>402255</v>
      </c>
      <c r="B613" s="1">
        <v>0</v>
      </c>
      <c r="D613" s="1" t="s">
        <v>27</v>
      </c>
      <c r="E613" s="1" t="s">
        <v>2133</v>
      </c>
      <c r="F613" s="1" t="s">
        <v>2134</v>
      </c>
      <c r="G613" s="1" t="s">
        <v>23</v>
      </c>
      <c r="I613" s="18">
        <v>41860.755972222221</v>
      </c>
      <c r="J613" s="1" t="s">
        <v>17</v>
      </c>
      <c r="K613" s="1" t="s">
        <v>18</v>
      </c>
      <c r="L613" s="1" t="s">
        <v>19</v>
      </c>
      <c r="Q613" s="21"/>
    </row>
    <row r="614" spans="1:22" x14ac:dyDescent="0.15">
      <c r="A614" s="1">
        <v>401995</v>
      </c>
      <c r="B614" s="1">
        <v>0</v>
      </c>
      <c r="C614" s="1" t="s">
        <v>12</v>
      </c>
      <c r="D614" s="1" t="s">
        <v>27</v>
      </c>
      <c r="E614" s="1" t="s">
        <v>2933</v>
      </c>
      <c r="F614" s="1" t="s">
        <v>2934</v>
      </c>
      <c r="G614" s="1" t="s">
        <v>23</v>
      </c>
      <c r="I614" s="18">
        <v>41859.661215277774</v>
      </c>
      <c r="J614" s="1" t="s">
        <v>17</v>
      </c>
      <c r="K614" s="1" t="s">
        <v>18</v>
      </c>
      <c r="L614" s="1" t="s">
        <v>19</v>
      </c>
      <c r="Q614" s="21"/>
    </row>
    <row r="615" spans="1:22" x14ac:dyDescent="0.15">
      <c r="A615" s="1">
        <v>401364</v>
      </c>
      <c r="B615" s="1">
        <v>0</v>
      </c>
      <c r="C615" s="1" t="s">
        <v>305</v>
      </c>
      <c r="D615" s="1" t="s">
        <v>27</v>
      </c>
      <c r="E615" s="1" t="s">
        <v>1767</v>
      </c>
      <c r="F615" s="1" t="s">
        <v>1768</v>
      </c>
      <c r="G615" s="1" t="s">
        <v>23</v>
      </c>
      <c r="I615" s="18">
        <v>41858.183344907404</v>
      </c>
      <c r="J615" s="1" t="s">
        <v>17</v>
      </c>
      <c r="K615" s="1" t="s">
        <v>18</v>
      </c>
      <c r="L615" s="1" t="s">
        <v>19</v>
      </c>
      <c r="Q615" s="21"/>
    </row>
    <row r="616" spans="1:22" x14ac:dyDescent="0.15">
      <c r="A616" s="1">
        <v>401363</v>
      </c>
      <c r="B616" s="1">
        <v>2</v>
      </c>
      <c r="D616" s="1" t="s">
        <v>27</v>
      </c>
      <c r="E616" s="1" t="s">
        <v>3073</v>
      </c>
      <c r="F616" s="1" t="s">
        <v>3074</v>
      </c>
      <c r="G616" s="1" t="s">
        <v>23</v>
      </c>
      <c r="I616" s="18">
        <v>41858.182349537034</v>
      </c>
      <c r="J616" s="1" t="s">
        <v>17</v>
      </c>
      <c r="K616" s="1" t="s">
        <v>18</v>
      </c>
      <c r="L616" s="1" t="s">
        <v>19</v>
      </c>
      <c r="M616" s="1">
        <v>403917</v>
      </c>
      <c r="N616" s="1" t="s">
        <v>3075</v>
      </c>
      <c r="O616" s="18">
        <v>41865.867118055554</v>
      </c>
      <c r="P616" s="1" t="s">
        <v>1922</v>
      </c>
      <c r="Q616" s="21">
        <f t="shared" ref="Q616:Q647" si="10">ABS(O616-I616)</f>
        <v>7.6847685185202863</v>
      </c>
      <c r="R616" s="1">
        <v>405134</v>
      </c>
      <c r="S616" s="1" t="s">
        <v>3076</v>
      </c>
      <c r="T616" s="2" t="s">
        <v>4186</v>
      </c>
      <c r="U616" s="1" t="s">
        <v>24</v>
      </c>
      <c r="V616" s="1"/>
    </row>
    <row r="617" spans="1:22" x14ac:dyDescent="0.15">
      <c r="A617" s="1">
        <v>401362</v>
      </c>
      <c r="B617" s="1">
        <v>0</v>
      </c>
      <c r="C617" s="1" t="s">
        <v>268</v>
      </c>
      <c r="D617" s="1" t="s">
        <v>3714</v>
      </c>
      <c r="E617" s="1" t="s">
        <v>3786</v>
      </c>
      <c r="F617" s="1" t="s">
        <v>3787</v>
      </c>
      <c r="G617" s="1" t="s">
        <v>23</v>
      </c>
      <c r="I617" s="18">
        <v>41858.181712962964</v>
      </c>
      <c r="J617" s="1" t="s">
        <v>17</v>
      </c>
      <c r="K617" s="1" t="s">
        <v>18</v>
      </c>
      <c r="L617" s="1" t="s">
        <v>19</v>
      </c>
      <c r="Q617" s="21"/>
    </row>
    <row r="618" spans="1:22" x14ac:dyDescent="0.15">
      <c r="A618" s="1">
        <v>401115</v>
      </c>
      <c r="B618" s="1">
        <v>0</v>
      </c>
      <c r="C618" s="1" t="s">
        <v>857</v>
      </c>
      <c r="D618" s="1" t="s">
        <v>27</v>
      </c>
      <c r="E618" s="1" t="s">
        <v>858</v>
      </c>
      <c r="F618" s="1" t="s">
        <v>859</v>
      </c>
      <c r="G618" s="1" t="s">
        <v>23</v>
      </c>
      <c r="I618" s="18">
        <v>41857.683240740742</v>
      </c>
      <c r="J618" s="1" t="s">
        <v>860</v>
      </c>
      <c r="K618" s="1" t="s">
        <v>18</v>
      </c>
      <c r="L618" s="1" t="s">
        <v>19</v>
      </c>
      <c r="Q618" s="21"/>
    </row>
    <row r="619" spans="1:22" x14ac:dyDescent="0.15">
      <c r="A619" s="1">
        <v>400476</v>
      </c>
      <c r="B619" s="1">
        <v>1</v>
      </c>
      <c r="C619" s="1" t="s">
        <v>280</v>
      </c>
      <c r="D619" s="1" t="s">
        <v>27</v>
      </c>
      <c r="E619" s="1" t="s">
        <v>281</v>
      </c>
      <c r="F619" s="1" t="s">
        <v>282</v>
      </c>
      <c r="G619" s="1" t="s">
        <v>16</v>
      </c>
      <c r="I619" s="18">
        <v>41855.829386574071</v>
      </c>
      <c r="J619" s="1" t="s">
        <v>68</v>
      </c>
      <c r="K619" s="1" t="s">
        <v>18</v>
      </c>
      <c r="L619" s="1" t="s">
        <v>19</v>
      </c>
      <c r="M619" s="1">
        <v>410732</v>
      </c>
      <c r="N619" s="1" t="s">
        <v>283</v>
      </c>
      <c r="O619" s="18">
        <v>41886.371215277781</v>
      </c>
      <c r="P619" s="1" t="s">
        <v>132</v>
      </c>
      <c r="Q619" s="21">
        <f t="shared" si="10"/>
        <v>30.541828703710053</v>
      </c>
      <c r="R619" s="1"/>
    </row>
    <row r="620" spans="1:22" x14ac:dyDescent="0.15">
      <c r="A620" s="1">
        <v>400339</v>
      </c>
      <c r="B620" s="1">
        <v>0</v>
      </c>
      <c r="D620" s="1" t="s">
        <v>27</v>
      </c>
      <c r="E620" s="1" t="s">
        <v>1685</v>
      </c>
      <c r="F620" s="1" t="s">
        <v>1686</v>
      </c>
      <c r="G620" s="1" t="s">
        <v>23</v>
      </c>
      <c r="I620" s="18">
        <v>41855.643958333334</v>
      </c>
      <c r="J620" s="1" t="s">
        <v>17</v>
      </c>
      <c r="K620" s="1" t="s">
        <v>18</v>
      </c>
      <c r="L620" s="1" t="s">
        <v>19</v>
      </c>
      <c r="Q620" s="21"/>
    </row>
    <row r="621" spans="1:22" x14ac:dyDescent="0.15">
      <c r="A621" s="1">
        <v>399783</v>
      </c>
      <c r="B621" s="1">
        <v>2</v>
      </c>
      <c r="C621" s="1" t="s">
        <v>3736</v>
      </c>
      <c r="D621" s="1" t="s">
        <v>3714</v>
      </c>
      <c r="E621" s="1" t="s">
        <v>3737</v>
      </c>
      <c r="F621" s="1" t="s">
        <v>3738</v>
      </c>
      <c r="G621" s="1" t="s">
        <v>1056</v>
      </c>
      <c r="I621" s="18">
        <v>41852.912962962961</v>
      </c>
      <c r="J621" s="1" t="s">
        <v>639</v>
      </c>
      <c r="K621" s="1" t="s">
        <v>18</v>
      </c>
      <c r="L621" s="1" t="s">
        <v>19</v>
      </c>
      <c r="M621" s="1">
        <v>403682</v>
      </c>
      <c r="N621" s="1" t="s">
        <v>3739</v>
      </c>
      <c r="O621" s="18">
        <v>41865.303229166668</v>
      </c>
      <c r="P621" s="1" t="s">
        <v>3740</v>
      </c>
      <c r="Q621" s="21">
        <f t="shared" si="10"/>
        <v>12.390266203707142</v>
      </c>
      <c r="R621" s="1">
        <v>402897</v>
      </c>
      <c r="S621" s="1" t="s">
        <v>3739</v>
      </c>
      <c r="T621" s="2" t="s">
        <v>4191</v>
      </c>
      <c r="U621" s="1" t="s">
        <v>17</v>
      </c>
      <c r="V621" s="1"/>
    </row>
    <row r="622" spans="1:22" x14ac:dyDescent="0.15">
      <c r="A622" s="1">
        <v>399768</v>
      </c>
      <c r="B622" s="1">
        <v>0</v>
      </c>
      <c r="C622" s="1" t="s">
        <v>156</v>
      </c>
      <c r="D622" s="1" t="s">
        <v>27</v>
      </c>
      <c r="E622" s="1" t="s">
        <v>157</v>
      </c>
      <c r="F622" s="1" t="s">
        <v>158</v>
      </c>
      <c r="G622" s="1" t="s">
        <v>159</v>
      </c>
      <c r="I622" s="18">
        <v>41852.88208333333</v>
      </c>
      <c r="J622" s="1" t="s">
        <v>160</v>
      </c>
      <c r="K622" s="1" t="s">
        <v>18</v>
      </c>
      <c r="L622" s="1" t="s">
        <v>19</v>
      </c>
      <c r="Q622" s="21"/>
    </row>
    <row r="623" spans="1:22" x14ac:dyDescent="0.15">
      <c r="A623" s="1">
        <v>399655</v>
      </c>
      <c r="B623" s="1">
        <v>0</v>
      </c>
      <c r="D623" s="1" t="s">
        <v>27</v>
      </c>
      <c r="E623" s="1" t="s">
        <v>1554</v>
      </c>
      <c r="F623" s="1" t="s">
        <v>1555</v>
      </c>
      <c r="G623" s="1" t="s">
        <v>23</v>
      </c>
      <c r="I623" s="18">
        <v>41852.672719907408</v>
      </c>
      <c r="J623" s="1" t="s">
        <v>17</v>
      </c>
      <c r="K623" s="1" t="s">
        <v>18</v>
      </c>
      <c r="L623" s="1" t="s">
        <v>19</v>
      </c>
      <c r="Q623" s="21"/>
    </row>
    <row r="624" spans="1:22" x14ac:dyDescent="0.15">
      <c r="A624" s="1">
        <v>398384</v>
      </c>
      <c r="B624" s="1">
        <v>0</v>
      </c>
      <c r="C624" s="1" t="s">
        <v>12</v>
      </c>
      <c r="D624" s="1" t="s">
        <v>27</v>
      </c>
      <c r="E624" s="1" t="s">
        <v>412</v>
      </c>
      <c r="F624" s="1" t="s">
        <v>413</v>
      </c>
      <c r="G624" s="1" t="s">
        <v>23</v>
      </c>
      <c r="I624" s="18">
        <v>41849.50509259259</v>
      </c>
      <c r="J624" s="1" t="s">
        <v>68</v>
      </c>
      <c r="K624" s="1" t="s">
        <v>18</v>
      </c>
      <c r="L624" s="1" t="s">
        <v>19</v>
      </c>
      <c r="Q624" s="21"/>
    </row>
    <row r="625" spans="1:17" x14ac:dyDescent="0.15">
      <c r="A625" s="1">
        <v>397396</v>
      </c>
      <c r="B625" s="1">
        <v>0</v>
      </c>
      <c r="C625" s="1" t="s">
        <v>1081</v>
      </c>
      <c r="D625" s="1" t="s">
        <v>27</v>
      </c>
      <c r="E625" s="1" t="s">
        <v>1082</v>
      </c>
      <c r="F625" s="1" t="s">
        <v>1083</v>
      </c>
      <c r="G625" s="1" t="s">
        <v>23</v>
      </c>
      <c r="I625" s="18">
        <v>41845.110914351855</v>
      </c>
      <c r="J625" s="1" t="s">
        <v>1084</v>
      </c>
      <c r="K625" s="1" t="s">
        <v>18</v>
      </c>
      <c r="L625" s="1" t="s">
        <v>19</v>
      </c>
      <c r="Q625" s="21"/>
    </row>
    <row r="626" spans="1:17" x14ac:dyDescent="0.15">
      <c r="A626" s="1">
        <v>397258</v>
      </c>
      <c r="B626" s="1">
        <v>0</v>
      </c>
      <c r="C626" s="1" t="s">
        <v>12</v>
      </c>
      <c r="D626" s="1" t="s">
        <v>27</v>
      </c>
      <c r="E626" s="1" t="s">
        <v>179</v>
      </c>
      <c r="F626" s="1" t="s">
        <v>180</v>
      </c>
      <c r="G626" s="1" t="s">
        <v>23</v>
      </c>
      <c r="I626" s="18">
        <v>41844.873784722222</v>
      </c>
      <c r="J626" s="1" t="s">
        <v>181</v>
      </c>
      <c r="K626" s="1" t="s">
        <v>18</v>
      </c>
      <c r="L626" s="1" t="s">
        <v>19</v>
      </c>
      <c r="Q626" s="21"/>
    </row>
    <row r="627" spans="1:17" x14ac:dyDescent="0.15">
      <c r="A627" s="1">
        <v>396447</v>
      </c>
      <c r="B627" s="1">
        <v>0</v>
      </c>
      <c r="C627" s="1" t="s">
        <v>829</v>
      </c>
      <c r="D627" s="1" t="s">
        <v>27</v>
      </c>
      <c r="E627" s="1" t="s">
        <v>1085</v>
      </c>
      <c r="F627" s="1" t="s">
        <v>1086</v>
      </c>
      <c r="G627" s="1" t="s">
        <v>23</v>
      </c>
      <c r="I627" s="18">
        <v>41843.160671296297</v>
      </c>
      <c r="J627" s="1" t="s">
        <v>1087</v>
      </c>
      <c r="K627" s="1" t="s">
        <v>18</v>
      </c>
      <c r="L627" s="1" t="s">
        <v>19</v>
      </c>
      <c r="Q627" s="21"/>
    </row>
    <row r="628" spans="1:17" x14ac:dyDescent="0.15">
      <c r="A628" s="1">
        <v>395650</v>
      </c>
      <c r="B628" s="1">
        <v>0</v>
      </c>
      <c r="C628" s="1" t="s">
        <v>689</v>
      </c>
      <c r="D628" s="1" t="s">
        <v>27</v>
      </c>
      <c r="E628" s="1" t="s">
        <v>3039</v>
      </c>
      <c r="F628" s="1" t="s">
        <v>3040</v>
      </c>
      <c r="G628" s="1" t="s">
        <v>16</v>
      </c>
      <c r="I628" s="18">
        <v>41841.669166666667</v>
      </c>
      <c r="J628" s="1" t="s">
        <v>3041</v>
      </c>
      <c r="K628" s="1" t="s">
        <v>18</v>
      </c>
      <c r="L628" s="1" t="s">
        <v>19</v>
      </c>
      <c r="Q628" s="21"/>
    </row>
    <row r="629" spans="1:17" x14ac:dyDescent="0.15">
      <c r="A629" s="1">
        <v>395461</v>
      </c>
      <c r="B629" s="1">
        <v>0</v>
      </c>
      <c r="C629" s="1" t="s">
        <v>12</v>
      </c>
      <c r="D629" s="1" t="s">
        <v>27</v>
      </c>
      <c r="E629" s="1" t="s">
        <v>1978</v>
      </c>
      <c r="F629" s="1" t="s">
        <v>1979</v>
      </c>
      <c r="G629" s="1" t="s">
        <v>23</v>
      </c>
      <c r="I629" s="18">
        <v>41840.589826388888</v>
      </c>
      <c r="J629" s="1" t="s">
        <v>17</v>
      </c>
      <c r="K629" s="1" t="s">
        <v>18</v>
      </c>
      <c r="L629" s="1" t="s">
        <v>19</v>
      </c>
      <c r="Q629" s="21"/>
    </row>
    <row r="630" spans="1:17" x14ac:dyDescent="0.15">
      <c r="A630" s="1">
        <v>394026</v>
      </c>
      <c r="B630" s="1">
        <v>0</v>
      </c>
      <c r="D630" s="1" t="s">
        <v>27</v>
      </c>
      <c r="E630" s="1" t="s">
        <v>1855</v>
      </c>
      <c r="F630" s="1" t="s">
        <v>1856</v>
      </c>
      <c r="G630" s="1" t="s">
        <v>23</v>
      </c>
      <c r="I630" s="18">
        <v>41835.748032407406</v>
      </c>
      <c r="J630" s="1" t="s">
        <v>17</v>
      </c>
      <c r="K630" s="1" t="s">
        <v>18</v>
      </c>
      <c r="L630" s="1" t="s">
        <v>19</v>
      </c>
      <c r="Q630" s="21"/>
    </row>
    <row r="631" spans="1:17" x14ac:dyDescent="0.15">
      <c r="A631" s="1">
        <v>393833</v>
      </c>
      <c r="B631" s="1">
        <v>0</v>
      </c>
      <c r="C631" s="1" t="s">
        <v>3384</v>
      </c>
      <c r="D631" s="1" t="s">
        <v>27</v>
      </c>
      <c r="E631" s="1" t="s">
        <v>3385</v>
      </c>
      <c r="F631" s="1" t="s">
        <v>3386</v>
      </c>
      <c r="G631" s="1" t="s">
        <v>23</v>
      </c>
      <c r="I631" s="18">
        <v>41835.128055555557</v>
      </c>
      <c r="J631" s="1" t="s">
        <v>17</v>
      </c>
      <c r="K631" s="1" t="s">
        <v>18</v>
      </c>
      <c r="L631" s="1" t="s">
        <v>19</v>
      </c>
      <c r="Q631" s="21"/>
    </row>
    <row r="632" spans="1:17" x14ac:dyDescent="0.15">
      <c r="A632" s="1">
        <v>393452</v>
      </c>
      <c r="B632" s="1">
        <v>0</v>
      </c>
      <c r="D632" s="1" t="s">
        <v>27</v>
      </c>
      <c r="E632" s="1" t="s">
        <v>125</v>
      </c>
      <c r="F632" s="1" t="s">
        <v>126</v>
      </c>
      <c r="G632" s="1" t="s">
        <v>23</v>
      </c>
      <c r="I632" s="18">
        <v>41833.186342592591</v>
      </c>
      <c r="J632" s="1" t="s">
        <v>17</v>
      </c>
      <c r="K632" s="1" t="s">
        <v>18</v>
      </c>
      <c r="L632" s="1" t="s">
        <v>19</v>
      </c>
      <c r="Q632" s="21"/>
    </row>
    <row r="633" spans="1:17" x14ac:dyDescent="0.15">
      <c r="A633" s="1">
        <v>391023</v>
      </c>
      <c r="B633" s="1">
        <v>0</v>
      </c>
      <c r="C633" s="1" t="s">
        <v>170</v>
      </c>
      <c r="D633" s="1" t="s">
        <v>27</v>
      </c>
      <c r="E633" s="1" t="s">
        <v>1753</v>
      </c>
      <c r="F633" s="1" t="s">
        <v>1754</v>
      </c>
      <c r="G633" s="1" t="s">
        <v>16</v>
      </c>
      <c r="I633" s="18">
        <v>41822.794421296298</v>
      </c>
      <c r="J633" s="1" t="s">
        <v>1755</v>
      </c>
      <c r="K633" s="1" t="s">
        <v>18</v>
      </c>
      <c r="L633" s="1" t="s">
        <v>19</v>
      </c>
      <c r="Q633" s="21"/>
    </row>
    <row r="634" spans="1:17" x14ac:dyDescent="0.15">
      <c r="A634" s="1">
        <v>390973</v>
      </c>
      <c r="B634" s="1">
        <v>0</v>
      </c>
      <c r="D634" s="1" t="s">
        <v>27</v>
      </c>
      <c r="E634" s="1" t="s">
        <v>2139</v>
      </c>
      <c r="F634" s="1" t="s">
        <v>2140</v>
      </c>
      <c r="G634" s="1" t="s">
        <v>23</v>
      </c>
      <c r="I634" s="18">
        <v>41822.716527777775</v>
      </c>
      <c r="J634" s="1" t="s">
        <v>17</v>
      </c>
      <c r="K634" s="1" t="s">
        <v>18</v>
      </c>
      <c r="L634" s="1" t="s">
        <v>19</v>
      </c>
      <c r="Q634" s="21"/>
    </row>
    <row r="635" spans="1:17" x14ac:dyDescent="0.15">
      <c r="A635" s="1">
        <v>390928</v>
      </c>
      <c r="B635" s="1">
        <v>0</v>
      </c>
      <c r="D635" s="1" t="s">
        <v>27</v>
      </c>
      <c r="E635" s="1" t="s">
        <v>3053</v>
      </c>
      <c r="F635" s="1" t="s">
        <v>3054</v>
      </c>
      <c r="G635" s="1" t="s">
        <v>23</v>
      </c>
      <c r="I635" s="18">
        <v>41822.634513888886</v>
      </c>
      <c r="J635" s="1" t="s">
        <v>68</v>
      </c>
      <c r="K635" s="1" t="s">
        <v>18</v>
      </c>
      <c r="L635" s="1" t="s">
        <v>19</v>
      </c>
      <c r="Q635" s="21"/>
    </row>
    <row r="636" spans="1:17" x14ac:dyDescent="0.15">
      <c r="A636" s="1">
        <v>390709</v>
      </c>
      <c r="B636" s="1">
        <v>0</v>
      </c>
      <c r="D636" s="1" t="s">
        <v>3714</v>
      </c>
      <c r="E636" s="1" t="s">
        <v>3783</v>
      </c>
      <c r="F636" s="1" t="s">
        <v>3784</v>
      </c>
      <c r="G636" s="1" t="s">
        <v>1056</v>
      </c>
      <c r="I636" s="18">
        <v>41821.939236111109</v>
      </c>
      <c r="J636" s="1" t="s">
        <v>3785</v>
      </c>
      <c r="K636" s="1" t="s">
        <v>18</v>
      </c>
      <c r="L636" s="1" t="s">
        <v>19</v>
      </c>
      <c r="Q636" s="21"/>
    </row>
    <row r="637" spans="1:17" x14ac:dyDescent="0.15">
      <c r="A637" s="1">
        <v>390624</v>
      </c>
      <c r="B637" s="1">
        <v>0</v>
      </c>
      <c r="C637" s="1" t="s">
        <v>2706</v>
      </c>
      <c r="D637" s="1" t="s">
        <v>3714</v>
      </c>
      <c r="E637" s="1" t="s">
        <v>3819</v>
      </c>
      <c r="F637" s="1" t="s">
        <v>3820</v>
      </c>
      <c r="G637" s="1" t="s">
        <v>3821</v>
      </c>
      <c r="I637" s="18">
        <v>41821.74527777778</v>
      </c>
      <c r="J637" s="1" t="s">
        <v>311</v>
      </c>
      <c r="K637" s="1" t="s">
        <v>18</v>
      </c>
      <c r="L637" s="1" t="s">
        <v>19</v>
      </c>
      <c r="Q637" s="21"/>
    </row>
    <row r="638" spans="1:17" x14ac:dyDescent="0.15">
      <c r="A638" s="1">
        <v>390563</v>
      </c>
      <c r="B638" s="1">
        <v>0</v>
      </c>
      <c r="D638" s="1" t="s">
        <v>27</v>
      </c>
      <c r="E638" s="1" t="s">
        <v>1290</v>
      </c>
      <c r="F638" s="1" t="s">
        <v>1291</v>
      </c>
      <c r="G638" s="1" t="s">
        <v>23</v>
      </c>
      <c r="I638" s="18">
        <v>41821.64738425926</v>
      </c>
      <c r="J638" s="1" t="s">
        <v>17</v>
      </c>
      <c r="K638" s="1" t="s">
        <v>18</v>
      </c>
      <c r="L638" s="1" t="s">
        <v>19</v>
      </c>
      <c r="Q638" s="21"/>
    </row>
    <row r="639" spans="1:17" x14ac:dyDescent="0.15">
      <c r="A639" s="1">
        <v>390176</v>
      </c>
      <c r="B639" s="1">
        <v>0</v>
      </c>
      <c r="C639" s="1" t="s">
        <v>1593</v>
      </c>
      <c r="D639" s="1" t="s">
        <v>27</v>
      </c>
      <c r="E639" s="1" t="s">
        <v>1594</v>
      </c>
      <c r="F639" s="1" t="s">
        <v>1595</v>
      </c>
      <c r="G639" s="1" t="s">
        <v>23</v>
      </c>
      <c r="I639" s="18">
        <v>41820.648680555554</v>
      </c>
      <c r="J639" s="1" t="s">
        <v>17</v>
      </c>
      <c r="K639" s="1" t="s">
        <v>18</v>
      </c>
      <c r="L639" s="1" t="s">
        <v>19</v>
      </c>
      <c r="Q639" s="21"/>
    </row>
    <row r="640" spans="1:17" x14ac:dyDescent="0.15">
      <c r="A640" s="1">
        <v>390174</v>
      </c>
      <c r="B640" s="1">
        <v>0</v>
      </c>
      <c r="C640" s="1" t="s">
        <v>1596</v>
      </c>
      <c r="D640" s="1" t="s">
        <v>27</v>
      </c>
      <c r="E640" s="1" t="s">
        <v>1597</v>
      </c>
      <c r="F640" s="1" t="s">
        <v>1598</v>
      </c>
      <c r="G640" s="1" t="s">
        <v>23</v>
      </c>
      <c r="I640" s="18">
        <v>41820.644386574073</v>
      </c>
      <c r="J640" s="1" t="s">
        <v>17</v>
      </c>
      <c r="K640" s="1" t="s">
        <v>18</v>
      </c>
      <c r="L640" s="1" t="s">
        <v>19</v>
      </c>
      <c r="Q640" s="21"/>
    </row>
    <row r="641" spans="1:18" x14ac:dyDescent="0.15">
      <c r="A641" s="1">
        <v>389734</v>
      </c>
      <c r="B641" s="1">
        <v>0</v>
      </c>
      <c r="C641" s="1" t="s">
        <v>3271</v>
      </c>
      <c r="D641" s="1" t="s">
        <v>27</v>
      </c>
      <c r="E641" s="1" t="s">
        <v>3272</v>
      </c>
      <c r="F641" s="1" t="s">
        <v>3273</v>
      </c>
      <c r="G641" s="1" t="s">
        <v>23</v>
      </c>
      <c r="I641" s="18">
        <v>41817.999108796299</v>
      </c>
      <c r="J641" s="1" t="s">
        <v>3274</v>
      </c>
      <c r="K641" s="1" t="s">
        <v>18</v>
      </c>
      <c r="L641" s="1" t="s">
        <v>19</v>
      </c>
      <c r="Q641" s="21"/>
    </row>
    <row r="642" spans="1:18" x14ac:dyDescent="0.15">
      <c r="A642" s="1">
        <v>389570</v>
      </c>
      <c r="B642" s="1">
        <v>0</v>
      </c>
      <c r="C642" s="1" t="s">
        <v>65</v>
      </c>
      <c r="D642" s="1" t="s">
        <v>27</v>
      </c>
      <c r="E642" s="1" t="s">
        <v>2428</v>
      </c>
      <c r="F642" s="1" t="s">
        <v>2429</v>
      </c>
      <c r="G642" s="1" t="s">
        <v>23</v>
      </c>
      <c r="I642" s="18">
        <v>41817.659143518518</v>
      </c>
      <c r="J642" s="1" t="s">
        <v>17</v>
      </c>
      <c r="K642" s="1" t="s">
        <v>18</v>
      </c>
      <c r="L642" s="1" t="s">
        <v>19</v>
      </c>
      <c r="Q642" s="21"/>
    </row>
    <row r="643" spans="1:18" x14ac:dyDescent="0.15">
      <c r="A643" s="1">
        <v>389316</v>
      </c>
      <c r="B643" s="1">
        <v>0</v>
      </c>
      <c r="C643" s="1" t="s">
        <v>409</v>
      </c>
      <c r="D643" s="1" t="s">
        <v>27</v>
      </c>
      <c r="E643" s="1" t="s">
        <v>410</v>
      </c>
      <c r="F643" s="1" t="s">
        <v>411</v>
      </c>
      <c r="G643" s="1" t="s">
        <v>23</v>
      </c>
      <c r="I643" s="18">
        <v>41816.911122685182</v>
      </c>
      <c r="J643" s="1" t="s">
        <v>17</v>
      </c>
      <c r="K643" s="1" t="s">
        <v>18</v>
      </c>
      <c r="L643" s="1" t="s">
        <v>19</v>
      </c>
      <c r="Q643" s="21"/>
    </row>
    <row r="644" spans="1:18" x14ac:dyDescent="0.15">
      <c r="A644" s="1">
        <v>389285</v>
      </c>
      <c r="B644" s="1">
        <v>0</v>
      </c>
      <c r="C644" s="1" t="s">
        <v>268</v>
      </c>
      <c r="D644" s="1" t="s">
        <v>27</v>
      </c>
      <c r="E644" s="1" t="s">
        <v>1017</v>
      </c>
      <c r="F644" s="1" t="s">
        <v>1018</v>
      </c>
      <c r="G644" s="1" t="s">
        <v>23</v>
      </c>
      <c r="I644" s="18">
        <v>41816.883113425924</v>
      </c>
      <c r="J644" s="1" t="s">
        <v>17</v>
      </c>
      <c r="K644" s="1" t="s">
        <v>18</v>
      </c>
      <c r="L644" s="1" t="s">
        <v>19</v>
      </c>
      <c r="Q644" s="21"/>
    </row>
    <row r="645" spans="1:18" x14ac:dyDescent="0.15">
      <c r="A645" s="1">
        <v>389216</v>
      </c>
      <c r="B645" s="1">
        <v>1</v>
      </c>
      <c r="C645" s="1" t="s">
        <v>2093</v>
      </c>
      <c r="D645" s="1" t="s">
        <v>27</v>
      </c>
      <c r="E645" s="1" t="s">
        <v>2094</v>
      </c>
      <c r="F645" s="1" t="s">
        <v>2095</v>
      </c>
      <c r="G645" s="1" t="s">
        <v>23</v>
      </c>
      <c r="I645" s="18">
        <v>41816.757361111115</v>
      </c>
      <c r="J645" s="1" t="s">
        <v>17</v>
      </c>
      <c r="K645" s="1" t="s">
        <v>18</v>
      </c>
      <c r="L645" s="1" t="s">
        <v>19</v>
      </c>
      <c r="M645" s="1">
        <v>290435</v>
      </c>
      <c r="N645" s="1" t="s">
        <v>2096</v>
      </c>
      <c r="O645" s="18">
        <v>41529.902361111112</v>
      </c>
      <c r="P645" s="1" t="s">
        <v>552</v>
      </c>
      <c r="Q645" s="21">
        <f t="shared" si="10"/>
        <v>286.8550000000032</v>
      </c>
      <c r="R645" s="1"/>
    </row>
    <row r="646" spans="1:18" x14ac:dyDescent="0.15">
      <c r="A646" s="1">
        <v>389155</v>
      </c>
      <c r="B646" s="1">
        <v>0</v>
      </c>
      <c r="C646" s="1" t="s">
        <v>12</v>
      </c>
      <c r="D646" s="1" t="s">
        <v>3911</v>
      </c>
      <c r="E646" s="1" t="s">
        <v>3932</v>
      </c>
      <c r="F646" s="1" t="s">
        <v>3933</v>
      </c>
      <c r="G646" s="1" t="s">
        <v>23</v>
      </c>
      <c r="I646" s="18">
        <v>41816.639351851853</v>
      </c>
      <c r="J646" s="1" t="s">
        <v>17</v>
      </c>
      <c r="K646" s="1" t="s">
        <v>18</v>
      </c>
      <c r="L646" s="1" t="s">
        <v>19</v>
      </c>
      <c r="Q646" s="21"/>
    </row>
    <row r="647" spans="1:18" x14ac:dyDescent="0.15">
      <c r="A647" s="1">
        <v>388757</v>
      </c>
      <c r="B647" s="1">
        <v>1</v>
      </c>
      <c r="C647" s="1" t="s">
        <v>268</v>
      </c>
      <c r="D647" s="1" t="s">
        <v>27</v>
      </c>
      <c r="E647" s="1" t="s">
        <v>1370</v>
      </c>
      <c r="F647" s="1" t="s">
        <v>1371</v>
      </c>
      <c r="G647" s="1" t="s">
        <v>23</v>
      </c>
      <c r="I647" s="18">
        <v>41815.640277777777</v>
      </c>
      <c r="J647" s="1" t="s">
        <v>17</v>
      </c>
      <c r="K647" s="1" t="s">
        <v>18</v>
      </c>
      <c r="L647" s="1" t="s">
        <v>19</v>
      </c>
      <c r="M647" s="1">
        <v>399713</v>
      </c>
      <c r="N647" s="1" t="s">
        <v>1372</v>
      </c>
      <c r="O647" s="18">
        <v>41852.772326388891</v>
      </c>
      <c r="P647" s="1" t="s">
        <v>1373</v>
      </c>
      <c r="Q647" s="21">
        <f t="shared" si="10"/>
        <v>37.132048611114442</v>
      </c>
      <c r="R647" s="1"/>
    </row>
    <row r="648" spans="1:18" x14ac:dyDescent="0.15">
      <c r="A648" s="1">
        <v>388665</v>
      </c>
      <c r="B648" s="1">
        <v>0</v>
      </c>
      <c r="C648" s="1" t="s">
        <v>107</v>
      </c>
      <c r="D648" s="1" t="s">
        <v>27</v>
      </c>
      <c r="E648" s="1" t="s">
        <v>2937</v>
      </c>
      <c r="F648" s="1" t="s">
        <v>2938</v>
      </c>
      <c r="G648" s="1" t="s">
        <v>23</v>
      </c>
      <c r="I648" s="18">
        <v>41815.443124999998</v>
      </c>
      <c r="J648" s="1" t="s">
        <v>2939</v>
      </c>
      <c r="K648" s="1" t="s">
        <v>18</v>
      </c>
      <c r="L648" s="1" t="s">
        <v>19</v>
      </c>
      <c r="Q648" s="21"/>
    </row>
    <row r="649" spans="1:18" x14ac:dyDescent="0.15">
      <c r="A649" s="1">
        <v>387389</v>
      </c>
      <c r="B649" s="1">
        <v>0</v>
      </c>
      <c r="C649" s="1" t="s">
        <v>77</v>
      </c>
      <c r="D649" s="1" t="s">
        <v>27</v>
      </c>
      <c r="E649" s="1" t="s">
        <v>3513</v>
      </c>
      <c r="F649" s="1" t="s">
        <v>3514</v>
      </c>
      <c r="G649" s="1" t="s">
        <v>16</v>
      </c>
      <c r="I649" s="18">
        <v>41811.851261574076</v>
      </c>
      <c r="J649" s="1" t="s">
        <v>1373</v>
      </c>
      <c r="K649" s="1" t="s">
        <v>18</v>
      </c>
      <c r="L649" s="1" t="s">
        <v>19</v>
      </c>
      <c r="Q649" s="21"/>
    </row>
    <row r="650" spans="1:18" x14ac:dyDescent="0.15">
      <c r="A650" s="1">
        <v>387315</v>
      </c>
      <c r="B650" s="1">
        <v>0</v>
      </c>
      <c r="C650" s="1" t="s">
        <v>369</v>
      </c>
      <c r="D650" s="1" t="s">
        <v>27</v>
      </c>
      <c r="E650" s="1" t="s">
        <v>2463</v>
      </c>
      <c r="F650" s="1" t="s">
        <v>2464</v>
      </c>
      <c r="G650" s="1" t="s">
        <v>23</v>
      </c>
      <c r="I650" s="18">
        <v>41811.134247685186</v>
      </c>
      <c r="J650" s="1" t="s">
        <v>17</v>
      </c>
      <c r="K650" s="1" t="s">
        <v>18</v>
      </c>
      <c r="L650" s="1" t="s">
        <v>19</v>
      </c>
      <c r="Q650" s="21"/>
    </row>
    <row r="651" spans="1:18" x14ac:dyDescent="0.15">
      <c r="A651" s="1">
        <v>387031</v>
      </c>
      <c r="B651" s="1">
        <v>1</v>
      </c>
      <c r="D651" s="1" t="s">
        <v>27</v>
      </c>
      <c r="E651" s="1" t="s">
        <v>1779</v>
      </c>
      <c r="F651" s="1" t="s">
        <v>1780</v>
      </c>
      <c r="G651" s="1" t="s">
        <v>23</v>
      </c>
      <c r="I651" s="18">
        <v>41810.561747685184</v>
      </c>
      <c r="J651" s="1" t="s">
        <v>398</v>
      </c>
      <c r="K651" s="1" t="s">
        <v>18</v>
      </c>
      <c r="L651" s="1" t="s">
        <v>19</v>
      </c>
      <c r="M651" s="1">
        <v>387574</v>
      </c>
      <c r="N651" s="1" t="s">
        <v>1781</v>
      </c>
      <c r="O651" s="18">
        <v>41813.324155092596</v>
      </c>
      <c r="P651" s="1" t="s">
        <v>17</v>
      </c>
      <c r="Q651" s="21">
        <f t="shared" ref="Q651:Q700" si="11">ABS(O651-I651)</f>
        <v>2.7624074074119562</v>
      </c>
      <c r="R651" s="1"/>
    </row>
    <row r="652" spans="1:18" x14ac:dyDescent="0.15">
      <c r="A652" s="1">
        <v>387016</v>
      </c>
      <c r="B652" s="1">
        <v>0</v>
      </c>
      <c r="C652" s="1" t="s">
        <v>73</v>
      </c>
      <c r="D652" s="1" t="s">
        <v>27</v>
      </c>
      <c r="E652" s="1" t="s">
        <v>417</v>
      </c>
      <c r="F652" s="1" t="s">
        <v>418</v>
      </c>
      <c r="G652" s="1" t="s">
        <v>23</v>
      </c>
      <c r="I652" s="18">
        <v>41810.514988425923</v>
      </c>
      <c r="J652" s="1" t="s">
        <v>17</v>
      </c>
      <c r="K652" s="1" t="s">
        <v>18</v>
      </c>
      <c r="L652" s="1" t="s">
        <v>19</v>
      </c>
      <c r="Q652" s="21"/>
    </row>
    <row r="653" spans="1:18" x14ac:dyDescent="0.15">
      <c r="A653" s="1">
        <v>386034</v>
      </c>
      <c r="B653" s="1">
        <v>0</v>
      </c>
      <c r="C653" s="1" t="s">
        <v>101</v>
      </c>
      <c r="D653" s="1" t="s">
        <v>27</v>
      </c>
      <c r="E653" s="1" t="s">
        <v>877</v>
      </c>
      <c r="F653" s="1" t="s">
        <v>1563</v>
      </c>
      <c r="G653" s="1" t="s">
        <v>23</v>
      </c>
      <c r="I653" s="18">
        <v>41808.217152777775</v>
      </c>
      <c r="J653" s="1" t="s">
        <v>17</v>
      </c>
      <c r="K653" s="1" t="s">
        <v>18</v>
      </c>
      <c r="L653" s="1" t="s">
        <v>19</v>
      </c>
      <c r="Q653" s="21"/>
    </row>
    <row r="654" spans="1:18" x14ac:dyDescent="0.15">
      <c r="A654" s="1">
        <v>385054</v>
      </c>
      <c r="B654" s="1">
        <v>0</v>
      </c>
      <c r="C654" s="1" t="s">
        <v>101</v>
      </c>
      <c r="D654" s="1" t="s">
        <v>27</v>
      </c>
      <c r="E654" s="1" t="s">
        <v>877</v>
      </c>
      <c r="F654" s="1" t="s">
        <v>878</v>
      </c>
      <c r="G654" s="1" t="s">
        <v>23</v>
      </c>
      <c r="I654" s="18">
        <v>41806.538078703707</v>
      </c>
      <c r="J654" s="1" t="s">
        <v>17</v>
      </c>
      <c r="K654" s="1" t="s">
        <v>18</v>
      </c>
      <c r="L654" s="1" t="s">
        <v>19</v>
      </c>
      <c r="Q654" s="21"/>
    </row>
    <row r="655" spans="1:18" x14ac:dyDescent="0.15">
      <c r="A655" s="1">
        <v>384891</v>
      </c>
      <c r="B655" s="1">
        <v>0</v>
      </c>
      <c r="C655" s="1" t="s">
        <v>12</v>
      </c>
      <c r="D655" s="1" t="s">
        <v>27</v>
      </c>
      <c r="E655" s="1" t="s">
        <v>2986</v>
      </c>
      <c r="F655" s="1" t="s">
        <v>122</v>
      </c>
      <c r="G655" s="1" t="s">
        <v>23</v>
      </c>
      <c r="I655" s="18">
        <v>41805.870023148149</v>
      </c>
      <c r="J655" s="1" t="s">
        <v>17</v>
      </c>
      <c r="K655" s="1" t="s">
        <v>18</v>
      </c>
      <c r="L655" s="1" t="s">
        <v>19</v>
      </c>
      <c r="Q655" s="21"/>
    </row>
    <row r="656" spans="1:18" x14ac:dyDescent="0.15">
      <c r="A656" s="1">
        <v>384662</v>
      </c>
      <c r="B656" s="1">
        <v>0</v>
      </c>
      <c r="C656" s="1" t="s">
        <v>12</v>
      </c>
      <c r="D656" s="1" t="s">
        <v>27</v>
      </c>
      <c r="E656" s="1" t="s">
        <v>2252</v>
      </c>
      <c r="F656" s="1" t="s">
        <v>951</v>
      </c>
      <c r="G656" s="1" t="s">
        <v>23</v>
      </c>
      <c r="I656" s="18">
        <v>41804.039710648147</v>
      </c>
      <c r="J656" s="1" t="s">
        <v>952</v>
      </c>
      <c r="K656" s="1" t="s">
        <v>18</v>
      </c>
      <c r="L656" s="1" t="s">
        <v>19</v>
      </c>
      <c r="Q656" s="21"/>
    </row>
    <row r="657" spans="1:26" x14ac:dyDescent="0.15">
      <c r="A657" s="1">
        <v>383777</v>
      </c>
      <c r="B657" s="1">
        <v>3</v>
      </c>
      <c r="C657" s="1" t="s">
        <v>721</v>
      </c>
      <c r="D657" s="1" t="s">
        <v>27</v>
      </c>
      <c r="E657" s="1" t="s">
        <v>722</v>
      </c>
      <c r="F657" s="1" t="s">
        <v>723</v>
      </c>
      <c r="G657" s="1" t="s">
        <v>23</v>
      </c>
      <c r="I657" s="18">
        <v>41802.406331018516</v>
      </c>
      <c r="J657" s="1" t="s">
        <v>724</v>
      </c>
      <c r="K657" s="1" t="s">
        <v>18</v>
      </c>
      <c r="L657" s="1" t="s">
        <v>19</v>
      </c>
      <c r="M657" s="1">
        <v>447572</v>
      </c>
      <c r="N657" s="1" t="s">
        <v>725</v>
      </c>
      <c r="O657" s="18">
        <v>42013.552743055552</v>
      </c>
      <c r="P657" s="1" t="s">
        <v>408</v>
      </c>
      <c r="Q657" s="21">
        <f t="shared" si="11"/>
        <v>211.1464120370365</v>
      </c>
      <c r="R657" s="1">
        <v>446517</v>
      </c>
      <c r="S657" s="1" t="s">
        <v>725</v>
      </c>
      <c r="T657" s="4" t="s">
        <v>4141</v>
      </c>
      <c r="U657" s="1" t="s">
        <v>726</v>
      </c>
      <c r="V657" s="1">
        <v>406870</v>
      </c>
      <c r="W657" s="1" t="s">
        <v>725</v>
      </c>
      <c r="X657" s="2" t="s">
        <v>4142</v>
      </c>
      <c r="Y657" s="1" t="s">
        <v>17</v>
      </c>
      <c r="Z657" s="1"/>
    </row>
    <row r="658" spans="1:26" x14ac:dyDescent="0.15">
      <c r="A658" s="1">
        <v>383704</v>
      </c>
      <c r="B658" s="1">
        <v>0</v>
      </c>
      <c r="D658" s="1" t="s">
        <v>27</v>
      </c>
      <c r="E658" s="1" t="s">
        <v>2286</v>
      </c>
      <c r="F658" s="1" t="s">
        <v>2287</v>
      </c>
      <c r="G658" s="1" t="s">
        <v>23</v>
      </c>
      <c r="I658" s="18">
        <v>41802.125335648147</v>
      </c>
      <c r="J658" s="1" t="s">
        <v>155</v>
      </c>
      <c r="K658" s="1" t="s">
        <v>18</v>
      </c>
      <c r="L658" s="1" t="s">
        <v>19</v>
      </c>
      <c r="Q658" s="21"/>
    </row>
    <row r="659" spans="1:26" x14ac:dyDescent="0.15">
      <c r="A659" s="1">
        <v>383703</v>
      </c>
      <c r="B659" s="1">
        <v>1</v>
      </c>
      <c r="D659" s="1" t="s">
        <v>27</v>
      </c>
      <c r="E659" s="1" t="s">
        <v>2863</v>
      </c>
      <c r="F659" s="1" t="s">
        <v>2864</v>
      </c>
      <c r="G659" s="1" t="s">
        <v>23</v>
      </c>
      <c r="I659" s="18">
        <v>41802.124710648146</v>
      </c>
      <c r="J659" s="1" t="s">
        <v>155</v>
      </c>
      <c r="K659" s="1" t="s">
        <v>18</v>
      </c>
      <c r="L659" s="1" t="s">
        <v>19</v>
      </c>
      <c r="M659" s="1">
        <v>387165</v>
      </c>
      <c r="N659" s="1" t="s">
        <v>2865</v>
      </c>
      <c r="O659" s="18">
        <v>41810.80877314815</v>
      </c>
      <c r="P659" s="1" t="s">
        <v>80</v>
      </c>
      <c r="Q659" s="21">
        <f t="shared" si="11"/>
        <v>8.6840625000040745</v>
      </c>
    </row>
    <row r="660" spans="1:26" x14ac:dyDescent="0.15">
      <c r="A660" s="1">
        <v>382667</v>
      </c>
      <c r="B660" s="1">
        <v>0</v>
      </c>
      <c r="C660" s="1" t="s">
        <v>12</v>
      </c>
      <c r="D660" s="1" t="s">
        <v>27</v>
      </c>
      <c r="E660" s="1" t="s">
        <v>1606</v>
      </c>
      <c r="F660" s="1" t="s">
        <v>1607</v>
      </c>
      <c r="G660" s="1" t="s">
        <v>23</v>
      </c>
      <c r="I660" s="18">
        <v>41799.878298611111</v>
      </c>
      <c r="J660" s="1" t="s">
        <v>1608</v>
      </c>
      <c r="K660" s="1" t="s">
        <v>18</v>
      </c>
      <c r="L660" s="1" t="s">
        <v>19</v>
      </c>
      <c r="Q660" s="21"/>
    </row>
    <row r="661" spans="1:26" x14ac:dyDescent="0.15">
      <c r="A661" s="1">
        <v>382656</v>
      </c>
      <c r="B661" s="1">
        <v>0</v>
      </c>
      <c r="C661" s="1" t="s">
        <v>12</v>
      </c>
      <c r="D661" s="1" t="s">
        <v>27</v>
      </c>
      <c r="E661" s="1" t="s">
        <v>950</v>
      </c>
      <c r="F661" s="1" t="s">
        <v>951</v>
      </c>
      <c r="G661" s="1" t="s">
        <v>23</v>
      </c>
      <c r="I661" s="18">
        <v>41799.861354166664</v>
      </c>
      <c r="J661" s="1" t="s">
        <v>952</v>
      </c>
      <c r="K661" s="1" t="s">
        <v>18</v>
      </c>
      <c r="L661" s="1" t="s">
        <v>19</v>
      </c>
      <c r="Q661" s="21"/>
    </row>
    <row r="662" spans="1:26" x14ac:dyDescent="0.15">
      <c r="A662" s="1">
        <v>382606</v>
      </c>
      <c r="B662" s="1">
        <v>0</v>
      </c>
      <c r="C662" s="1" t="s">
        <v>12</v>
      </c>
      <c r="D662" s="1" t="s">
        <v>27</v>
      </c>
      <c r="E662" s="1" t="s">
        <v>1225</v>
      </c>
      <c r="F662" s="1" t="s">
        <v>951</v>
      </c>
      <c r="G662" s="1" t="s">
        <v>23</v>
      </c>
      <c r="I662" s="18">
        <v>41799.796782407408</v>
      </c>
      <c r="J662" s="1" t="s">
        <v>952</v>
      </c>
      <c r="K662" s="1" t="s">
        <v>18</v>
      </c>
      <c r="L662" s="1" t="s">
        <v>19</v>
      </c>
      <c r="Q662" s="21"/>
    </row>
    <row r="663" spans="1:26" x14ac:dyDescent="0.15">
      <c r="A663" s="1">
        <v>382601</v>
      </c>
      <c r="B663" s="1">
        <v>0</v>
      </c>
      <c r="C663" s="1" t="s">
        <v>12</v>
      </c>
      <c r="D663" s="1" t="s">
        <v>27</v>
      </c>
      <c r="E663" s="1" t="s">
        <v>1223</v>
      </c>
      <c r="F663" s="1" t="s">
        <v>1224</v>
      </c>
      <c r="G663" s="1" t="s">
        <v>23</v>
      </c>
      <c r="I663" s="18">
        <v>41799.789629629631</v>
      </c>
      <c r="J663" s="1" t="s">
        <v>952</v>
      </c>
      <c r="K663" s="1" t="s">
        <v>18</v>
      </c>
      <c r="L663" s="1" t="s">
        <v>19</v>
      </c>
      <c r="Q663" s="21"/>
    </row>
    <row r="664" spans="1:26" x14ac:dyDescent="0.15">
      <c r="A664" s="1">
        <v>382243</v>
      </c>
      <c r="B664" s="1">
        <v>0</v>
      </c>
      <c r="C664" s="1" t="s">
        <v>12</v>
      </c>
      <c r="D664" s="1" t="s">
        <v>27</v>
      </c>
      <c r="E664" s="1" t="s">
        <v>2906</v>
      </c>
      <c r="F664" s="1" t="s">
        <v>2907</v>
      </c>
      <c r="G664" s="1" t="s">
        <v>23</v>
      </c>
      <c r="I664" s="18">
        <v>41798.66678240741</v>
      </c>
      <c r="J664" s="1" t="s">
        <v>17</v>
      </c>
      <c r="K664" s="1" t="s">
        <v>18</v>
      </c>
      <c r="L664" s="1" t="s">
        <v>19</v>
      </c>
      <c r="Q664" s="21"/>
    </row>
    <row r="665" spans="1:26" x14ac:dyDescent="0.15">
      <c r="A665" s="1">
        <v>382242</v>
      </c>
      <c r="B665" s="1">
        <v>0</v>
      </c>
      <c r="C665" s="1" t="s">
        <v>12</v>
      </c>
      <c r="D665" s="1" t="s">
        <v>27</v>
      </c>
      <c r="E665" s="1" t="s">
        <v>3103</v>
      </c>
      <c r="F665" s="1" t="s">
        <v>2907</v>
      </c>
      <c r="G665" s="1" t="s">
        <v>23</v>
      </c>
      <c r="I665" s="18">
        <v>41798.665532407409</v>
      </c>
      <c r="J665" s="1" t="s">
        <v>17</v>
      </c>
      <c r="K665" s="1" t="s">
        <v>18</v>
      </c>
      <c r="L665" s="1" t="s">
        <v>19</v>
      </c>
      <c r="Q665" s="21"/>
    </row>
    <row r="666" spans="1:26" x14ac:dyDescent="0.15">
      <c r="A666" s="1">
        <v>382241</v>
      </c>
      <c r="B666" s="1">
        <v>0</v>
      </c>
      <c r="C666" s="1" t="s">
        <v>12</v>
      </c>
      <c r="D666" s="1" t="s">
        <v>27</v>
      </c>
      <c r="E666" s="1" t="s">
        <v>3465</v>
      </c>
      <c r="F666" s="1" t="s">
        <v>2907</v>
      </c>
      <c r="G666" s="1" t="s">
        <v>23</v>
      </c>
      <c r="I666" s="18">
        <v>41798.664930555555</v>
      </c>
      <c r="J666" s="1" t="s">
        <v>17</v>
      </c>
      <c r="K666" s="1" t="s">
        <v>18</v>
      </c>
      <c r="L666" s="1" t="s">
        <v>19</v>
      </c>
      <c r="Q666" s="21"/>
    </row>
    <row r="667" spans="1:26" x14ac:dyDescent="0.15">
      <c r="A667" s="1">
        <v>382239</v>
      </c>
      <c r="B667" s="1">
        <v>1</v>
      </c>
      <c r="C667" s="1" t="s">
        <v>12</v>
      </c>
      <c r="D667" s="1" t="s">
        <v>27</v>
      </c>
      <c r="E667" s="1" t="s">
        <v>994</v>
      </c>
      <c r="F667" s="1" t="s">
        <v>995</v>
      </c>
      <c r="G667" s="1" t="s">
        <v>23</v>
      </c>
      <c r="I667" s="18">
        <v>41798.663530092592</v>
      </c>
      <c r="J667" s="1" t="s">
        <v>17</v>
      </c>
      <c r="K667" s="1" t="s">
        <v>18</v>
      </c>
      <c r="L667" s="1" t="s">
        <v>19</v>
      </c>
      <c r="M667" s="1">
        <v>424053</v>
      </c>
      <c r="N667" s="1" t="s">
        <v>996</v>
      </c>
      <c r="O667" s="18">
        <v>41928.259895833333</v>
      </c>
      <c r="P667" s="1" t="s">
        <v>997</v>
      </c>
      <c r="Q667" s="21">
        <f t="shared" si="11"/>
        <v>129.59636574074102</v>
      </c>
      <c r="R667" s="1"/>
    </row>
    <row r="668" spans="1:26" x14ac:dyDescent="0.15">
      <c r="A668" s="1">
        <v>382121</v>
      </c>
      <c r="B668" s="1">
        <v>0</v>
      </c>
      <c r="C668" s="1" t="s">
        <v>1426</v>
      </c>
      <c r="D668" s="1" t="s">
        <v>27</v>
      </c>
      <c r="E668" s="1" t="s">
        <v>1427</v>
      </c>
      <c r="F668" s="1" t="s">
        <v>1428</v>
      </c>
      <c r="G668" s="1" t="s">
        <v>23</v>
      </c>
      <c r="I668" s="18">
        <v>41797.614907407406</v>
      </c>
      <c r="J668" s="1" t="s">
        <v>17</v>
      </c>
      <c r="K668" s="1" t="s">
        <v>18</v>
      </c>
      <c r="L668" s="1" t="s">
        <v>19</v>
      </c>
      <c r="Q668" s="21"/>
    </row>
    <row r="669" spans="1:26" x14ac:dyDescent="0.15">
      <c r="A669" s="1">
        <v>379998</v>
      </c>
      <c r="B669" s="1">
        <v>0</v>
      </c>
      <c r="C669" s="1" t="s">
        <v>280</v>
      </c>
      <c r="D669" s="1" t="s">
        <v>27</v>
      </c>
      <c r="E669" s="1" t="s">
        <v>3014</v>
      </c>
      <c r="F669" s="1" t="s">
        <v>3015</v>
      </c>
      <c r="G669" s="1" t="s">
        <v>23</v>
      </c>
      <c r="I669" s="18">
        <v>41793.07</v>
      </c>
      <c r="J669" s="1" t="s">
        <v>17</v>
      </c>
      <c r="K669" s="1" t="s">
        <v>18</v>
      </c>
      <c r="L669" s="1" t="s">
        <v>19</v>
      </c>
      <c r="Q669" s="21"/>
    </row>
    <row r="670" spans="1:26" x14ac:dyDescent="0.15">
      <c r="A670" s="1">
        <v>379799</v>
      </c>
      <c r="B670" s="1">
        <v>0</v>
      </c>
      <c r="C670" s="1" t="s">
        <v>424</v>
      </c>
      <c r="D670" s="1" t="s">
        <v>27</v>
      </c>
      <c r="E670" s="1" t="s">
        <v>425</v>
      </c>
      <c r="F670" s="1" t="s">
        <v>426</v>
      </c>
      <c r="G670" s="1" t="s">
        <v>23</v>
      </c>
      <c r="I670" s="18">
        <v>41792.691041666665</v>
      </c>
      <c r="J670" s="1" t="s">
        <v>17</v>
      </c>
      <c r="K670" s="1" t="s">
        <v>18</v>
      </c>
      <c r="L670" s="1" t="s">
        <v>19</v>
      </c>
      <c r="Q670" s="21"/>
    </row>
    <row r="671" spans="1:26" x14ac:dyDescent="0.15">
      <c r="A671" s="1">
        <v>379656</v>
      </c>
      <c r="B671" s="1">
        <v>0</v>
      </c>
      <c r="C671" s="1" t="s">
        <v>12</v>
      </c>
      <c r="D671" s="1" t="s">
        <v>27</v>
      </c>
      <c r="E671" s="1" t="s">
        <v>3167</v>
      </c>
      <c r="F671" s="1" t="s">
        <v>951</v>
      </c>
      <c r="G671" s="1" t="s">
        <v>23</v>
      </c>
      <c r="I671" s="18">
        <v>41792.309571759259</v>
      </c>
      <c r="J671" s="1" t="s">
        <v>3168</v>
      </c>
      <c r="K671" s="1" t="s">
        <v>18</v>
      </c>
      <c r="L671" s="1" t="s">
        <v>19</v>
      </c>
      <c r="Q671" s="21"/>
    </row>
    <row r="672" spans="1:26" x14ac:dyDescent="0.15">
      <c r="A672" s="1">
        <v>377416</v>
      </c>
      <c r="B672" s="1">
        <v>0</v>
      </c>
      <c r="C672" s="1" t="s">
        <v>527</v>
      </c>
      <c r="D672" s="1" t="s">
        <v>27</v>
      </c>
      <c r="E672" s="1" t="s">
        <v>1197</v>
      </c>
      <c r="F672" s="1" t="s">
        <v>2288</v>
      </c>
      <c r="G672" s="1" t="s">
        <v>813</v>
      </c>
      <c r="H672" s="1"/>
      <c r="I672" s="18">
        <v>41785.415729166663</v>
      </c>
      <c r="J672" s="1" t="s">
        <v>17</v>
      </c>
      <c r="K672" s="1" t="s">
        <v>18</v>
      </c>
      <c r="L672" s="1" t="s">
        <v>19</v>
      </c>
      <c r="Q672" s="21"/>
    </row>
    <row r="673" spans="1:41" x14ac:dyDescent="0.15">
      <c r="A673" s="1">
        <v>377392</v>
      </c>
      <c r="B673" s="1">
        <v>0</v>
      </c>
      <c r="D673" s="1" t="s">
        <v>3714</v>
      </c>
      <c r="E673" s="1" t="s">
        <v>3855</v>
      </c>
      <c r="F673" s="1" t="s">
        <v>3856</v>
      </c>
      <c r="G673" s="1" t="s">
        <v>3821</v>
      </c>
      <c r="I673" s="18">
        <v>41785.333402777775</v>
      </c>
      <c r="J673" s="1" t="s">
        <v>151</v>
      </c>
      <c r="K673" s="1" t="s">
        <v>18</v>
      </c>
      <c r="L673" s="1" t="s">
        <v>19</v>
      </c>
      <c r="Q673" s="21"/>
    </row>
    <row r="674" spans="1:41" x14ac:dyDescent="0.15">
      <c r="A674" s="1">
        <v>375385</v>
      </c>
      <c r="B674" s="1">
        <v>0</v>
      </c>
      <c r="D674" s="1" t="s">
        <v>3911</v>
      </c>
      <c r="E674" s="1" t="s">
        <v>3966</v>
      </c>
      <c r="F674" s="1" t="s">
        <v>3967</v>
      </c>
      <c r="G674" s="1" t="s">
        <v>353</v>
      </c>
      <c r="I674" s="18">
        <v>41779.778240740743</v>
      </c>
      <c r="J674" s="1" t="s">
        <v>3968</v>
      </c>
      <c r="K674" s="1" t="s">
        <v>18</v>
      </c>
      <c r="L674" s="1" t="s">
        <v>19</v>
      </c>
      <c r="Q674" s="21"/>
    </row>
    <row r="675" spans="1:41" x14ac:dyDescent="0.15">
      <c r="A675" s="1">
        <v>374665</v>
      </c>
      <c r="B675" s="1">
        <v>0</v>
      </c>
      <c r="C675" s="1" t="s">
        <v>1391</v>
      </c>
      <c r="D675" s="1" t="s">
        <v>27</v>
      </c>
      <c r="E675" s="1" t="s">
        <v>3539</v>
      </c>
      <c r="F675" s="1" t="s">
        <v>1428</v>
      </c>
      <c r="G675" s="1" t="s">
        <v>23</v>
      </c>
      <c r="I675" s="18">
        <v>41778.084710648145</v>
      </c>
      <c r="J675" s="1" t="s">
        <v>17</v>
      </c>
      <c r="K675" s="1" t="s">
        <v>18</v>
      </c>
      <c r="L675" s="1" t="s">
        <v>19</v>
      </c>
      <c r="Q675" s="21"/>
    </row>
    <row r="676" spans="1:41" x14ac:dyDescent="0.15">
      <c r="A676" s="1">
        <v>372411</v>
      </c>
      <c r="B676" s="1">
        <v>0</v>
      </c>
      <c r="C676" s="1" t="s">
        <v>12</v>
      </c>
      <c r="D676" s="1" t="s">
        <v>27</v>
      </c>
      <c r="E676" s="1" t="s">
        <v>1509</v>
      </c>
      <c r="F676" s="1" t="s">
        <v>1510</v>
      </c>
      <c r="G676" s="1" t="s">
        <v>23</v>
      </c>
      <c r="I676" s="18">
        <v>41771.631180555552</v>
      </c>
      <c r="J676" s="1" t="s">
        <v>17</v>
      </c>
      <c r="K676" s="1" t="s">
        <v>18</v>
      </c>
      <c r="L676" s="1" t="s">
        <v>19</v>
      </c>
      <c r="Q676" s="21"/>
    </row>
    <row r="677" spans="1:41" x14ac:dyDescent="0.15">
      <c r="A677" s="1">
        <v>371380</v>
      </c>
      <c r="B677" s="1">
        <v>0</v>
      </c>
      <c r="C677" s="1" t="s">
        <v>12</v>
      </c>
      <c r="D677" s="1" t="s">
        <v>27</v>
      </c>
      <c r="E677" s="1" t="s">
        <v>3426</v>
      </c>
      <c r="F677" s="1" t="s">
        <v>3427</v>
      </c>
      <c r="G677" s="1" t="s">
        <v>23</v>
      </c>
      <c r="I677" s="18">
        <v>41767.63484953704</v>
      </c>
      <c r="J677" s="1" t="s">
        <v>17</v>
      </c>
      <c r="K677" s="1" t="s">
        <v>18</v>
      </c>
      <c r="L677" s="1" t="s">
        <v>19</v>
      </c>
      <c r="Q677" s="21"/>
    </row>
    <row r="678" spans="1:41" x14ac:dyDescent="0.15">
      <c r="A678" s="1">
        <v>369860</v>
      </c>
      <c r="B678" s="1">
        <v>0</v>
      </c>
      <c r="C678" s="1" t="s">
        <v>280</v>
      </c>
      <c r="D678" s="1" t="s">
        <v>27</v>
      </c>
      <c r="E678" s="1" t="s">
        <v>2152</v>
      </c>
      <c r="F678" s="1" t="s">
        <v>2153</v>
      </c>
      <c r="G678" s="1" t="s">
        <v>23</v>
      </c>
      <c r="I678" s="18">
        <v>41763.609814814816</v>
      </c>
      <c r="J678" s="1" t="s">
        <v>68</v>
      </c>
      <c r="K678" s="1" t="s">
        <v>18</v>
      </c>
      <c r="L678" s="1" t="s">
        <v>19</v>
      </c>
      <c r="Q678" s="21"/>
    </row>
    <row r="679" spans="1:41" x14ac:dyDescent="0.15">
      <c r="A679" s="1">
        <v>369808</v>
      </c>
      <c r="B679" s="1">
        <v>0</v>
      </c>
      <c r="C679" s="1" t="s">
        <v>65</v>
      </c>
      <c r="D679" s="1" t="s">
        <v>27</v>
      </c>
      <c r="E679" s="1" t="s">
        <v>827</v>
      </c>
      <c r="F679" s="1" t="s">
        <v>828</v>
      </c>
      <c r="G679" s="1" t="s">
        <v>23</v>
      </c>
      <c r="I679" s="18">
        <v>41762.663923611108</v>
      </c>
      <c r="J679" s="1" t="s">
        <v>17</v>
      </c>
      <c r="K679" s="1" t="s">
        <v>18</v>
      </c>
      <c r="L679" s="1" t="s">
        <v>19</v>
      </c>
      <c r="Q679" s="21"/>
    </row>
    <row r="680" spans="1:41" x14ac:dyDescent="0.15">
      <c r="A680" s="1">
        <v>369525</v>
      </c>
      <c r="B680" s="1">
        <v>0</v>
      </c>
      <c r="C680" s="1" t="s">
        <v>1100</v>
      </c>
      <c r="D680" s="1" t="s">
        <v>27</v>
      </c>
      <c r="E680" s="1" t="s">
        <v>1101</v>
      </c>
      <c r="F680" s="1" t="s">
        <v>1102</v>
      </c>
      <c r="G680" s="1"/>
      <c r="H680" s="1"/>
      <c r="I680" s="18">
        <v>41761.688402777778</v>
      </c>
      <c r="J680" s="1" t="s">
        <v>860</v>
      </c>
      <c r="K680" s="1" t="s">
        <v>18</v>
      </c>
      <c r="L680" s="1" t="s">
        <v>19</v>
      </c>
      <c r="Q680" s="21"/>
    </row>
    <row r="681" spans="1:41" x14ac:dyDescent="0.15">
      <c r="A681" s="1">
        <v>368980</v>
      </c>
      <c r="B681" s="1">
        <v>0</v>
      </c>
      <c r="C681" s="1" t="s">
        <v>50</v>
      </c>
      <c r="D681" s="1" t="s">
        <v>27</v>
      </c>
      <c r="E681" s="1" t="s">
        <v>3209</v>
      </c>
      <c r="F681" s="1" t="s">
        <v>3210</v>
      </c>
      <c r="G681" s="1" t="s">
        <v>23</v>
      </c>
      <c r="I681" s="18">
        <v>41760.186909722222</v>
      </c>
      <c r="J681" s="1" t="s">
        <v>17</v>
      </c>
      <c r="K681" s="1" t="s">
        <v>18</v>
      </c>
      <c r="L681" s="1" t="s">
        <v>19</v>
      </c>
      <c r="Q681" s="21"/>
    </row>
    <row r="682" spans="1:41" x14ac:dyDescent="0.15">
      <c r="A682" s="1">
        <v>368978</v>
      </c>
      <c r="B682" s="1">
        <v>0</v>
      </c>
      <c r="C682" s="1" t="s">
        <v>923</v>
      </c>
      <c r="D682" s="1" t="s">
        <v>27</v>
      </c>
      <c r="E682" s="1" t="s">
        <v>2960</v>
      </c>
      <c r="F682" s="1" t="s">
        <v>1595</v>
      </c>
      <c r="G682" s="1" t="s">
        <v>23</v>
      </c>
      <c r="I682" s="18">
        <v>41760.185231481482</v>
      </c>
      <c r="J682" s="1" t="s">
        <v>17</v>
      </c>
      <c r="K682" s="1" t="s">
        <v>18</v>
      </c>
      <c r="L682" s="1" t="s">
        <v>19</v>
      </c>
      <c r="Q682" s="21"/>
    </row>
    <row r="683" spans="1:41" x14ac:dyDescent="0.15">
      <c r="A683" s="1">
        <v>368104</v>
      </c>
      <c r="B683" s="1">
        <v>0</v>
      </c>
      <c r="C683" s="1" t="s">
        <v>50</v>
      </c>
      <c r="D683" s="1" t="s">
        <v>3911</v>
      </c>
      <c r="E683" s="1" t="s">
        <v>4048</v>
      </c>
      <c r="F683" s="1" t="s">
        <v>4049</v>
      </c>
      <c r="G683" s="1" t="s">
        <v>353</v>
      </c>
      <c r="I683" s="18">
        <v>41758.120995370373</v>
      </c>
      <c r="J683" s="1" t="s">
        <v>17</v>
      </c>
      <c r="K683" s="1" t="s">
        <v>18</v>
      </c>
      <c r="L683" s="1" t="s">
        <v>19</v>
      </c>
      <c r="Q683" s="21"/>
    </row>
    <row r="684" spans="1:41" x14ac:dyDescent="0.15">
      <c r="A684" s="1">
        <v>367988</v>
      </c>
      <c r="B684" s="1">
        <v>0</v>
      </c>
      <c r="C684" s="1" t="s">
        <v>50</v>
      </c>
      <c r="D684" s="1" t="s">
        <v>3911</v>
      </c>
      <c r="E684" s="1" t="s">
        <v>3988</v>
      </c>
      <c r="F684" s="1" t="s">
        <v>3989</v>
      </c>
      <c r="G684" s="1" t="s">
        <v>353</v>
      </c>
      <c r="I684" s="18">
        <v>41757.896805555552</v>
      </c>
      <c r="J684" s="1" t="s">
        <v>17</v>
      </c>
      <c r="K684" s="1" t="s">
        <v>18</v>
      </c>
      <c r="L684" s="1" t="s">
        <v>19</v>
      </c>
      <c r="Q684" s="21"/>
    </row>
    <row r="685" spans="1:41" x14ac:dyDescent="0.15">
      <c r="A685" s="1">
        <v>367544</v>
      </c>
      <c r="B685" s="1">
        <v>0</v>
      </c>
      <c r="C685" s="1" t="s">
        <v>12</v>
      </c>
      <c r="D685" s="1" t="s">
        <v>27</v>
      </c>
      <c r="E685" s="1" t="s">
        <v>2590</v>
      </c>
      <c r="F685" s="1" t="s">
        <v>89</v>
      </c>
      <c r="G685" s="1" t="s">
        <v>23</v>
      </c>
      <c r="I685" s="18">
        <v>41756.726087962961</v>
      </c>
      <c r="J685" s="1" t="s">
        <v>17</v>
      </c>
      <c r="K685" s="1" t="s">
        <v>18</v>
      </c>
      <c r="L685" s="1" t="s">
        <v>19</v>
      </c>
      <c r="Q685" s="21"/>
    </row>
    <row r="686" spans="1:41" x14ac:dyDescent="0.15">
      <c r="A686" s="1">
        <v>366947</v>
      </c>
      <c r="B686" s="1">
        <v>7</v>
      </c>
      <c r="C686" s="1" t="s">
        <v>2605</v>
      </c>
      <c r="D686" s="1" t="s">
        <v>27</v>
      </c>
      <c r="E686" s="1" t="s">
        <v>2606</v>
      </c>
      <c r="F686" s="1" t="s">
        <v>2607</v>
      </c>
      <c r="G686" s="1" t="s">
        <v>23</v>
      </c>
      <c r="I686" s="18">
        <v>41754.020462962966</v>
      </c>
      <c r="J686" s="1" t="s">
        <v>2608</v>
      </c>
      <c r="K686" s="1" t="s">
        <v>18</v>
      </c>
      <c r="L686" s="1" t="s">
        <v>19</v>
      </c>
      <c r="M686" s="1">
        <v>388770</v>
      </c>
      <c r="N686" s="1" t="s">
        <v>2609</v>
      </c>
      <c r="O686" s="18">
        <v>41815.656238425923</v>
      </c>
      <c r="P686" s="1" t="s">
        <v>2610</v>
      </c>
      <c r="Q686" s="21">
        <f t="shared" si="11"/>
        <v>61.635775462957099</v>
      </c>
      <c r="R686" s="1">
        <v>385533</v>
      </c>
      <c r="S686" s="1" t="s">
        <v>2609</v>
      </c>
      <c r="T686" s="2" t="s">
        <v>4175</v>
      </c>
      <c r="U686" s="1" t="s">
        <v>2611</v>
      </c>
      <c r="V686" s="1">
        <v>377187</v>
      </c>
      <c r="W686" s="1" t="s">
        <v>2609</v>
      </c>
      <c r="X686" s="3" t="s">
        <v>4176</v>
      </c>
      <c r="Y686" s="1" t="s">
        <v>2612</v>
      </c>
      <c r="Z686" s="1">
        <v>376689</v>
      </c>
      <c r="AA686" s="1" t="s">
        <v>2609</v>
      </c>
      <c r="AB686" s="3" t="s">
        <v>4177</v>
      </c>
      <c r="AC686" s="1" t="s">
        <v>2613</v>
      </c>
      <c r="AD686" s="1">
        <v>374334</v>
      </c>
      <c r="AE686" s="1" t="s">
        <v>2609</v>
      </c>
      <c r="AF686" s="3" t="s">
        <v>4178</v>
      </c>
      <c r="AG686" s="1" t="s">
        <v>2614</v>
      </c>
      <c r="AH686" s="1">
        <v>371752</v>
      </c>
      <c r="AI686" s="1" t="s">
        <v>2609</v>
      </c>
      <c r="AJ686" s="5" t="s">
        <v>4179</v>
      </c>
      <c r="AK686" s="1" t="s">
        <v>2615</v>
      </c>
      <c r="AL686" s="1">
        <v>368427</v>
      </c>
      <c r="AM686" s="1" t="s">
        <v>2609</v>
      </c>
      <c r="AN686" s="2" t="s">
        <v>4180</v>
      </c>
      <c r="AO686" s="1" t="s">
        <v>2616</v>
      </c>
    </row>
    <row r="687" spans="1:41" x14ac:dyDescent="0.15">
      <c r="A687" s="13">
        <v>366695</v>
      </c>
      <c r="B687" s="13">
        <v>0</v>
      </c>
      <c r="C687" s="13" t="s">
        <v>12</v>
      </c>
      <c r="D687" s="13" t="s">
        <v>4082</v>
      </c>
      <c r="E687" s="13" t="s">
        <v>4083</v>
      </c>
      <c r="F687" s="13" t="s">
        <v>4084</v>
      </c>
      <c r="G687" s="13" t="s">
        <v>23</v>
      </c>
      <c r="H687" s="13">
        <v>359881</v>
      </c>
      <c r="I687" s="23">
        <v>41753.665393518517</v>
      </c>
      <c r="J687" s="13" t="s">
        <v>17</v>
      </c>
      <c r="K687" s="13" t="s">
        <v>18</v>
      </c>
      <c r="L687" s="13" t="s">
        <v>19</v>
      </c>
      <c r="M687" s="13" t="s">
        <v>4085</v>
      </c>
      <c r="Q687" s="21"/>
    </row>
    <row r="688" spans="1:41" x14ac:dyDescent="0.15">
      <c r="A688" s="1">
        <v>366694</v>
      </c>
      <c r="B688" s="1">
        <v>0</v>
      </c>
      <c r="C688" s="1" t="s">
        <v>12</v>
      </c>
      <c r="D688" s="1" t="s">
        <v>27</v>
      </c>
      <c r="E688" s="1" t="s">
        <v>88</v>
      </c>
      <c r="F688" s="1" t="s">
        <v>89</v>
      </c>
      <c r="G688" s="1" t="s">
        <v>23</v>
      </c>
      <c r="I688" s="18">
        <v>41753.665370370371</v>
      </c>
      <c r="J688" s="1" t="s">
        <v>17</v>
      </c>
      <c r="K688" s="1" t="s">
        <v>18</v>
      </c>
      <c r="L688" s="1" t="s">
        <v>19</v>
      </c>
      <c r="Q688" s="21"/>
    </row>
    <row r="689" spans="1:18" x14ac:dyDescent="0.15">
      <c r="A689" s="1">
        <v>366689</v>
      </c>
      <c r="B689" s="1">
        <v>0</v>
      </c>
      <c r="C689" s="1" t="s">
        <v>12</v>
      </c>
      <c r="D689" s="1" t="s">
        <v>27</v>
      </c>
      <c r="E689" s="1" t="s">
        <v>2975</v>
      </c>
      <c r="F689" s="1" t="s">
        <v>89</v>
      </c>
      <c r="G689" s="1" t="s">
        <v>23</v>
      </c>
      <c r="I689" s="18">
        <v>41753.66505787037</v>
      </c>
      <c r="J689" s="1" t="s">
        <v>17</v>
      </c>
      <c r="K689" s="1" t="s">
        <v>18</v>
      </c>
      <c r="L689" s="1" t="s">
        <v>19</v>
      </c>
      <c r="Q689" s="21"/>
    </row>
    <row r="690" spans="1:18" x14ac:dyDescent="0.15">
      <c r="A690" s="1">
        <v>366683</v>
      </c>
      <c r="B690" s="1">
        <v>0</v>
      </c>
      <c r="C690" s="1" t="s">
        <v>12</v>
      </c>
      <c r="D690" s="1" t="s">
        <v>27</v>
      </c>
      <c r="E690" s="1" t="s">
        <v>2672</v>
      </c>
      <c r="F690" s="1" t="s">
        <v>89</v>
      </c>
      <c r="G690" s="1" t="s">
        <v>23</v>
      </c>
      <c r="I690" s="18">
        <v>41753.664641203701</v>
      </c>
      <c r="J690" s="1" t="s">
        <v>17</v>
      </c>
      <c r="K690" s="1" t="s">
        <v>18</v>
      </c>
      <c r="L690" s="1" t="s">
        <v>19</v>
      </c>
      <c r="Q690" s="21"/>
    </row>
    <row r="691" spans="1:18" x14ac:dyDescent="0.15">
      <c r="A691" s="1">
        <v>366681</v>
      </c>
      <c r="B691" s="1">
        <v>0</v>
      </c>
      <c r="C691" s="1" t="s">
        <v>12</v>
      </c>
      <c r="D691" s="1" t="s">
        <v>27</v>
      </c>
      <c r="E691" s="1" t="s">
        <v>2971</v>
      </c>
      <c r="F691" s="1" t="s">
        <v>89</v>
      </c>
      <c r="G691" s="1" t="s">
        <v>23</v>
      </c>
      <c r="I691" s="18">
        <v>41753.66443287037</v>
      </c>
      <c r="J691" s="1" t="s">
        <v>17</v>
      </c>
      <c r="K691" s="1" t="s">
        <v>18</v>
      </c>
      <c r="L691" s="1" t="s">
        <v>19</v>
      </c>
      <c r="Q691" s="21"/>
    </row>
    <row r="692" spans="1:18" x14ac:dyDescent="0.15">
      <c r="A692" s="1">
        <v>366510</v>
      </c>
      <c r="B692" s="1">
        <v>0</v>
      </c>
      <c r="D692" s="1" t="s">
        <v>27</v>
      </c>
      <c r="E692" s="1" t="s">
        <v>2668</v>
      </c>
      <c r="F692" s="1" t="s">
        <v>2669</v>
      </c>
      <c r="G692" s="1" t="s">
        <v>23</v>
      </c>
      <c r="I692" s="18">
        <v>41753.248437499999</v>
      </c>
      <c r="J692" s="1" t="s">
        <v>17</v>
      </c>
      <c r="K692" s="1" t="s">
        <v>18</v>
      </c>
      <c r="L692" s="1" t="s">
        <v>19</v>
      </c>
      <c r="Q692" s="21"/>
    </row>
    <row r="693" spans="1:18" x14ac:dyDescent="0.15">
      <c r="A693" s="1">
        <v>364511</v>
      </c>
      <c r="B693" s="1">
        <v>0</v>
      </c>
      <c r="D693" s="1" t="s">
        <v>3714</v>
      </c>
      <c r="E693" s="1" t="s">
        <v>3845</v>
      </c>
      <c r="F693" s="1" t="s">
        <v>3846</v>
      </c>
      <c r="G693" s="1" t="s">
        <v>1056</v>
      </c>
      <c r="I693" s="18">
        <v>41746.649421296293</v>
      </c>
      <c r="J693" s="1" t="s">
        <v>40</v>
      </c>
      <c r="K693" s="1" t="s">
        <v>18</v>
      </c>
      <c r="L693" s="1" t="s">
        <v>19</v>
      </c>
      <c r="Q693" s="21"/>
    </row>
    <row r="694" spans="1:18" x14ac:dyDescent="0.15">
      <c r="A694" s="1">
        <v>363631</v>
      </c>
      <c r="B694" s="1">
        <v>0</v>
      </c>
      <c r="C694" s="1" t="s">
        <v>663</v>
      </c>
      <c r="D694" s="1" t="s">
        <v>27</v>
      </c>
      <c r="E694" s="1" t="s">
        <v>866</v>
      </c>
      <c r="F694" s="1" t="s">
        <v>867</v>
      </c>
      <c r="G694" s="1" t="s">
        <v>353</v>
      </c>
      <c r="I694" s="18">
        <v>41744.644293981481</v>
      </c>
      <c r="J694" s="1" t="s">
        <v>17</v>
      </c>
      <c r="K694" s="1" t="s">
        <v>18</v>
      </c>
      <c r="L694" s="1" t="s">
        <v>19</v>
      </c>
      <c r="Q694" s="21"/>
    </row>
    <row r="695" spans="1:18" x14ac:dyDescent="0.15">
      <c r="A695" s="1">
        <v>360429</v>
      </c>
      <c r="B695" s="1">
        <v>0</v>
      </c>
      <c r="D695" s="1" t="s">
        <v>27</v>
      </c>
      <c r="E695" s="1" t="s">
        <v>947</v>
      </c>
      <c r="F695" s="1" t="s">
        <v>948</v>
      </c>
      <c r="G695" s="1" t="s">
        <v>23</v>
      </c>
      <c r="I695" s="18">
        <v>41735.990335648145</v>
      </c>
      <c r="J695" s="1" t="s">
        <v>17</v>
      </c>
      <c r="K695" s="1" t="s">
        <v>18</v>
      </c>
      <c r="L695" s="1" t="s">
        <v>19</v>
      </c>
      <c r="Q695" s="21"/>
    </row>
    <row r="696" spans="1:18" x14ac:dyDescent="0.15">
      <c r="A696" s="1">
        <v>360214</v>
      </c>
      <c r="B696" s="1">
        <v>0</v>
      </c>
      <c r="C696" s="1" t="s">
        <v>923</v>
      </c>
      <c r="D696" s="1" t="s">
        <v>27</v>
      </c>
      <c r="E696" s="1" t="s">
        <v>3251</v>
      </c>
      <c r="F696" s="1" t="s">
        <v>3252</v>
      </c>
      <c r="G696" s="1" t="s">
        <v>23</v>
      </c>
      <c r="I696" s="18">
        <v>41733.897268518522</v>
      </c>
      <c r="J696" s="1" t="s">
        <v>17</v>
      </c>
      <c r="K696" s="1" t="s">
        <v>18</v>
      </c>
      <c r="L696" s="1" t="s">
        <v>19</v>
      </c>
      <c r="Q696" s="21"/>
    </row>
    <row r="697" spans="1:18" x14ac:dyDescent="0.15">
      <c r="A697" s="1">
        <v>359802</v>
      </c>
      <c r="B697" s="1">
        <v>0</v>
      </c>
      <c r="D697" s="1" t="s">
        <v>27</v>
      </c>
      <c r="E697" s="1" t="s">
        <v>2930</v>
      </c>
      <c r="F697" s="1" t="s">
        <v>2931</v>
      </c>
      <c r="G697" s="1" t="s">
        <v>23</v>
      </c>
      <c r="I697" s="18">
        <v>41732.939756944441</v>
      </c>
      <c r="J697" s="1" t="s">
        <v>2932</v>
      </c>
      <c r="K697" s="1" t="s">
        <v>18</v>
      </c>
      <c r="L697" s="1" t="s">
        <v>19</v>
      </c>
      <c r="Q697" s="21"/>
    </row>
    <row r="698" spans="1:18" x14ac:dyDescent="0.15">
      <c r="A698" s="1">
        <v>359454</v>
      </c>
      <c r="B698" s="1">
        <v>0</v>
      </c>
      <c r="C698" s="1" t="s">
        <v>967</v>
      </c>
      <c r="D698" s="1" t="s">
        <v>27</v>
      </c>
      <c r="E698" s="1" t="s">
        <v>2064</v>
      </c>
      <c r="F698" s="1" t="s">
        <v>2065</v>
      </c>
      <c r="G698" s="1"/>
      <c r="H698" s="1"/>
      <c r="I698" s="18">
        <v>41732.312627314815</v>
      </c>
      <c r="J698" s="1" t="s">
        <v>2066</v>
      </c>
      <c r="K698" s="1" t="s">
        <v>18</v>
      </c>
      <c r="L698" s="1" t="s">
        <v>19</v>
      </c>
      <c r="Q698" s="21"/>
    </row>
    <row r="699" spans="1:18" x14ac:dyDescent="0.15">
      <c r="A699" s="1">
        <v>359144</v>
      </c>
      <c r="B699" s="1">
        <v>0</v>
      </c>
      <c r="C699" s="1" t="s">
        <v>268</v>
      </c>
      <c r="D699" s="1" t="s">
        <v>3911</v>
      </c>
      <c r="E699" s="1" t="s">
        <v>4039</v>
      </c>
      <c r="F699" s="1" t="s">
        <v>4040</v>
      </c>
      <c r="G699" s="1" t="s">
        <v>23</v>
      </c>
      <c r="I699" s="18">
        <v>41731.700937499998</v>
      </c>
      <c r="J699" s="1" t="s">
        <v>17</v>
      </c>
      <c r="K699" s="1" t="s">
        <v>18</v>
      </c>
      <c r="L699" s="1" t="s">
        <v>19</v>
      </c>
      <c r="Q699" s="21"/>
    </row>
    <row r="700" spans="1:18" x14ac:dyDescent="0.15">
      <c r="A700" s="1">
        <v>359130</v>
      </c>
      <c r="B700" s="1">
        <v>1</v>
      </c>
      <c r="C700" s="1" t="s">
        <v>73</v>
      </c>
      <c r="D700" s="1" t="s">
        <v>27</v>
      </c>
      <c r="E700" s="1" t="s">
        <v>2478</v>
      </c>
      <c r="F700" s="1" t="s">
        <v>2479</v>
      </c>
      <c r="G700" s="1" t="s">
        <v>23</v>
      </c>
      <c r="I700" s="18">
        <v>41731.679872685185</v>
      </c>
      <c r="J700" s="1" t="s">
        <v>17</v>
      </c>
      <c r="K700" s="1" t="s">
        <v>18</v>
      </c>
      <c r="L700" s="1" t="s">
        <v>19</v>
      </c>
      <c r="M700" s="1">
        <v>363469</v>
      </c>
      <c r="N700" s="1" t="s">
        <v>2480</v>
      </c>
      <c r="O700" s="18">
        <v>41744.058958333335</v>
      </c>
      <c r="P700" s="1" t="s">
        <v>330</v>
      </c>
      <c r="Q700" s="21">
        <f t="shared" si="11"/>
        <v>12.379085648150067</v>
      </c>
      <c r="R700" s="1"/>
    </row>
    <row r="701" spans="1:18" x14ac:dyDescent="0.15">
      <c r="A701" s="1">
        <v>358813</v>
      </c>
      <c r="B701" s="1">
        <v>0</v>
      </c>
      <c r="D701" s="1" t="s">
        <v>27</v>
      </c>
      <c r="E701" s="1" t="s">
        <v>931</v>
      </c>
      <c r="F701" s="1" t="s">
        <v>932</v>
      </c>
      <c r="G701" s="1" t="s">
        <v>353</v>
      </c>
      <c r="I701" s="18">
        <v>41730.873171296298</v>
      </c>
      <c r="J701" s="1" t="s">
        <v>17</v>
      </c>
      <c r="K701" s="1" t="s">
        <v>18</v>
      </c>
      <c r="L701" s="1" t="s">
        <v>19</v>
      </c>
      <c r="Q701" s="21"/>
    </row>
    <row r="702" spans="1:18" x14ac:dyDescent="0.15">
      <c r="A702" s="1">
        <v>358654</v>
      </c>
      <c r="B702" s="1">
        <v>0</v>
      </c>
      <c r="C702" s="1" t="s">
        <v>1545</v>
      </c>
      <c r="D702" s="1" t="s">
        <v>27</v>
      </c>
      <c r="E702" s="1" t="s">
        <v>2135</v>
      </c>
      <c r="F702" s="1" t="s">
        <v>2136</v>
      </c>
      <c r="G702" s="1" t="s">
        <v>353</v>
      </c>
      <c r="I702" s="18">
        <v>41730.615983796299</v>
      </c>
      <c r="J702" s="1" t="s">
        <v>1439</v>
      </c>
      <c r="K702" s="1" t="s">
        <v>18</v>
      </c>
      <c r="L702" s="1" t="s">
        <v>19</v>
      </c>
      <c r="Q702" s="21"/>
    </row>
    <row r="703" spans="1:18" x14ac:dyDescent="0.15">
      <c r="A703" s="1">
        <v>358059</v>
      </c>
      <c r="B703" s="1">
        <v>0</v>
      </c>
      <c r="C703" s="1" t="s">
        <v>101</v>
      </c>
      <c r="D703" s="1" t="s">
        <v>27</v>
      </c>
      <c r="E703" s="1" t="s">
        <v>349</v>
      </c>
      <c r="F703" s="1" t="s">
        <v>3196</v>
      </c>
      <c r="G703" s="1" t="s">
        <v>23</v>
      </c>
      <c r="I703" s="18">
        <v>41729.114421296297</v>
      </c>
      <c r="J703" s="1" t="s">
        <v>17</v>
      </c>
      <c r="K703" s="1" t="s">
        <v>18</v>
      </c>
      <c r="L703" s="1" t="s">
        <v>19</v>
      </c>
      <c r="Q703" s="21"/>
    </row>
    <row r="704" spans="1:18" x14ac:dyDescent="0.15">
      <c r="A704" s="1">
        <v>358057</v>
      </c>
      <c r="B704" s="1">
        <v>0</v>
      </c>
      <c r="C704" s="1" t="s">
        <v>101</v>
      </c>
      <c r="D704" s="1" t="s">
        <v>27</v>
      </c>
      <c r="E704" s="1" t="s">
        <v>1349</v>
      </c>
      <c r="F704" s="1" t="s">
        <v>1350</v>
      </c>
      <c r="G704" s="1" t="s">
        <v>23</v>
      </c>
      <c r="I704" s="18">
        <v>41729.109791666669</v>
      </c>
      <c r="J704" s="1" t="s">
        <v>17</v>
      </c>
      <c r="K704" s="1" t="s">
        <v>18</v>
      </c>
      <c r="L704" s="1" t="s">
        <v>19</v>
      </c>
      <c r="Q704" s="21"/>
    </row>
    <row r="705" spans="1:18" x14ac:dyDescent="0.15">
      <c r="A705" s="1">
        <v>358038</v>
      </c>
      <c r="B705" s="1">
        <v>0</v>
      </c>
      <c r="C705" s="1" t="s">
        <v>2815</v>
      </c>
      <c r="D705" s="1" t="s">
        <v>27</v>
      </c>
      <c r="E705" s="1" t="s">
        <v>2816</v>
      </c>
      <c r="F705" s="1" t="s">
        <v>2817</v>
      </c>
      <c r="G705" s="1"/>
      <c r="H705" s="1"/>
      <c r="I705" s="18">
        <v>41728.934166666666</v>
      </c>
      <c r="J705" s="1" t="s">
        <v>860</v>
      </c>
      <c r="K705" s="1" t="s">
        <v>18</v>
      </c>
      <c r="L705" s="1" t="s">
        <v>19</v>
      </c>
      <c r="Q705" s="21"/>
    </row>
    <row r="706" spans="1:18" x14ac:dyDescent="0.15">
      <c r="A706" s="1">
        <v>357382</v>
      </c>
      <c r="B706" s="1">
        <v>0</v>
      </c>
      <c r="C706" s="1" t="s">
        <v>305</v>
      </c>
      <c r="D706" s="1" t="s">
        <v>27</v>
      </c>
      <c r="E706" s="1" t="s">
        <v>502</v>
      </c>
      <c r="F706" s="1" t="s">
        <v>503</v>
      </c>
      <c r="G706" s="1" t="s">
        <v>23</v>
      </c>
      <c r="I706" s="18">
        <v>41725.9687962963</v>
      </c>
      <c r="J706" s="1" t="s">
        <v>504</v>
      </c>
      <c r="K706" s="1" t="s">
        <v>18</v>
      </c>
      <c r="L706" s="1" t="s">
        <v>19</v>
      </c>
      <c r="Q706" s="21"/>
    </row>
    <row r="707" spans="1:18" x14ac:dyDescent="0.15">
      <c r="A707" s="1">
        <v>356690</v>
      </c>
      <c r="B707" s="1">
        <v>0</v>
      </c>
      <c r="C707" s="1" t="s">
        <v>268</v>
      </c>
      <c r="D707" s="1" t="s">
        <v>27</v>
      </c>
      <c r="E707" s="1" t="s">
        <v>1893</v>
      </c>
      <c r="F707" s="1" t="s">
        <v>2110</v>
      </c>
      <c r="G707" s="1" t="s">
        <v>23</v>
      </c>
      <c r="I707" s="18">
        <v>41724.686377314814</v>
      </c>
      <c r="J707" s="1" t="s">
        <v>68</v>
      </c>
      <c r="K707" s="1" t="s">
        <v>18</v>
      </c>
      <c r="L707" s="1" t="s">
        <v>19</v>
      </c>
      <c r="Q707" s="21"/>
    </row>
    <row r="708" spans="1:18" x14ac:dyDescent="0.15">
      <c r="A708" s="1">
        <v>356540</v>
      </c>
      <c r="B708" s="1">
        <v>0</v>
      </c>
      <c r="C708" s="1" t="s">
        <v>50</v>
      </c>
      <c r="D708" s="1" t="s">
        <v>27</v>
      </c>
      <c r="E708" s="1" t="s">
        <v>3457</v>
      </c>
      <c r="F708" s="1" t="s">
        <v>3458</v>
      </c>
      <c r="G708" s="1" t="s">
        <v>23</v>
      </c>
      <c r="I708" s="18">
        <v>41724.177164351851</v>
      </c>
      <c r="J708" s="1" t="s">
        <v>17</v>
      </c>
      <c r="K708" s="1" t="s">
        <v>18</v>
      </c>
      <c r="L708" s="1" t="s">
        <v>19</v>
      </c>
      <c r="Q708" s="21"/>
    </row>
    <row r="709" spans="1:18" x14ac:dyDescent="0.15">
      <c r="A709" s="1">
        <v>356517</v>
      </c>
      <c r="B709" s="1">
        <v>0</v>
      </c>
      <c r="C709" s="1" t="s">
        <v>923</v>
      </c>
      <c r="D709" s="1" t="s">
        <v>27</v>
      </c>
      <c r="E709" s="1" t="s">
        <v>3189</v>
      </c>
      <c r="F709" s="1" t="s">
        <v>3190</v>
      </c>
      <c r="G709" s="1" t="s">
        <v>23</v>
      </c>
      <c r="I709" s="18">
        <v>41724.120011574072</v>
      </c>
      <c r="J709" s="1" t="s">
        <v>17</v>
      </c>
      <c r="K709" s="1" t="s">
        <v>18</v>
      </c>
      <c r="L709" s="1" t="s">
        <v>19</v>
      </c>
      <c r="Q709" s="21"/>
    </row>
    <row r="710" spans="1:18" x14ac:dyDescent="0.15">
      <c r="A710" s="1">
        <v>356235</v>
      </c>
      <c r="B710" s="1">
        <v>0</v>
      </c>
      <c r="C710" s="1" t="s">
        <v>1156</v>
      </c>
      <c r="D710" s="1" t="s">
        <v>27</v>
      </c>
      <c r="E710" s="1" t="s">
        <v>1157</v>
      </c>
      <c r="F710" s="1" t="s">
        <v>1158</v>
      </c>
      <c r="G710" s="1" t="s">
        <v>23</v>
      </c>
      <c r="I710" s="18">
        <v>41723.710219907407</v>
      </c>
      <c r="J710" s="1" t="s">
        <v>1159</v>
      </c>
      <c r="K710" s="1" t="s">
        <v>18</v>
      </c>
      <c r="L710" s="1" t="s">
        <v>19</v>
      </c>
      <c r="Q710" s="21"/>
    </row>
    <row r="711" spans="1:18" x14ac:dyDescent="0.15">
      <c r="A711" s="1">
        <v>356095</v>
      </c>
      <c r="B711" s="1">
        <v>0</v>
      </c>
      <c r="C711" s="1" t="s">
        <v>1294</v>
      </c>
      <c r="D711" s="1" t="s">
        <v>27</v>
      </c>
      <c r="E711" s="1" t="s">
        <v>1603</v>
      </c>
      <c r="F711" s="1" t="s">
        <v>1604</v>
      </c>
      <c r="G711" s="1" t="s">
        <v>23</v>
      </c>
      <c r="I711" s="18">
        <v>41723.442743055559</v>
      </c>
      <c r="J711" s="1" t="s">
        <v>68</v>
      </c>
      <c r="K711" s="1" t="s">
        <v>18</v>
      </c>
      <c r="L711" s="1" t="s">
        <v>19</v>
      </c>
      <c r="Q711" s="21"/>
    </row>
    <row r="712" spans="1:18" x14ac:dyDescent="0.15">
      <c r="A712" s="1">
        <v>355586</v>
      </c>
      <c r="B712" s="1">
        <v>0</v>
      </c>
      <c r="C712" s="1" t="s">
        <v>101</v>
      </c>
      <c r="D712" s="1" t="s">
        <v>27</v>
      </c>
      <c r="E712" s="1" t="s">
        <v>2482</v>
      </c>
      <c r="F712" s="1" t="s">
        <v>2483</v>
      </c>
      <c r="G712" s="1" t="s">
        <v>23</v>
      </c>
      <c r="I712" s="18">
        <v>41722.649733796294</v>
      </c>
      <c r="J712" s="1" t="s">
        <v>17</v>
      </c>
      <c r="K712" s="1" t="s">
        <v>18</v>
      </c>
      <c r="L712" s="1" t="s">
        <v>19</v>
      </c>
      <c r="Q712" s="21"/>
    </row>
    <row r="713" spans="1:18" x14ac:dyDescent="0.15">
      <c r="A713" s="1">
        <v>355438</v>
      </c>
      <c r="B713" s="1">
        <v>0</v>
      </c>
      <c r="C713" s="1" t="s">
        <v>268</v>
      </c>
      <c r="D713" s="1" t="s">
        <v>27</v>
      </c>
      <c r="E713" s="1" t="s">
        <v>2987</v>
      </c>
      <c r="F713" s="1" t="s">
        <v>2988</v>
      </c>
      <c r="G713" s="1" t="s">
        <v>23</v>
      </c>
      <c r="I713" s="18">
        <v>41722.133784722224</v>
      </c>
      <c r="J713" s="1" t="s">
        <v>17</v>
      </c>
      <c r="K713" s="1" t="s">
        <v>18</v>
      </c>
      <c r="L713" s="1" t="s">
        <v>19</v>
      </c>
      <c r="Q713" s="21"/>
    </row>
    <row r="714" spans="1:18" x14ac:dyDescent="0.15">
      <c r="A714" s="1">
        <v>352982</v>
      </c>
      <c r="B714" s="1">
        <v>0</v>
      </c>
      <c r="C714" s="1" t="s">
        <v>101</v>
      </c>
      <c r="D714" s="1" t="s">
        <v>27</v>
      </c>
      <c r="E714" s="1" t="s">
        <v>2757</v>
      </c>
      <c r="F714" s="1" t="s">
        <v>361</v>
      </c>
      <c r="G714" s="1" t="s">
        <v>23</v>
      </c>
      <c r="I714" s="18">
        <v>41714.484155092592</v>
      </c>
      <c r="J714" s="1" t="s">
        <v>17</v>
      </c>
      <c r="K714" s="1" t="s">
        <v>18</v>
      </c>
      <c r="L714" s="1" t="s">
        <v>19</v>
      </c>
      <c r="Q714" s="21"/>
    </row>
    <row r="715" spans="1:18" x14ac:dyDescent="0.15">
      <c r="A715" s="1">
        <v>352429</v>
      </c>
      <c r="B715" s="1">
        <v>0</v>
      </c>
      <c r="C715" s="1" t="s">
        <v>305</v>
      </c>
      <c r="D715" s="1" t="s">
        <v>27</v>
      </c>
      <c r="E715" s="1" t="s">
        <v>3294</v>
      </c>
      <c r="F715" s="1" t="s">
        <v>3295</v>
      </c>
      <c r="G715" s="1" t="s">
        <v>159</v>
      </c>
      <c r="I715" s="18">
        <v>41712.002453703702</v>
      </c>
      <c r="J715" s="1" t="s">
        <v>238</v>
      </c>
      <c r="K715" s="1" t="s">
        <v>18</v>
      </c>
      <c r="L715" s="1" t="s">
        <v>19</v>
      </c>
      <c r="Q715" s="21"/>
    </row>
    <row r="716" spans="1:18" x14ac:dyDescent="0.15">
      <c r="A716" s="1">
        <v>352395</v>
      </c>
      <c r="B716" s="1">
        <v>0</v>
      </c>
      <c r="C716" s="1" t="s">
        <v>727</v>
      </c>
      <c r="D716" s="1" t="s">
        <v>27</v>
      </c>
      <c r="E716" s="1" t="s">
        <v>1030</v>
      </c>
      <c r="F716" s="1" t="s">
        <v>1031</v>
      </c>
      <c r="G716" s="1" t="s">
        <v>159</v>
      </c>
      <c r="I716" s="18">
        <v>41711.963136574072</v>
      </c>
      <c r="J716" s="1" t="s">
        <v>24</v>
      </c>
      <c r="K716" s="1" t="s">
        <v>18</v>
      </c>
      <c r="L716" s="1" t="s">
        <v>19</v>
      </c>
      <c r="Q716" s="21"/>
    </row>
    <row r="717" spans="1:18" x14ac:dyDescent="0.15">
      <c r="A717" s="1">
        <v>352374</v>
      </c>
      <c r="B717" s="1">
        <v>0</v>
      </c>
      <c r="C717" s="1" t="s">
        <v>77</v>
      </c>
      <c r="D717" s="1" t="s">
        <v>27</v>
      </c>
      <c r="E717" s="1" t="s">
        <v>1440</v>
      </c>
      <c r="F717" s="1" t="s">
        <v>1441</v>
      </c>
      <c r="G717" s="1" t="s">
        <v>23</v>
      </c>
      <c r="I717" s="18">
        <v>41711.937361111108</v>
      </c>
      <c r="J717" s="1" t="s">
        <v>40</v>
      </c>
      <c r="K717" s="1" t="s">
        <v>18</v>
      </c>
      <c r="L717" s="1" t="s">
        <v>19</v>
      </c>
      <c r="Q717" s="21"/>
    </row>
    <row r="718" spans="1:18" x14ac:dyDescent="0.15">
      <c r="A718" s="1">
        <v>352369</v>
      </c>
      <c r="B718" s="1">
        <v>0</v>
      </c>
      <c r="D718" s="1" t="s">
        <v>27</v>
      </c>
      <c r="E718" s="1" t="s">
        <v>3613</v>
      </c>
      <c r="F718" s="1" t="s">
        <v>3614</v>
      </c>
      <c r="G718" s="1" t="s">
        <v>23</v>
      </c>
      <c r="I718" s="18">
        <v>41711.933958333335</v>
      </c>
      <c r="J718" s="1" t="s">
        <v>40</v>
      </c>
      <c r="K718" s="1" t="s">
        <v>3586</v>
      </c>
      <c r="L718" s="1" t="s">
        <v>19</v>
      </c>
      <c r="Q718" s="21"/>
    </row>
    <row r="719" spans="1:18" x14ac:dyDescent="0.15">
      <c r="A719" s="1">
        <v>352083</v>
      </c>
      <c r="B719" s="1">
        <v>0</v>
      </c>
      <c r="C719" s="1" t="s">
        <v>927</v>
      </c>
      <c r="D719" s="1" t="s">
        <v>27</v>
      </c>
      <c r="E719" s="1" t="s">
        <v>928</v>
      </c>
      <c r="F719" s="1" t="s">
        <v>929</v>
      </c>
      <c r="G719" s="1" t="s">
        <v>353</v>
      </c>
      <c r="I719" s="18">
        <v>41711.368043981478</v>
      </c>
      <c r="J719" s="1" t="s">
        <v>930</v>
      </c>
      <c r="K719" s="1" t="s">
        <v>18</v>
      </c>
      <c r="L719" s="1" t="s">
        <v>19</v>
      </c>
      <c r="Q719" s="21"/>
    </row>
    <row r="720" spans="1:18" x14ac:dyDescent="0.15">
      <c r="A720" s="1">
        <v>352043</v>
      </c>
      <c r="B720" s="1">
        <v>1</v>
      </c>
      <c r="C720" s="1" t="s">
        <v>280</v>
      </c>
      <c r="D720" s="1" t="s">
        <v>27</v>
      </c>
      <c r="E720" s="1" t="s">
        <v>1703</v>
      </c>
      <c r="F720" s="1" t="s">
        <v>1704</v>
      </c>
      <c r="G720" s="1" t="s">
        <v>23</v>
      </c>
      <c r="I720" s="18">
        <v>41711.262245370373</v>
      </c>
      <c r="J720" s="1" t="s">
        <v>1705</v>
      </c>
      <c r="K720" s="1" t="s">
        <v>18</v>
      </c>
      <c r="L720" s="1" t="s">
        <v>19</v>
      </c>
      <c r="M720" s="1">
        <v>364430</v>
      </c>
      <c r="N720" s="1" t="s">
        <v>1706</v>
      </c>
      <c r="O720" s="18">
        <v>41746.401817129627</v>
      </c>
      <c r="P720" s="1" t="s">
        <v>1707</v>
      </c>
      <c r="Q720" s="21">
        <f t="shared" ref="Q720:Q768" si="12">ABS(O720-I720)</f>
        <v>35.139571759253158</v>
      </c>
      <c r="R720" s="1"/>
    </row>
    <row r="721" spans="1:18" x14ac:dyDescent="0.15">
      <c r="A721" s="1">
        <v>351855</v>
      </c>
      <c r="B721" s="1">
        <v>0</v>
      </c>
      <c r="C721" s="1" t="s">
        <v>3713</v>
      </c>
      <c r="D721" s="1" t="s">
        <v>3714</v>
      </c>
      <c r="E721" s="1" t="s">
        <v>3870</v>
      </c>
      <c r="F721" s="1" t="s">
        <v>3871</v>
      </c>
      <c r="G721" s="1" t="s">
        <v>1056</v>
      </c>
      <c r="I721" s="18">
        <v>41710.84165509259</v>
      </c>
      <c r="J721" s="1" t="s">
        <v>736</v>
      </c>
      <c r="K721" s="1" t="s">
        <v>18</v>
      </c>
      <c r="L721" s="1" t="s">
        <v>19</v>
      </c>
      <c r="Q721" s="21"/>
    </row>
    <row r="722" spans="1:18" x14ac:dyDescent="0.15">
      <c r="A722" s="1">
        <v>351852</v>
      </c>
      <c r="B722" s="1">
        <v>0</v>
      </c>
      <c r="C722" s="1" t="s">
        <v>470</v>
      </c>
      <c r="D722" s="1" t="s">
        <v>3714</v>
      </c>
      <c r="E722" s="1" t="s">
        <v>3872</v>
      </c>
      <c r="F722" s="1" t="s">
        <v>3873</v>
      </c>
      <c r="G722" s="1" t="s">
        <v>1056</v>
      </c>
      <c r="I722" s="18">
        <v>41710.83357638889</v>
      </c>
      <c r="J722" s="1" t="s">
        <v>736</v>
      </c>
      <c r="K722" s="1" t="s">
        <v>18</v>
      </c>
      <c r="L722" s="1" t="s">
        <v>19</v>
      </c>
      <c r="Q722" s="21"/>
    </row>
    <row r="723" spans="1:18" x14ac:dyDescent="0.15">
      <c r="A723" s="1">
        <v>351815</v>
      </c>
      <c r="B723" s="1">
        <v>0</v>
      </c>
      <c r="C723" s="1" t="s">
        <v>305</v>
      </c>
      <c r="D723" s="1" t="s">
        <v>3714</v>
      </c>
      <c r="E723" s="1" t="s">
        <v>3748</v>
      </c>
      <c r="F723" s="1" t="s">
        <v>3749</v>
      </c>
      <c r="G723" s="1" t="s">
        <v>3750</v>
      </c>
      <c r="I723" s="18">
        <v>41710.782511574071</v>
      </c>
      <c r="J723" s="1" t="s">
        <v>241</v>
      </c>
      <c r="K723" s="1" t="s">
        <v>18</v>
      </c>
      <c r="L723" s="1" t="s">
        <v>19</v>
      </c>
      <c r="Q723" s="21"/>
    </row>
    <row r="724" spans="1:18" x14ac:dyDescent="0.15">
      <c r="A724" s="1">
        <v>351811</v>
      </c>
      <c r="B724" s="1">
        <v>0</v>
      </c>
      <c r="C724" s="1" t="s">
        <v>1053</v>
      </c>
      <c r="D724" s="1" t="s">
        <v>3714</v>
      </c>
      <c r="E724" s="1" t="s">
        <v>3746</v>
      </c>
      <c r="F724" s="1" t="s">
        <v>3747</v>
      </c>
      <c r="G724" s="1" t="s">
        <v>1056</v>
      </c>
      <c r="I724" s="18">
        <v>41710.775821759256</v>
      </c>
      <c r="J724" s="1" t="s">
        <v>609</v>
      </c>
      <c r="K724" s="1" t="s">
        <v>18</v>
      </c>
      <c r="L724" s="1" t="s">
        <v>19</v>
      </c>
      <c r="Q724" s="21"/>
    </row>
    <row r="725" spans="1:18" x14ac:dyDescent="0.15">
      <c r="A725" s="1">
        <v>351787</v>
      </c>
      <c r="B725" s="1">
        <v>0</v>
      </c>
      <c r="C725" s="1" t="s">
        <v>101</v>
      </c>
      <c r="D725" s="1" t="s">
        <v>27</v>
      </c>
      <c r="E725" s="1" t="s">
        <v>3534</v>
      </c>
      <c r="F725" s="1" t="s">
        <v>3535</v>
      </c>
      <c r="G725" s="1" t="s">
        <v>23</v>
      </c>
      <c r="I725" s="18">
        <v>41710.747407407405</v>
      </c>
      <c r="J725" s="1" t="s">
        <v>40</v>
      </c>
      <c r="K725" s="1" t="s">
        <v>18</v>
      </c>
      <c r="L725" s="1" t="s">
        <v>19</v>
      </c>
      <c r="Q725" s="21"/>
    </row>
    <row r="726" spans="1:18" x14ac:dyDescent="0.15">
      <c r="A726" s="1">
        <v>350863</v>
      </c>
      <c r="B726" s="1">
        <v>0</v>
      </c>
      <c r="C726" s="1" t="s">
        <v>101</v>
      </c>
      <c r="D726" s="1" t="s">
        <v>27</v>
      </c>
      <c r="E726" s="1" t="s">
        <v>360</v>
      </c>
      <c r="F726" s="1" t="s">
        <v>361</v>
      </c>
      <c r="G726" s="1" t="s">
        <v>23</v>
      </c>
      <c r="I726" s="18">
        <v>41708.447523148148</v>
      </c>
      <c r="J726" s="1" t="s">
        <v>17</v>
      </c>
      <c r="K726" s="1" t="s">
        <v>18</v>
      </c>
      <c r="L726" s="1" t="s">
        <v>19</v>
      </c>
      <c r="Q726" s="21"/>
    </row>
    <row r="727" spans="1:18" x14ac:dyDescent="0.15">
      <c r="A727" s="1">
        <v>350759</v>
      </c>
      <c r="B727" s="1">
        <v>0</v>
      </c>
      <c r="C727" s="1" t="s">
        <v>527</v>
      </c>
      <c r="D727" s="1" t="s">
        <v>3911</v>
      </c>
      <c r="E727" s="1" t="s">
        <v>3975</v>
      </c>
      <c r="F727" s="1" t="s">
        <v>3976</v>
      </c>
      <c r="G727" s="1" t="s">
        <v>23</v>
      </c>
      <c r="I727" s="18">
        <v>41708.033645833333</v>
      </c>
      <c r="J727" s="1" t="s">
        <v>17</v>
      </c>
      <c r="K727" s="1" t="s">
        <v>18</v>
      </c>
      <c r="L727" s="1" t="s">
        <v>19</v>
      </c>
      <c r="Q727" s="21"/>
    </row>
    <row r="728" spans="1:18" x14ac:dyDescent="0.15">
      <c r="A728" s="1">
        <v>350537</v>
      </c>
      <c r="B728" s="1">
        <v>0</v>
      </c>
      <c r="C728" s="1" t="s">
        <v>953</v>
      </c>
      <c r="D728" s="1" t="s">
        <v>27</v>
      </c>
      <c r="E728" s="1" t="s">
        <v>2861</v>
      </c>
      <c r="F728" s="1" t="s">
        <v>2862</v>
      </c>
      <c r="G728" s="1" t="s">
        <v>23</v>
      </c>
      <c r="I728" s="18">
        <v>41705.928368055553</v>
      </c>
      <c r="J728" s="1" t="s">
        <v>17</v>
      </c>
      <c r="K728" s="1" t="s">
        <v>18</v>
      </c>
      <c r="L728" s="1" t="s">
        <v>19</v>
      </c>
      <c r="Q728" s="21"/>
    </row>
    <row r="729" spans="1:18" x14ac:dyDescent="0.15">
      <c r="A729" s="1">
        <v>350533</v>
      </c>
      <c r="B729" s="1">
        <v>0</v>
      </c>
      <c r="C729" s="1" t="s">
        <v>399</v>
      </c>
      <c r="D729" s="1" t="s">
        <v>27</v>
      </c>
      <c r="E729" s="1" t="s">
        <v>3471</v>
      </c>
      <c r="F729" s="1" t="s">
        <v>3472</v>
      </c>
      <c r="G729" s="1" t="s">
        <v>23</v>
      </c>
      <c r="I729" s="18">
        <v>41705.923437500001</v>
      </c>
      <c r="J729" s="1" t="s">
        <v>402</v>
      </c>
      <c r="K729" s="1" t="s">
        <v>18</v>
      </c>
      <c r="L729" s="1" t="s">
        <v>19</v>
      </c>
      <c r="Q729" s="21"/>
    </row>
    <row r="730" spans="1:18" x14ac:dyDescent="0.15">
      <c r="A730" s="1">
        <v>350434</v>
      </c>
      <c r="B730" s="1">
        <v>1</v>
      </c>
      <c r="C730" s="1" t="s">
        <v>101</v>
      </c>
      <c r="D730" s="1" t="s">
        <v>27</v>
      </c>
      <c r="E730" s="1" t="s">
        <v>2541</v>
      </c>
      <c r="F730" s="1" t="s">
        <v>2542</v>
      </c>
      <c r="G730" s="1" t="s">
        <v>16</v>
      </c>
      <c r="I730" s="18">
        <v>41705.71402777778</v>
      </c>
      <c r="J730" s="1" t="s">
        <v>958</v>
      </c>
      <c r="K730" s="1" t="s">
        <v>18</v>
      </c>
      <c r="L730" s="1" t="s">
        <v>19</v>
      </c>
      <c r="M730" s="1">
        <v>350886</v>
      </c>
      <c r="N730" s="1" t="s">
        <v>2543</v>
      </c>
      <c r="O730" s="18">
        <v>41708.497673611113</v>
      </c>
      <c r="P730" s="1" t="s">
        <v>17</v>
      </c>
      <c r="Q730" s="21">
        <f t="shared" si="12"/>
        <v>2.7836458333331393</v>
      </c>
      <c r="R730" s="1"/>
    </row>
    <row r="731" spans="1:18" x14ac:dyDescent="0.15">
      <c r="A731" s="1">
        <v>349903</v>
      </c>
      <c r="B731" s="1">
        <v>0</v>
      </c>
      <c r="C731" s="1" t="s">
        <v>268</v>
      </c>
      <c r="D731" s="1" t="s">
        <v>27</v>
      </c>
      <c r="E731" s="1" t="s">
        <v>852</v>
      </c>
      <c r="F731" s="1" t="s">
        <v>853</v>
      </c>
      <c r="G731" s="1" t="s">
        <v>23</v>
      </c>
      <c r="I731" s="18">
        <v>41704.585509259261</v>
      </c>
      <c r="J731" s="1" t="s">
        <v>854</v>
      </c>
      <c r="K731" s="1" t="s">
        <v>18</v>
      </c>
      <c r="L731" s="1" t="s">
        <v>19</v>
      </c>
      <c r="Q731" s="21"/>
    </row>
    <row r="732" spans="1:18" x14ac:dyDescent="0.15">
      <c r="A732" s="1">
        <v>349898</v>
      </c>
      <c r="B732" s="1">
        <v>0</v>
      </c>
      <c r="C732" s="1" t="s">
        <v>522</v>
      </c>
      <c r="D732" s="1" t="s">
        <v>27</v>
      </c>
      <c r="E732" s="1" t="s">
        <v>1130</v>
      </c>
      <c r="F732" s="1" t="s">
        <v>1131</v>
      </c>
      <c r="G732" s="1" t="s">
        <v>23</v>
      </c>
      <c r="I732" s="18">
        <v>41704.572222222225</v>
      </c>
      <c r="J732" s="1" t="s">
        <v>854</v>
      </c>
      <c r="K732" s="1" t="s">
        <v>18</v>
      </c>
      <c r="L732" s="1" t="s">
        <v>19</v>
      </c>
      <c r="Q732" s="21"/>
    </row>
    <row r="733" spans="1:18" x14ac:dyDescent="0.15">
      <c r="A733" s="1">
        <v>349079</v>
      </c>
      <c r="B733" s="1">
        <v>0</v>
      </c>
      <c r="C733" s="1" t="s">
        <v>101</v>
      </c>
      <c r="D733" s="1" t="s">
        <v>27</v>
      </c>
      <c r="E733" s="1" t="s">
        <v>349</v>
      </c>
      <c r="F733" s="1" t="s">
        <v>573</v>
      </c>
      <c r="G733" s="1" t="s">
        <v>23</v>
      </c>
      <c r="I733" s="18">
        <v>41702.789085648146</v>
      </c>
      <c r="J733" s="1" t="s">
        <v>17</v>
      </c>
      <c r="K733" s="1" t="s">
        <v>18</v>
      </c>
      <c r="L733" s="1" t="s">
        <v>19</v>
      </c>
      <c r="Q733" s="21"/>
    </row>
    <row r="734" spans="1:18" x14ac:dyDescent="0.15">
      <c r="A734" s="1">
        <v>348332</v>
      </c>
      <c r="B734" s="1">
        <v>0</v>
      </c>
      <c r="C734" s="1" t="s">
        <v>3113</v>
      </c>
      <c r="D734" s="1" t="s">
        <v>27</v>
      </c>
      <c r="E734" s="1" t="s">
        <v>3114</v>
      </c>
      <c r="F734" s="1" t="s">
        <v>3115</v>
      </c>
      <c r="G734" s="1" t="s">
        <v>23</v>
      </c>
      <c r="I734" s="18">
        <v>41699.84175925926</v>
      </c>
      <c r="J734" s="1" t="s">
        <v>2066</v>
      </c>
      <c r="K734" s="1" t="s">
        <v>18</v>
      </c>
      <c r="L734" s="1" t="s">
        <v>19</v>
      </c>
      <c r="Q734" s="21"/>
    </row>
    <row r="735" spans="1:18" x14ac:dyDescent="0.15">
      <c r="A735" s="1">
        <v>348319</v>
      </c>
      <c r="B735" s="1">
        <v>0</v>
      </c>
      <c r="C735" s="1" t="s">
        <v>101</v>
      </c>
      <c r="D735" s="1" t="s">
        <v>27</v>
      </c>
      <c r="E735" s="1" t="s">
        <v>1857</v>
      </c>
      <c r="F735" s="1" t="s">
        <v>350</v>
      </c>
      <c r="G735" s="1" t="s">
        <v>23</v>
      </c>
      <c r="I735" s="18">
        <v>41699.762002314812</v>
      </c>
      <c r="J735" s="1" t="s">
        <v>17</v>
      </c>
      <c r="K735" s="1" t="s">
        <v>18</v>
      </c>
      <c r="L735" s="1" t="s">
        <v>19</v>
      </c>
      <c r="Q735" s="21"/>
    </row>
    <row r="736" spans="1:18" x14ac:dyDescent="0.15">
      <c r="A736" s="1">
        <v>347909</v>
      </c>
      <c r="B736" s="1">
        <v>0</v>
      </c>
      <c r="C736" s="1" t="s">
        <v>101</v>
      </c>
      <c r="D736" s="1" t="s">
        <v>27</v>
      </c>
      <c r="E736" s="1" t="s">
        <v>3141</v>
      </c>
      <c r="F736" s="1" t="s">
        <v>3142</v>
      </c>
      <c r="G736" s="1" t="s">
        <v>23</v>
      </c>
      <c r="I736" s="18">
        <v>41698.331319444442</v>
      </c>
      <c r="J736" s="1" t="s">
        <v>17</v>
      </c>
      <c r="K736" s="1" t="s">
        <v>18</v>
      </c>
      <c r="L736" s="1" t="s">
        <v>19</v>
      </c>
      <c r="Q736" s="21"/>
    </row>
    <row r="737" spans="1:17" x14ac:dyDescent="0.15">
      <c r="A737" s="1">
        <v>347284</v>
      </c>
      <c r="B737" s="1">
        <v>0</v>
      </c>
      <c r="C737" s="1" t="s">
        <v>1447</v>
      </c>
      <c r="D737" s="1" t="s">
        <v>27</v>
      </c>
      <c r="E737" s="1" t="s">
        <v>1448</v>
      </c>
      <c r="F737" s="1" t="s">
        <v>1449</v>
      </c>
      <c r="G737" s="1" t="s">
        <v>23</v>
      </c>
      <c r="I737" s="18">
        <v>41696.918912037036</v>
      </c>
      <c r="J737" s="1" t="s">
        <v>339</v>
      </c>
      <c r="K737" s="1" t="s">
        <v>18</v>
      </c>
      <c r="L737" s="1" t="s">
        <v>19</v>
      </c>
      <c r="Q737" s="21"/>
    </row>
    <row r="738" spans="1:17" x14ac:dyDescent="0.15">
      <c r="A738" s="1">
        <v>346553</v>
      </c>
      <c r="B738" s="1">
        <v>1</v>
      </c>
      <c r="C738" s="1" t="s">
        <v>4099</v>
      </c>
      <c r="D738" s="1" t="s">
        <v>4082</v>
      </c>
      <c r="E738" s="1" t="s">
        <v>4100</v>
      </c>
      <c r="F738" s="1" t="s">
        <v>4101</v>
      </c>
      <c r="G738" s="1" t="s">
        <v>23</v>
      </c>
      <c r="H738" s="1">
        <v>345929</v>
      </c>
      <c r="I738" s="22">
        <v>41695.038252314815</v>
      </c>
      <c r="J738" s="1" t="s">
        <v>17</v>
      </c>
      <c r="K738" s="1" t="s">
        <v>18</v>
      </c>
      <c r="L738" s="1" t="s">
        <v>19</v>
      </c>
      <c r="M738" s="1">
        <v>345929</v>
      </c>
      <c r="N738" s="14" t="s">
        <v>4102</v>
      </c>
      <c r="O738" s="22">
        <v>41692</v>
      </c>
      <c r="Q738" s="21">
        <f t="shared" si="12"/>
        <v>3.0382523148145992</v>
      </c>
    </row>
    <row r="739" spans="1:17" x14ac:dyDescent="0.15">
      <c r="A739" s="1">
        <v>345959</v>
      </c>
      <c r="B739" s="1">
        <v>0</v>
      </c>
      <c r="D739" s="1" t="s">
        <v>27</v>
      </c>
      <c r="E739" s="1" t="s">
        <v>2842</v>
      </c>
      <c r="F739" s="1" t="s">
        <v>2843</v>
      </c>
      <c r="G739" s="1" t="s">
        <v>23</v>
      </c>
      <c r="I739" s="18">
        <v>41692.086539351854</v>
      </c>
      <c r="J739" s="1" t="s">
        <v>151</v>
      </c>
      <c r="K739" s="1" t="s">
        <v>18</v>
      </c>
      <c r="L739" s="1" t="s">
        <v>19</v>
      </c>
      <c r="Q739" s="21"/>
    </row>
    <row r="740" spans="1:17" x14ac:dyDescent="0.15">
      <c r="A740" s="1">
        <v>345820</v>
      </c>
      <c r="B740" s="1">
        <v>0</v>
      </c>
      <c r="C740" s="1" t="s">
        <v>101</v>
      </c>
      <c r="D740" s="1" t="s">
        <v>27</v>
      </c>
      <c r="E740" s="1" t="s">
        <v>349</v>
      </c>
      <c r="F740" s="1" t="s">
        <v>350</v>
      </c>
      <c r="G740" s="1" t="s">
        <v>23</v>
      </c>
      <c r="I740" s="18">
        <v>41691.891747685186</v>
      </c>
      <c r="J740" s="1" t="s">
        <v>17</v>
      </c>
      <c r="K740" s="1" t="s">
        <v>18</v>
      </c>
      <c r="L740" s="1" t="s">
        <v>19</v>
      </c>
      <c r="Q740" s="21"/>
    </row>
    <row r="741" spans="1:17" x14ac:dyDescent="0.15">
      <c r="A741" s="1">
        <v>345715</v>
      </c>
      <c r="B741" s="1">
        <v>0</v>
      </c>
      <c r="C741" s="1" t="s">
        <v>101</v>
      </c>
      <c r="D741" s="1" t="s">
        <v>27</v>
      </c>
      <c r="E741" s="1" t="s">
        <v>349</v>
      </c>
      <c r="F741" s="1" t="s">
        <v>2714</v>
      </c>
      <c r="G741" s="1" t="s">
        <v>23</v>
      </c>
      <c r="I741" s="18">
        <v>41691.692604166667</v>
      </c>
      <c r="J741" s="1" t="s">
        <v>17</v>
      </c>
      <c r="K741" s="1" t="s">
        <v>18</v>
      </c>
      <c r="L741" s="1" t="s">
        <v>19</v>
      </c>
      <c r="Q741" s="21"/>
    </row>
    <row r="742" spans="1:17" x14ac:dyDescent="0.15">
      <c r="A742" s="1">
        <v>345685</v>
      </c>
      <c r="B742" s="1">
        <v>0</v>
      </c>
      <c r="C742" s="1" t="s">
        <v>829</v>
      </c>
      <c r="D742" s="1" t="s">
        <v>3911</v>
      </c>
      <c r="E742" s="1" t="s">
        <v>4065</v>
      </c>
      <c r="F742" s="1" t="s">
        <v>4066</v>
      </c>
      <c r="G742" s="1" t="s">
        <v>23</v>
      </c>
      <c r="I742" s="18">
        <v>41691.606539351851</v>
      </c>
      <c r="J742" s="1" t="s">
        <v>17</v>
      </c>
      <c r="K742" s="1" t="s">
        <v>18</v>
      </c>
      <c r="L742" s="1" t="s">
        <v>19</v>
      </c>
      <c r="Q742" s="21"/>
    </row>
    <row r="743" spans="1:17" x14ac:dyDescent="0.15">
      <c r="A743" s="1">
        <v>344881</v>
      </c>
      <c r="B743" s="1">
        <v>0</v>
      </c>
      <c r="C743" s="1" t="s">
        <v>73</v>
      </c>
      <c r="D743" s="1" t="s">
        <v>27</v>
      </c>
      <c r="E743" s="1" t="s">
        <v>74</v>
      </c>
      <c r="F743" s="1" t="s">
        <v>75</v>
      </c>
      <c r="G743" s="1" t="s">
        <v>23</v>
      </c>
      <c r="I743" s="18">
        <v>41689.604537037034</v>
      </c>
      <c r="J743" s="1" t="s">
        <v>76</v>
      </c>
      <c r="K743" s="1" t="s">
        <v>18</v>
      </c>
      <c r="L743" s="1" t="s">
        <v>19</v>
      </c>
      <c r="Q743" s="21"/>
    </row>
    <row r="744" spans="1:17" x14ac:dyDescent="0.15">
      <c r="A744" s="1">
        <v>344654</v>
      </c>
      <c r="B744" s="1">
        <v>0</v>
      </c>
      <c r="C744" s="1" t="s">
        <v>1068</v>
      </c>
      <c r="D744" s="1" t="s">
        <v>27</v>
      </c>
      <c r="E744" s="1" t="s">
        <v>1069</v>
      </c>
      <c r="F744" s="1" t="s">
        <v>1070</v>
      </c>
      <c r="G744" s="1" t="s">
        <v>23</v>
      </c>
      <c r="I744" s="18">
        <v>41688.940300925926</v>
      </c>
      <c r="J744" s="1" t="s">
        <v>17</v>
      </c>
      <c r="K744" s="1" t="s">
        <v>18</v>
      </c>
      <c r="L744" s="1" t="s">
        <v>19</v>
      </c>
      <c r="Q744" s="21"/>
    </row>
    <row r="745" spans="1:17" x14ac:dyDescent="0.15">
      <c r="A745" s="1">
        <v>344492</v>
      </c>
      <c r="B745" s="1">
        <v>0</v>
      </c>
      <c r="C745" s="1" t="s">
        <v>280</v>
      </c>
      <c r="D745" s="1" t="s">
        <v>27</v>
      </c>
      <c r="E745" s="1" t="s">
        <v>839</v>
      </c>
      <c r="F745" s="1" t="s">
        <v>840</v>
      </c>
      <c r="G745" s="1" t="s">
        <v>23</v>
      </c>
      <c r="I745" s="18">
        <v>41688.54965277778</v>
      </c>
      <c r="J745" s="1" t="s">
        <v>408</v>
      </c>
      <c r="K745" s="1" t="s">
        <v>18</v>
      </c>
      <c r="L745" s="1" t="s">
        <v>19</v>
      </c>
      <c r="Q745" s="21"/>
    </row>
    <row r="746" spans="1:17" x14ac:dyDescent="0.15">
      <c r="A746" s="1">
        <v>344230</v>
      </c>
      <c r="B746" s="1">
        <v>0</v>
      </c>
      <c r="C746" s="1" t="s">
        <v>923</v>
      </c>
      <c r="D746" s="1" t="s">
        <v>27</v>
      </c>
      <c r="E746" s="1" t="s">
        <v>3537</v>
      </c>
      <c r="F746" s="1" t="s">
        <v>3538</v>
      </c>
      <c r="G746" s="1" t="s">
        <v>23</v>
      </c>
      <c r="I746" s="18">
        <v>41686.946747685186</v>
      </c>
      <c r="J746" s="1" t="s">
        <v>17</v>
      </c>
      <c r="K746" s="1" t="s">
        <v>18</v>
      </c>
      <c r="L746" s="1" t="s">
        <v>19</v>
      </c>
      <c r="Q746" s="21"/>
    </row>
    <row r="747" spans="1:17" x14ac:dyDescent="0.15">
      <c r="A747" s="1">
        <v>344186</v>
      </c>
      <c r="B747" s="1">
        <v>0</v>
      </c>
      <c r="C747" s="1" t="s">
        <v>101</v>
      </c>
      <c r="D747" s="1" t="s">
        <v>27</v>
      </c>
      <c r="E747" s="1" t="s">
        <v>3284</v>
      </c>
      <c r="F747" s="1" t="s">
        <v>590</v>
      </c>
      <c r="G747" s="1" t="s">
        <v>23</v>
      </c>
      <c r="I747" s="18">
        <v>41685.996296296296</v>
      </c>
      <c r="J747" s="1" t="s">
        <v>17</v>
      </c>
      <c r="K747" s="1" t="s">
        <v>18</v>
      </c>
      <c r="L747" s="1" t="s">
        <v>19</v>
      </c>
      <c r="Q747" s="21"/>
    </row>
    <row r="748" spans="1:17" x14ac:dyDescent="0.15">
      <c r="A748" s="1">
        <v>344051</v>
      </c>
      <c r="B748" s="1">
        <v>0</v>
      </c>
      <c r="C748" s="1" t="s">
        <v>665</v>
      </c>
      <c r="D748" s="1" t="s">
        <v>3714</v>
      </c>
      <c r="E748" s="1" t="s">
        <v>3881</v>
      </c>
      <c r="F748" s="1" t="s">
        <v>3882</v>
      </c>
      <c r="G748" s="1" t="s">
        <v>1056</v>
      </c>
      <c r="I748" s="18">
        <v>41684.962731481479</v>
      </c>
      <c r="J748" s="1" t="s">
        <v>3883</v>
      </c>
      <c r="K748" s="1" t="s">
        <v>3586</v>
      </c>
      <c r="L748" s="1" t="s">
        <v>19</v>
      </c>
      <c r="Q748" s="21"/>
    </row>
    <row r="749" spans="1:17" x14ac:dyDescent="0.15">
      <c r="A749" s="1">
        <v>343964</v>
      </c>
      <c r="B749" s="1">
        <v>0</v>
      </c>
      <c r="C749" s="1" t="s">
        <v>101</v>
      </c>
      <c r="D749" s="1" t="s">
        <v>27</v>
      </c>
      <c r="E749" s="1" t="s">
        <v>589</v>
      </c>
      <c r="F749" s="1" t="s">
        <v>590</v>
      </c>
      <c r="G749" s="1" t="s">
        <v>23</v>
      </c>
      <c r="I749" s="18">
        <v>41684.802106481482</v>
      </c>
      <c r="J749" s="1" t="s">
        <v>17</v>
      </c>
      <c r="K749" s="1" t="s">
        <v>18</v>
      </c>
      <c r="L749" s="1" t="s">
        <v>19</v>
      </c>
      <c r="Q749" s="21"/>
    </row>
    <row r="750" spans="1:17" x14ac:dyDescent="0.15">
      <c r="A750" s="1">
        <v>343265</v>
      </c>
      <c r="B750" s="1">
        <v>0</v>
      </c>
      <c r="C750" s="1" t="s">
        <v>727</v>
      </c>
      <c r="D750" s="1" t="s">
        <v>27</v>
      </c>
      <c r="E750" s="1" t="s">
        <v>728</v>
      </c>
      <c r="F750" s="1" t="s">
        <v>729</v>
      </c>
      <c r="G750" s="1" t="s">
        <v>23</v>
      </c>
      <c r="I750" s="18">
        <v>41682.911446759259</v>
      </c>
      <c r="J750" s="1" t="s">
        <v>17</v>
      </c>
      <c r="K750" s="1" t="s">
        <v>18</v>
      </c>
      <c r="L750" s="1" t="s">
        <v>19</v>
      </c>
      <c r="Q750" s="21"/>
    </row>
    <row r="751" spans="1:17" x14ac:dyDescent="0.15">
      <c r="A751" s="1">
        <v>343050</v>
      </c>
      <c r="B751" s="1">
        <v>0</v>
      </c>
      <c r="C751" s="1" t="s">
        <v>2912</v>
      </c>
      <c r="D751" s="1" t="s">
        <v>27</v>
      </c>
      <c r="E751" s="1" t="s">
        <v>2913</v>
      </c>
      <c r="F751" s="1" t="s">
        <v>2914</v>
      </c>
      <c r="G751" s="1" t="s">
        <v>23</v>
      </c>
      <c r="I751" s="18">
        <v>41682.312280092592</v>
      </c>
      <c r="J751" s="1" t="s">
        <v>17</v>
      </c>
      <c r="K751" s="1" t="s">
        <v>18</v>
      </c>
      <c r="L751" s="1" t="s">
        <v>19</v>
      </c>
      <c r="Q751" s="21"/>
    </row>
    <row r="752" spans="1:17" x14ac:dyDescent="0.15">
      <c r="A752" s="1">
        <v>342618</v>
      </c>
      <c r="B752" s="1">
        <v>0</v>
      </c>
      <c r="C752" s="1" t="s">
        <v>26</v>
      </c>
      <c r="D752" s="1" t="s">
        <v>27</v>
      </c>
      <c r="E752" s="1" t="s">
        <v>2494</v>
      </c>
      <c r="F752" s="1" t="s">
        <v>2495</v>
      </c>
      <c r="G752" s="1"/>
      <c r="H752" s="1"/>
      <c r="I752" s="18">
        <v>41681.07885416667</v>
      </c>
      <c r="J752" s="1" t="s">
        <v>2496</v>
      </c>
      <c r="K752" s="1" t="s">
        <v>18</v>
      </c>
      <c r="L752" s="1" t="s">
        <v>19</v>
      </c>
      <c r="Q752" s="21"/>
    </row>
    <row r="753" spans="1:34" x14ac:dyDescent="0.15">
      <c r="A753" s="1">
        <v>339996</v>
      </c>
      <c r="B753" s="1">
        <v>0</v>
      </c>
      <c r="C753" s="1" t="s">
        <v>4060</v>
      </c>
      <c r="D753" s="1" t="s">
        <v>3911</v>
      </c>
      <c r="E753" s="1" t="s">
        <v>4061</v>
      </c>
      <c r="F753" s="1" t="s">
        <v>4062</v>
      </c>
      <c r="G753" s="1" t="s">
        <v>23</v>
      </c>
      <c r="I753" s="18">
        <v>41671.161921296298</v>
      </c>
      <c r="J753" s="1" t="s">
        <v>17</v>
      </c>
      <c r="K753" s="1" t="s">
        <v>18</v>
      </c>
      <c r="L753" s="1" t="s">
        <v>19</v>
      </c>
      <c r="Q753" s="21"/>
    </row>
    <row r="754" spans="1:34" x14ac:dyDescent="0.15">
      <c r="A754" s="1">
        <v>339995</v>
      </c>
      <c r="B754" s="1">
        <v>0</v>
      </c>
      <c r="C754" s="1" t="s">
        <v>424</v>
      </c>
      <c r="D754" s="1" t="s">
        <v>3911</v>
      </c>
      <c r="E754" s="1" t="s">
        <v>4058</v>
      </c>
      <c r="F754" s="1" t="s">
        <v>4059</v>
      </c>
      <c r="G754" s="1" t="s">
        <v>23</v>
      </c>
      <c r="I754" s="18">
        <v>41671.159421296295</v>
      </c>
      <c r="J754" s="1" t="s">
        <v>17</v>
      </c>
      <c r="K754" s="1" t="s">
        <v>18</v>
      </c>
      <c r="L754" s="1" t="s">
        <v>19</v>
      </c>
      <c r="Q754" s="21"/>
    </row>
    <row r="755" spans="1:34" x14ac:dyDescent="0.15">
      <c r="A755" s="1">
        <v>339337</v>
      </c>
      <c r="B755" s="1">
        <v>0</v>
      </c>
      <c r="D755" s="1" t="s">
        <v>27</v>
      </c>
      <c r="E755" s="1" t="s">
        <v>2280</v>
      </c>
      <c r="F755" s="1" t="s">
        <v>2281</v>
      </c>
      <c r="G755" s="1" t="s">
        <v>23</v>
      </c>
      <c r="I755" s="18">
        <v>41669.218321759261</v>
      </c>
      <c r="J755" s="1" t="s">
        <v>40</v>
      </c>
      <c r="K755" s="1" t="s">
        <v>18</v>
      </c>
      <c r="L755" s="1" t="s">
        <v>19</v>
      </c>
      <c r="Q755" s="21"/>
    </row>
    <row r="756" spans="1:34" x14ac:dyDescent="0.15">
      <c r="A756" s="1">
        <v>338561</v>
      </c>
      <c r="B756" s="1">
        <v>0</v>
      </c>
      <c r="C756" s="1" t="s">
        <v>50</v>
      </c>
      <c r="D756" s="1" t="s">
        <v>27</v>
      </c>
      <c r="E756" s="1" t="s">
        <v>219</v>
      </c>
      <c r="F756" s="1" t="s">
        <v>220</v>
      </c>
      <c r="G756" s="1" t="s">
        <v>23</v>
      </c>
      <c r="I756" s="18">
        <v>41667.040266203701</v>
      </c>
      <c r="J756" s="1" t="s">
        <v>17</v>
      </c>
      <c r="K756" s="1" t="s">
        <v>18</v>
      </c>
      <c r="L756" s="1" t="s">
        <v>19</v>
      </c>
      <c r="Q756" s="21"/>
    </row>
    <row r="757" spans="1:34" x14ac:dyDescent="0.15">
      <c r="A757" s="1">
        <v>338532</v>
      </c>
      <c r="B757" s="1">
        <v>0</v>
      </c>
      <c r="C757" s="1" t="s">
        <v>1810</v>
      </c>
      <c r="D757" s="1" t="s">
        <v>27</v>
      </c>
      <c r="E757" s="1" t="s">
        <v>1811</v>
      </c>
      <c r="F757" s="1" t="s">
        <v>1812</v>
      </c>
      <c r="G757" s="1" t="s">
        <v>23</v>
      </c>
      <c r="I757" s="18">
        <v>41666.981122685182</v>
      </c>
      <c r="J757" s="1" t="s">
        <v>17</v>
      </c>
      <c r="K757" s="1" t="s">
        <v>18</v>
      </c>
      <c r="L757" s="1" t="s">
        <v>19</v>
      </c>
      <c r="Q757" s="21"/>
    </row>
    <row r="758" spans="1:34" x14ac:dyDescent="0.15">
      <c r="A758" s="1">
        <v>338393</v>
      </c>
      <c r="B758" s="1">
        <v>0</v>
      </c>
      <c r="C758" s="1" t="s">
        <v>50</v>
      </c>
      <c r="D758" s="1" t="s">
        <v>27</v>
      </c>
      <c r="E758" s="1" t="s">
        <v>564</v>
      </c>
      <c r="F758" s="1" t="s">
        <v>565</v>
      </c>
      <c r="G758" s="1" t="s">
        <v>353</v>
      </c>
      <c r="I758" s="18">
        <v>41666.741412037038</v>
      </c>
      <c r="J758" s="1" t="s">
        <v>17</v>
      </c>
      <c r="K758" s="1" t="s">
        <v>18</v>
      </c>
      <c r="L758" s="1" t="s">
        <v>19</v>
      </c>
      <c r="Q758" s="21"/>
    </row>
    <row r="759" spans="1:34" x14ac:dyDescent="0.15">
      <c r="A759" s="1">
        <v>337882</v>
      </c>
      <c r="B759" s="1">
        <v>1</v>
      </c>
      <c r="D759" s="1" t="s">
        <v>27</v>
      </c>
      <c r="E759" s="1" t="s">
        <v>1244</v>
      </c>
      <c r="F759" s="1" t="s">
        <v>1245</v>
      </c>
      <c r="G759" s="1"/>
      <c r="H759" s="1"/>
      <c r="I759" s="18">
        <v>41663.790092592593</v>
      </c>
      <c r="J759" s="1" t="s">
        <v>68</v>
      </c>
      <c r="K759" s="1" t="s">
        <v>18</v>
      </c>
      <c r="L759" s="1" t="s">
        <v>19</v>
      </c>
      <c r="M759" s="1">
        <v>337512</v>
      </c>
      <c r="N759" s="1" t="s">
        <v>1246</v>
      </c>
      <c r="O759" s="18">
        <v>41662.761863425927</v>
      </c>
      <c r="P759" s="1" t="s">
        <v>17</v>
      </c>
      <c r="Q759" s="21">
        <f t="shared" si="12"/>
        <v>1.0282291666662786</v>
      </c>
      <c r="R759" s="1"/>
    </row>
    <row r="760" spans="1:34" x14ac:dyDescent="0.15">
      <c r="A760" s="1">
        <v>337746</v>
      </c>
      <c r="B760" s="1">
        <v>5</v>
      </c>
      <c r="C760" s="1" t="s">
        <v>670</v>
      </c>
      <c r="D760" s="1" t="s">
        <v>27</v>
      </c>
      <c r="E760" s="1" t="s">
        <v>671</v>
      </c>
      <c r="F760" s="1" t="s">
        <v>672</v>
      </c>
      <c r="G760" s="1" t="s">
        <v>23</v>
      </c>
      <c r="I760" s="18">
        <v>41663.241944444446</v>
      </c>
      <c r="J760" s="1" t="s">
        <v>673</v>
      </c>
      <c r="K760" s="1" t="s">
        <v>18</v>
      </c>
      <c r="L760" s="1" t="s">
        <v>19</v>
      </c>
      <c r="M760" s="1">
        <v>351536</v>
      </c>
      <c r="N760" s="1" t="s">
        <v>674</v>
      </c>
      <c r="O760" s="18">
        <v>41709.964629629627</v>
      </c>
      <c r="P760" s="1" t="s">
        <v>675</v>
      </c>
      <c r="Q760" s="21">
        <f t="shared" si="12"/>
        <v>46.722685185181035</v>
      </c>
      <c r="R760" s="1">
        <v>265346</v>
      </c>
      <c r="S760" s="1" t="s">
        <v>674</v>
      </c>
      <c r="T760" s="2" t="s">
        <v>4137</v>
      </c>
      <c r="U760" s="1" t="s">
        <v>676</v>
      </c>
      <c r="V760" s="1">
        <v>86484</v>
      </c>
      <c r="W760" s="1" t="s">
        <v>677</v>
      </c>
      <c r="X760" s="2" t="s">
        <v>4138</v>
      </c>
      <c r="Y760" s="1" t="s">
        <v>678</v>
      </c>
      <c r="Z760" s="1">
        <v>170348</v>
      </c>
      <c r="AA760" s="1" t="s">
        <v>679</v>
      </c>
      <c r="AB760" s="2" t="s">
        <v>4139</v>
      </c>
      <c r="AC760" s="1" t="s">
        <v>680</v>
      </c>
      <c r="AD760" s="1">
        <v>166274</v>
      </c>
      <c r="AE760" s="1" t="s">
        <v>679</v>
      </c>
      <c r="AF760" s="2" t="s">
        <v>4140</v>
      </c>
      <c r="AG760" s="1" t="s">
        <v>681</v>
      </c>
      <c r="AH760" s="1"/>
    </row>
    <row r="761" spans="1:34" x14ac:dyDescent="0.15">
      <c r="A761" s="1">
        <v>337071</v>
      </c>
      <c r="B761" s="1">
        <v>0</v>
      </c>
      <c r="C761" s="1" t="s">
        <v>1336</v>
      </c>
      <c r="D761" s="1" t="s">
        <v>27</v>
      </c>
      <c r="E761" s="1" t="s">
        <v>1337</v>
      </c>
      <c r="F761" s="1" t="s">
        <v>1338</v>
      </c>
      <c r="G761" s="1" t="s">
        <v>23</v>
      </c>
      <c r="I761" s="18">
        <v>41662.252812500003</v>
      </c>
      <c r="J761" s="1" t="s">
        <v>17</v>
      </c>
      <c r="K761" s="1" t="s">
        <v>18</v>
      </c>
      <c r="L761" s="1" t="s">
        <v>19</v>
      </c>
      <c r="Q761" s="21"/>
    </row>
    <row r="762" spans="1:34" x14ac:dyDescent="0.15">
      <c r="A762" s="1">
        <v>334897</v>
      </c>
      <c r="B762" s="1">
        <v>0</v>
      </c>
      <c r="C762" s="1" t="s">
        <v>2069</v>
      </c>
      <c r="D762" s="1" t="s">
        <v>27</v>
      </c>
      <c r="E762" s="1" t="s">
        <v>2070</v>
      </c>
      <c r="F762" s="1" t="s">
        <v>2071</v>
      </c>
      <c r="G762" s="1" t="s">
        <v>159</v>
      </c>
      <c r="I762" s="18">
        <v>41655.040694444448</v>
      </c>
      <c r="J762" s="1" t="s">
        <v>2072</v>
      </c>
      <c r="K762" s="1" t="s">
        <v>18</v>
      </c>
      <c r="L762" s="1" t="s">
        <v>19</v>
      </c>
      <c r="Q762" s="21"/>
    </row>
    <row r="763" spans="1:34" x14ac:dyDescent="0.15">
      <c r="A763" s="1">
        <v>334314</v>
      </c>
      <c r="B763" s="1">
        <v>0</v>
      </c>
      <c r="C763" s="1" t="s">
        <v>689</v>
      </c>
      <c r="D763" s="1" t="s">
        <v>27</v>
      </c>
      <c r="E763" s="1" t="s">
        <v>690</v>
      </c>
      <c r="F763" s="1" t="s">
        <v>691</v>
      </c>
      <c r="G763" s="1" t="s">
        <v>23</v>
      </c>
      <c r="I763" s="18">
        <v>41653.745057870372</v>
      </c>
      <c r="J763" s="1" t="s">
        <v>692</v>
      </c>
      <c r="K763" s="1" t="s">
        <v>18</v>
      </c>
      <c r="L763" s="1" t="s">
        <v>19</v>
      </c>
      <c r="Q763" s="21"/>
    </row>
    <row r="764" spans="1:34" x14ac:dyDescent="0.15">
      <c r="A764" s="1">
        <v>334274</v>
      </c>
      <c r="B764" s="1">
        <v>0</v>
      </c>
      <c r="C764" s="1" t="s">
        <v>689</v>
      </c>
      <c r="D764" s="1" t="s">
        <v>27</v>
      </c>
      <c r="E764" s="1" t="s">
        <v>970</v>
      </c>
      <c r="F764" s="1" t="s">
        <v>971</v>
      </c>
      <c r="G764" s="1" t="s">
        <v>23</v>
      </c>
      <c r="I764" s="18">
        <v>41653.654548611114</v>
      </c>
      <c r="J764" s="1" t="s">
        <v>228</v>
      </c>
      <c r="K764" s="1" t="s">
        <v>18</v>
      </c>
      <c r="L764" s="1" t="s">
        <v>19</v>
      </c>
      <c r="Q764" s="21"/>
    </row>
    <row r="765" spans="1:34" x14ac:dyDescent="0.15">
      <c r="A765" s="1">
        <v>333885</v>
      </c>
      <c r="B765" s="1">
        <v>0</v>
      </c>
      <c r="C765" s="1" t="s">
        <v>2047</v>
      </c>
      <c r="D765" s="1" t="s">
        <v>27</v>
      </c>
      <c r="E765" s="1" t="s">
        <v>2048</v>
      </c>
      <c r="F765" s="1" t="s">
        <v>2049</v>
      </c>
      <c r="G765" s="1" t="s">
        <v>23</v>
      </c>
      <c r="I765" s="18">
        <v>41652.656967592593</v>
      </c>
      <c r="J765" s="1" t="s">
        <v>17</v>
      </c>
      <c r="K765" s="1" t="s">
        <v>18</v>
      </c>
      <c r="L765" s="1" t="s">
        <v>19</v>
      </c>
      <c r="Q765" s="21"/>
    </row>
    <row r="766" spans="1:34" x14ac:dyDescent="0.15">
      <c r="A766" s="1">
        <v>333156</v>
      </c>
      <c r="B766" s="1">
        <v>0</v>
      </c>
      <c r="C766" s="1" t="s">
        <v>280</v>
      </c>
      <c r="D766" s="1" t="s">
        <v>27</v>
      </c>
      <c r="E766" s="1" t="s">
        <v>2164</v>
      </c>
      <c r="F766" s="1" t="s">
        <v>2956</v>
      </c>
      <c r="G766" s="1" t="s">
        <v>23</v>
      </c>
      <c r="I766" s="18">
        <v>41649.243321759262</v>
      </c>
      <c r="J766" s="1" t="s">
        <v>17</v>
      </c>
      <c r="K766" s="1" t="s">
        <v>18</v>
      </c>
      <c r="L766" s="1" t="s">
        <v>19</v>
      </c>
      <c r="Q766" s="21"/>
    </row>
    <row r="767" spans="1:34" x14ac:dyDescent="0.15">
      <c r="A767" s="1">
        <v>333155</v>
      </c>
      <c r="B767" s="1">
        <v>0</v>
      </c>
      <c r="D767" s="1" t="s">
        <v>27</v>
      </c>
      <c r="E767" s="1" t="s">
        <v>2957</v>
      </c>
      <c r="F767" s="1" t="s">
        <v>2958</v>
      </c>
      <c r="G767" s="1" t="s">
        <v>23</v>
      </c>
      <c r="I767" s="18">
        <v>41649.241689814815</v>
      </c>
      <c r="J767" s="1" t="s">
        <v>40</v>
      </c>
      <c r="K767" s="1" t="s">
        <v>18</v>
      </c>
      <c r="L767" s="1" t="s">
        <v>19</v>
      </c>
      <c r="Q767" s="21"/>
    </row>
    <row r="768" spans="1:34" x14ac:dyDescent="0.15">
      <c r="A768" s="1">
        <v>333058</v>
      </c>
      <c r="B768" s="1">
        <v>1</v>
      </c>
      <c r="C768" s="1" t="s">
        <v>1391</v>
      </c>
      <c r="D768" s="1" t="s">
        <v>27</v>
      </c>
      <c r="E768" s="1" t="s">
        <v>2989</v>
      </c>
      <c r="F768" s="1" t="s">
        <v>2990</v>
      </c>
      <c r="G768" s="1" t="s">
        <v>23</v>
      </c>
      <c r="I768" s="18">
        <v>41648.947268518517</v>
      </c>
      <c r="J768" s="1" t="s">
        <v>860</v>
      </c>
      <c r="K768" s="1" t="s">
        <v>18</v>
      </c>
      <c r="L768" s="1" t="s">
        <v>19</v>
      </c>
      <c r="M768" s="1">
        <v>338108</v>
      </c>
      <c r="N768" s="1" t="s">
        <v>2991</v>
      </c>
      <c r="O768" s="18">
        <v>41664.709398148145</v>
      </c>
      <c r="P768" s="1" t="s">
        <v>17</v>
      </c>
      <c r="Q768" s="21">
        <f t="shared" si="12"/>
        <v>15.762129629627452</v>
      </c>
      <c r="R768" s="1"/>
    </row>
    <row r="769" spans="1:18" x14ac:dyDescent="0.15">
      <c r="A769" s="1">
        <v>333038</v>
      </c>
      <c r="B769" s="1">
        <v>0</v>
      </c>
      <c r="D769" s="1" t="s">
        <v>27</v>
      </c>
      <c r="E769" s="1" t="s">
        <v>2595</v>
      </c>
      <c r="F769" s="1" t="s">
        <v>2596</v>
      </c>
      <c r="G769" s="1" t="s">
        <v>23</v>
      </c>
      <c r="I769" s="18">
        <v>41648.91920138889</v>
      </c>
      <c r="J769" s="1" t="s">
        <v>228</v>
      </c>
      <c r="K769" s="1" t="s">
        <v>18</v>
      </c>
      <c r="L769" s="1" t="s">
        <v>19</v>
      </c>
      <c r="Q769" s="21"/>
    </row>
    <row r="770" spans="1:18" x14ac:dyDescent="0.15">
      <c r="A770" s="1">
        <v>332957</v>
      </c>
      <c r="B770" s="1">
        <v>0</v>
      </c>
      <c r="C770" s="1" t="s">
        <v>829</v>
      </c>
      <c r="D770" s="1" t="s">
        <v>27</v>
      </c>
      <c r="E770" s="1" t="s">
        <v>2035</v>
      </c>
      <c r="F770" s="1" t="s">
        <v>691</v>
      </c>
      <c r="G770" s="1" t="s">
        <v>23</v>
      </c>
      <c r="I770" s="18">
        <v>41648.785902777781</v>
      </c>
      <c r="J770" s="1" t="s">
        <v>1171</v>
      </c>
      <c r="K770" s="1" t="s">
        <v>18</v>
      </c>
      <c r="L770" s="1" t="s">
        <v>19</v>
      </c>
      <c r="Q770" s="21"/>
    </row>
    <row r="771" spans="1:18" x14ac:dyDescent="0.15">
      <c r="A771" s="1">
        <v>331790</v>
      </c>
      <c r="B771" s="1">
        <v>0</v>
      </c>
      <c r="D771" s="1" t="s">
        <v>27</v>
      </c>
      <c r="E771" s="1" t="s">
        <v>1931</v>
      </c>
      <c r="F771" s="1" t="s">
        <v>1932</v>
      </c>
      <c r="G771" s="1" t="s">
        <v>23</v>
      </c>
      <c r="I771" s="18">
        <v>41645.58734953704</v>
      </c>
      <c r="J771" s="1" t="s">
        <v>98</v>
      </c>
      <c r="K771" s="1" t="s">
        <v>18</v>
      </c>
      <c r="L771" s="1" t="s">
        <v>19</v>
      </c>
      <c r="Q771" s="21"/>
    </row>
    <row r="772" spans="1:18" x14ac:dyDescent="0.15">
      <c r="A772" s="1">
        <v>330660</v>
      </c>
      <c r="B772" s="1">
        <v>0</v>
      </c>
      <c r="C772" s="1" t="s">
        <v>73</v>
      </c>
      <c r="D772" s="1" t="s">
        <v>27</v>
      </c>
      <c r="E772" s="1" t="s">
        <v>3223</v>
      </c>
      <c r="F772" s="1" t="s">
        <v>3224</v>
      </c>
      <c r="G772" s="1" t="s">
        <v>159</v>
      </c>
      <c r="I772" s="18">
        <v>41633.810104166667</v>
      </c>
      <c r="J772" s="1" t="s">
        <v>98</v>
      </c>
      <c r="K772" s="1" t="s">
        <v>18</v>
      </c>
      <c r="L772" s="1" t="s">
        <v>19</v>
      </c>
      <c r="Q772" s="21"/>
    </row>
    <row r="773" spans="1:18" x14ac:dyDescent="0.15">
      <c r="A773" s="1">
        <v>330420</v>
      </c>
      <c r="B773" s="1">
        <v>0</v>
      </c>
      <c r="C773" s="1" t="s">
        <v>933</v>
      </c>
      <c r="D773" s="1" t="s">
        <v>27</v>
      </c>
      <c r="E773" s="1" t="s">
        <v>934</v>
      </c>
      <c r="F773" s="1" t="s">
        <v>935</v>
      </c>
      <c r="G773" s="1" t="s">
        <v>23</v>
      </c>
      <c r="I773" s="18">
        <v>41629.859768518516</v>
      </c>
      <c r="J773" s="1" t="s">
        <v>408</v>
      </c>
      <c r="K773" s="1" t="s">
        <v>18</v>
      </c>
      <c r="L773" s="1" t="s">
        <v>19</v>
      </c>
      <c r="Q773" s="21"/>
    </row>
    <row r="774" spans="1:18" x14ac:dyDescent="0.15">
      <c r="A774" s="1">
        <v>330222</v>
      </c>
      <c r="B774" s="1">
        <v>0</v>
      </c>
      <c r="C774" s="1" t="s">
        <v>470</v>
      </c>
      <c r="D774" s="1" t="s">
        <v>27</v>
      </c>
      <c r="E774" s="1" t="s">
        <v>2239</v>
      </c>
      <c r="F774" s="1" t="s">
        <v>1198</v>
      </c>
      <c r="G774" s="1" t="s">
        <v>23</v>
      </c>
      <c r="I774" s="18">
        <v>41628.693692129629</v>
      </c>
      <c r="J774" s="1" t="s">
        <v>17</v>
      </c>
      <c r="K774" s="1" t="s">
        <v>18</v>
      </c>
      <c r="L774" s="1" t="s">
        <v>19</v>
      </c>
      <c r="Q774" s="21"/>
    </row>
    <row r="775" spans="1:18" x14ac:dyDescent="0.15">
      <c r="A775" s="1">
        <v>329978</v>
      </c>
      <c r="B775" s="1">
        <v>0</v>
      </c>
      <c r="C775" s="1" t="s">
        <v>1502</v>
      </c>
      <c r="D775" s="1" t="s">
        <v>27</v>
      </c>
      <c r="E775" s="1" t="s">
        <v>1503</v>
      </c>
      <c r="F775" s="1" t="s">
        <v>1504</v>
      </c>
      <c r="G775" s="1" t="s">
        <v>23</v>
      </c>
      <c r="I775" s="18">
        <v>41627.848032407404</v>
      </c>
      <c r="J775" s="1" t="s">
        <v>193</v>
      </c>
      <c r="K775" s="1" t="s">
        <v>18</v>
      </c>
      <c r="L775" s="1" t="s">
        <v>19</v>
      </c>
      <c r="Q775" s="21"/>
    </row>
    <row r="776" spans="1:18" x14ac:dyDescent="0.15">
      <c r="A776" s="1">
        <v>329651</v>
      </c>
      <c r="B776" s="1">
        <v>1</v>
      </c>
      <c r="C776" s="1" t="s">
        <v>73</v>
      </c>
      <c r="D776" s="1" t="s">
        <v>27</v>
      </c>
      <c r="E776" s="1" t="s">
        <v>1721</v>
      </c>
      <c r="F776" s="1" t="s">
        <v>1722</v>
      </c>
      <c r="G776" s="1" t="s">
        <v>23</v>
      </c>
      <c r="I776" s="18">
        <v>41626.927025462966</v>
      </c>
      <c r="J776" s="1" t="s">
        <v>193</v>
      </c>
      <c r="K776" s="1" t="s">
        <v>18</v>
      </c>
      <c r="L776" s="1" t="s">
        <v>19</v>
      </c>
      <c r="M776" s="1">
        <v>328543</v>
      </c>
      <c r="N776" s="1" t="s">
        <v>1723</v>
      </c>
      <c r="O776" s="18">
        <v>41621.921516203707</v>
      </c>
      <c r="P776" s="1" t="s">
        <v>1724</v>
      </c>
      <c r="Q776" s="21">
        <f t="shared" ref="Q776:Q837" si="13">ABS(O776-I776)</f>
        <v>5.00550925925927</v>
      </c>
      <c r="R776" s="1"/>
    </row>
    <row r="777" spans="1:18" x14ac:dyDescent="0.15">
      <c r="A777" s="1">
        <v>327729</v>
      </c>
      <c r="B777" s="1">
        <v>0</v>
      </c>
      <c r="C777" s="1" t="s">
        <v>280</v>
      </c>
      <c r="D777" s="1" t="s">
        <v>27</v>
      </c>
      <c r="E777" s="1" t="s">
        <v>1450</v>
      </c>
      <c r="F777" s="1" t="s">
        <v>1451</v>
      </c>
      <c r="G777" s="1" t="s">
        <v>23</v>
      </c>
      <c r="I777" s="18">
        <v>41619.707256944443</v>
      </c>
      <c r="J777" s="1" t="s">
        <v>17</v>
      </c>
      <c r="K777" s="1" t="s">
        <v>18</v>
      </c>
      <c r="L777" s="1" t="s">
        <v>19</v>
      </c>
      <c r="Q777" s="21"/>
    </row>
    <row r="778" spans="1:18" x14ac:dyDescent="0.15">
      <c r="A778" s="1">
        <v>327070</v>
      </c>
      <c r="B778" s="1">
        <v>0</v>
      </c>
      <c r="C778" s="1" t="s">
        <v>268</v>
      </c>
      <c r="D778" s="1" t="s">
        <v>27</v>
      </c>
      <c r="E778" s="1" t="s">
        <v>1790</v>
      </c>
      <c r="F778" s="1" t="s">
        <v>1791</v>
      </c>
      <c r="G778" s="1" t="s">
        <v>23</v>
      </c>
      <c r="I778" s="18">
        <v>41617.827349537038</v>
      </c>
      <c r="J778" s="1" t="s">
        <v>17</v>
      </c>
      <c r="K778" s="1" t="s">
        <v>18</v>
      </c>
      <c r="L778" s="1" t="s">
        <v>19</v>
      </c>
      <c r="Q778" s="21"/>
    </row>
    <row r="779" spans="1:18" x14ac:dyDescent="0.15">
      <c r="A779" s="1">
        <v>326860</v>
      </c>
      <c r="B779" s="1">
        <v>0</v>
      </c>
      <c r="C779" s="1" t="s">
        <v>268</v>
      </c>
      <c r="D779" s="1" t="s">
        <v>27</v>
      </c>
      <c r="E779" s="1" t="s">
        <v>1197</v>
      </c>
      <c r="F779" s="1" t="s">
        <v>1198</v>
      </c>
      <c r="G779" s="1" t="s">
        <v>23</v>
      </c>
      <c r="I779" s="18">
        <v>41616.945023148146</v>
      </c>
      <c r="J779" s="1" t="s">
        <v>17</v>
      </c>
      <c r="K779" s="1" t="s">
        <v>18</v>
      </c>
      <c r="L779" s="1" t="s">
        <v>19</v>
      </c>
      <c r="Q779" s="21"/>
    </row>
    <row r="780" spans="1:18" x14ac:dyDescent="0.15">
      <c r="A780" s="1">
        <v>326854</v>
      </c>
      <c r="B780" s="1">
        <v>1</v>
      </c>
      <c r="C780" s="1" t="s">
        <v>369</v>
      </c>
      <c r="D780" s="1" t="s">
        <v>27</v>
      </c>
      <c r="E780" s="1" t="s">
        <v>920</v>
      </c>
      <c r="F780" s="1" t="s">
        <v>921</v>
      </c>
      <c r="G780" s="1" t="s">
        <v>23</v>
      </c>
      <c r="I780" s="18">
        <v>41616.847592592596</v>
      </c>
      <c r="J780" s="1" t="s">
        <v>408</v>
      </c>
      <c r="K780" s="1" t="s">
        <v>18</v>
      </c>
      <c r="L780" s="1" t="s">
        <v>19</v>
      </c>
      <c r="M780" s="1">
        <v>327715</v>
      </c>
      <c r="N780" s="1" t="s">
        <v>922</v>
      </c>
      <c r="O780" s="18">
        <v>41619.68478009259</v>
      </c>
      <c r="P780" s="1" t="s">
        <v>17</v>
      </c>
      <c r="Q780" s="21">
        <f t="shared" si="13"/>
        <v>2.8371874999938882</v>
      </c>
      <c r="R780" s="1"/>
    </row>
    <row r="781" spans="1:18" x14ac:dyDescent="0.15">
      <c r="A781" s="1">
        <v>326622</v>
      </c>
      <c r="B781" s="1">
        <v>0</v>
      </c>
      <c r="D781" s="1" t="s">
        <v>3911</v>
      </c>
      <c r="E781" s="1" t="s">
        <v>4031</v>
      </c>
      <c r="F781" s="1" t="s">
        <v>4032</v>
      </c>
      <c r="G781" s="1" t="s">
        <v>23</v>
      </c>
      <c r="I781" s="18">
        <v>41614.888009259259</v>
      </c>
      <c r="J781" s="1" t="s">
        <v>17</v>
      </c>
      <c r="K781" s="1" t="s">
        <v>18</v>
      </c>
      <c r="L781" s="1" t="s">
        <v>19</v>
      </c>
      <c r="Q781" s="21"/>
    </row>
    <row r="782" spans="1:18" x14ac:dyDescent="0.15">
      <c r="A782" s="1">
        <v>324969</v>
      </c>
      <c r="B782" s="1">
        <v>0</v>
      </c>
      <c r="C782" s="1" t="s">
        <v>927</v>
      </c>
      <c r="D782" s="1" t="s">
        <v>27</v>
      </c>
      <c r="E782" s="1" t="s">
        <v>1275</v>
      </c>
      <c r="F782" s="1" t="s">
        <v>1276</v>
      </c>
      <c r="G782" s="1" t="s">
        <v>353</v>
      </c>
      <c r="I782" s="18">
        <v>41610.958715277775</v>
      </c>
      <c r="J782" s="1" t="s">
        <v>1277</v>
      </c>
      <c r="K782" s="1" t="s">
        <v>18</v>
      </c>
      <c r="L782" s="1" t="s">
        <v>19</v>
      </c>
      <c r="Q782" s="21"/>
    </row>
    <row r="783" spans="1:18" x14ac:dyDescent="0.15">
      <c r="A783" s="1">
        <v>324321</v>
      </c>
      <c r="B783" s="1">
        <v>0</v>
      </c>
      <c r="C783" s="1" t="s">
        <v>522</v>
      </c>
      <c r="D783" s="1" t="s">
        <v>27</v>
      </c>
      <c r="E783" s="1" t="s">
        <v>1016</v>
      </c>
      <c r="F783" s="1" t="s">
        <v>1734</v>
      </c>
      <c r="G783" s="1" t="s">
        <v>23</v>
      </c>
      <c r="I783" s="18">
        <v>41606.669224537036</v>
      </c>
      <c r="J783" s="1" t="s">
        <v>17</v>
      </c>
      <c r="K783" s="1" t="s">
        <v>18</v>
      </c>
      <c r="L783" s="1" t="s">
        <v>19</v>
      </c>
      <c r="Q783" s="21"/>
    </row>
    <row r="784" spans="1:18" x14ac:dyDescent="0.15">
      <c r="A784" s="1">
        <v>323682</v>
      </c>
      <c r="B784" s="1">
        <v>0</v>
      </c>
      <c r="C784" s="1" t="s">
        <v>280</v>
      </c>
      <c r="D784" s="1" t="s">
        <v>27</v>
      </c>
      <c r="E784" s="1" t="s">
        <v>2164</v>
      </c>
      <c r="F784" s="1" t="s">
        <v>2165</v>
      </c>
      <c r="G784" s="1" t="s">
        <v>23</v>
      </c>
      <c r="I784" s="18">
        <v>41604.891817129632</v>
      </c>
      <c r="J784" s="1" t="s">
        <v>17</v>
      </c>
      <c r="K784" s="1" t="s">
        <v>18</v>
      </c>
      <c r="L784" s="1" t="s">
        <v>19</v>
      </c>
      <c r="Q784" s="21"/>
    </row>
    <row r="785" spans="1:18" x14ac:dyDescent="0.15">
      <c r="A785" s="1">
        <v>323218</v>
      </c>
      <c r="B785" s="1">
        <v>0</v>
      </c>
      <c r="C785" s="1" t="s">
        <v>4000</v>
      </c>
      <c r="D785" s="1" t="s">
        <v>3911</v>
      </c>
      <c r="E785" s="1" t="s">
        <v>4001</v>
      </c>
      <c r="F785" s="1" t="s">
        <v>4002</v>
      </c>
      <c r="G785" s="1" t="s">
        <v>159</v>
      </c>
      <c r="I785" s="18">
        <v>41603.777754629627</v>
      </c>
      <c r="J785" s="1" t="s">
        <v>4003</v>
      </c>
      <c r="K785" s="1" t="s">
        <v>18</v>
      </c>
      <c r="L785" s="1" t="s">
        <v>19</v>
      </c>
      <c r="Q785" s="21"/>
    </row>
    <row r="786" spans="1:18" x14ac:dyDescent="0.15">
      <c r="A786" s="1">
        <v>322937</v>
      </c>
      <c r="B786" s="1">
        <v>0</v>
      </c>
      <c r="C786" s="1" t="s">
        <v>268</v>
      </c>
      <c r="D786" s="1" t="s">
        <v>27</v>
      </c>
      <c r="E786" s="1" t="s">
        <v>1197</v>
      </c>
      <c r="F786" s="1" t="s">
        <v>1639</v>
      </c>
      <c r="G786" s="1" t="s">
        <v>23</v>
      </c>
      <c r="I786" s="18">
        <v>41601.679178240738</v>
      </c>
      <c r="J786" s="1" t="s">
        <v>17</v>
      </c>
      <c r="K786" s="1" t="s">
        <v>18</v>
      </c>
      <c r="L786" s="1" t="s">
        <v>19</v>
      </c>
      <c r="Q786" s="21"/>
    </row>
    <row r="787" spans="1:18" x14ac:dyDescent="0.15">
      <c r="A787" s="1">
        <v>322554</v>
      </c>
      <c r="B787" s="1">
        <v>0</v>
      </c>
      <c r="C787" s="1" t="s">
        <v>2093</v>
      </c>
      <c r="D787" s="1" t="s">
        <v>27</v>
      </c>
      <c r="E787" s="1" t="s">
        <v>2696</v>
      </c>
      <c r="F787" s="1" t="s">
        <v>2697</v>
      </c>
      <c r="G787" s="1" t="s">
        <v>23</v>
      </c>
      <c r="I787" s="18">
        <v>41600.686192129629</v>
      </c>
      <c r="J787" s="1" t="s">
        <v>193</v>
      </c>
      <c r="K787" s="1" t="s">
        <v>18</v>
      </c>
      <c r="L787" s="1" t="s">
        <v>19</v>
      </c>
      <c r="Q787" s="21"/>
    </row>
    <row r="788" spans="1:18" x14ac:dyDescent="0.15">
      <c r="A788" s="1">
        <v>322348</v>
      </c>
      <c r="B788" s="1">
        <v>0</v>
      </c>
      <c r="C788" s="1" t="s">
        <v>369</v>
      </c>
      <c r="D788" s="1" t="s">
        <v>27</v>
      </c>
      <c r="E788" s="1" t="s">
        <v>982</v>
      </c>
      <c r="F788" s="1" t="s">
        <v>983</v>
      </c>
      <c r="G788" s="1" t="s">
        <v>23</v>
      </c>
      <c r="I788" s="18">
        <v>41600.11209490741</v>
      </c>
      <c r="J788" s="1" t="s">
        <v>17</v>
      </c>
      <c r="K788" s="1" t="s">
        <v>18</v>
      </c>
      <c r="L788" s="1" t="s">
        <v>19</v>
      </c>
      <c r="Q788" s="21"/>
    </row>
    <row r="789" spans="1:18" x14ac:dyDescent="0.15">
      <c r="A789" s="1">
        <v>322195</v>
      </c>
      <c r="B789" s="1">
        <v>0</v>
      </c>
      <c r="C789" s="1" t="s">
        <v>829</v>
      </c>
      <c r="D789" s="1" t="s">
        <v>3714</v>
      </c>
      <c r="E789" s="1" t="s">
        <v>3781</v>
      </c>
      <c r="F789" s="1" t="s">
        <v>3782</v>
      </c>
      <c r="G789" s="1" t="s">
        <v>23</v>
      </c>
      <c r="I789" s="18">
        <v>41599.909317129626</v>
      </c>
      <c r="J789" s="1" t="s">
        <v>17</v>
      </c>
      <c r="K789" s="1" t="s">
        <v>18</v>
      </c>
      <c r="L789" s="1" t="s">
        <v>19</v>
      </c>
      <c r="Q789" s="21"/>
    </row>
    <row r="790" spans="1:18" x14ac:dyDescent="0.15">
      <c r="A790" s="1">
        <v>320313</v>
      </c>
      <c r="B790" s="1">
        <v>0</v>
      </c>
      <c r="C790" s="1" t="s">
        <v>829</v>
      </c>
      <c r="D790" s="1" t="s">
        <v>27</v>
      </c>
      <c r="E790" s="1" t="s">
        <v>3318</v>
      </c>
      <c r="F790" s="1" t="s">
        <v>3319</v>
      </c>
      <c r="G790" s="1" t="s">
        <v>23</v>
      </c>
      <c r="I790" s="18">
        <v>41594.662152777775</v>
      </c>
      <c r="J790" s="1" t="s">
        <v>17</v>
      </c>
      <c r="K790" s="1" t="s">
        <v>18</v>
      </c>
      <c r="L790" s="1" t="s">
        <v>19</v>
      </c>
      <c r="Q790" s="21"/>
    </row>
    <row r="791" spans="1:18" x14ac:dyDescent="0.15">
      <c r="A791" s="1">
        <v>319914</v>
      </c>
      <c r="B791" s="1">
        <v>0</v>
      </c>
      <c r="C791" s="1" t="s">
        <v>1391</v>
      </c>
      <c r="D791" s="1" t="s">
        <v>27</v>
      </c>
      <c r="E791" s="1" t="s">
        <v>1919</v>
      </c>
      <c r="F791" s="1" t="s">
        <v>1920</v>
      </c>
      <c r="G791" s="1" t="s">
        <v>23</v>
      </c>
      <c r="I791" s="18">
        <v>41593.730902777781</v>
      </c>
      <c r="J791" s="1" t="s">
        <v>17</v>
      </c>
      <c r="K791" s="1" t="s">
        <v>18</v>
      </c>
      <c r="L791" s="1" t="s">
        <v>19</v>
      </c>
      <c r="Q791" s="21"/>
    </row>
    <row r="792" spans="1:18" x14ac:dyDescent="0.15">
      <c r="A792" s="1">
        <v>319835</v>
      </c>
      <c r="B792" s="1">
        <v>0</v>
      </c>
      <c r="D792" s="1" t="s">
        <v>27</v>
      </c>
      <c r="E792" s="1" t="s">
        <v>2178</v>
      </c>
      <c r="F792" s="1" t="s">
        <v>2179</v>
      </c>
      <c r="G792" s="1" t="s">
        <v>23</v>
      </c>
      <c r="I792" s="18">
        <v>41593.604884259257</v>
      </c>
      <c r="J792" s="1" t="s">
        <v>258</v>
      </c>
      <c r="K792" s="1" t="s">
        <v>18</v>
      </c>
      <c r="L792" s="1" t="s">
        <v>19</v>
      </c>
      <c r="Q792" s="21"/>
    </row>
    <row r="793" spans="1:18" x14ac:dyDescent="0.15">
      <c r="A793" s="1">
        <v>319477</v>
      </c>
      <c r="B793" s="1">
        <v>0</v>
      </c>
      <c r="C793" s="1" t="s">
        <v>2866</v>
      </c>
      <c r="D793" s="1" t="s">
        <v>27</v>
      </c>
      <c r="E793" s="1" t="s">
        <v>2867</v>
      </c>
      <c r="F793" s="1" t="s">
        <v>2868</v>
      </c>
      <c r="G793" s="1" t="s">
        <v>23</v>
      </c>
      <c r="I793" s="18">
        <v>41592.840092592596</v>
      </c>
      <c r="J793" s="1" t="s">
        <v>193</v>
      </c>
      <c r="K793" s="1" t="s">
        <v>18</v>
      </c>
      <c r="L793" s="1" t="s">
        <v>19</v>
      </c>
      <c r="Q793" s="21"/>
    </row>
    <row r="794" spans="1:18" x14ac:dyDescent="0.15">
      <c r="A794" s="1">
        <v>319117</v>
      </c>
      <c r="B794" s="1">
        <v>0</v>
      </c>
      <c r="C794" s="1" t="s">
        <v>170</v>
      </c>
      <c r="D794" s="1" t="s">
        <v>27</v>
      </c>
      <c r="E794" s="1" t="s">
        <v>3636</v>
      </c>
      <c r="F794" s="1" t="s">
        <v>3637</v>
      </c>
      <c r="G794" s="1" t="s">
        <v>23</v>
      </c>
      <c r="I794" s="18">
        <v>41592.204629629632</v>
      </c>
      <c r="J794" s="1" t="s">
        <v>151</v>
      </c>
      <c r="K794" s="1" t="s">
        <v>3586</v>
      </c>
      <c r="L794" s="1" t="s">
        <v>19</v>
      </c>
      <c r="Q794" s="21"/>
    </row>
    <row r="795" spans="1:18" x14ac:dyDescent="0.15">
      <c r="A795" s="1">
        <v>317999</v>
      </c>
      <c r="B795" s="1">
        <v>0</v>
      </c>
      <c r="C795" s="1" t="s">
        <v>225</v>
      </c>
      <c r="D795" s="1" t="s">
        <v>27</v>
      </c>
      <c r="E795" s="1" t="s">
        <v>226</v>
      </c>
      <c r="F795" s="1" t="s">
        <v>227</v>
      </c>
      <c r="G795" s="1" t="s">
        <v>23</v>
      </c>
      <c r="I795" s="18">
        <v>41590.220486111109</v>
      </c>
      <c r="J795" s="1" t="s">
        <v>228</v>
      </c>
      <c r="K795" s="1" t="s">
        <v>18</v>
      </c>
      <c r="L795" s="1" t="s">
        <v>19</v>
      </c>
      <c r="Q795" s="21"/>
    </row>
    <row r="796" spans="1:18" x14ac:dyDescent="0.15">
      <c r="A796" s="1">
        <v>314469</v>
      </c>
      <c r="B796" s="1">
        <v>1</v>
      </c>
      <c r="C796" s="1" t="s">
        <v>923</v>
      </c>
      <c r="D796" s="1" t="s">
        <v>27</v>
      </c>
      <c r="E796" s="1" t="s">
        <v>924</v>
      </c>
      <c r="F796" s="1" t="s">
        <v>925</v>
      </c>
      <c r="G796" s="1"/>
      <c r="H796" s="1"/>
      <c r="I796" s="18">
        <v>41581.555555555555</v>
      </c>
      <c r="J796" s="1" t="s">
        <v>68</v>
      </c>
      <c r="K796" s="1" t="s">
        <v>18</v>
      </c>
      <c r="L796" s="1" t="s">
        <v>19</v>
      </c>
      <c r="M796" s="1">
        <v>317424</v>
      </c>
      <c r="N796" s="1" t="s">
        <v>926</v>
      </c>
      <c r="O796" s="18">
        <v>41589.039375</v>
      </c>
      <c r="P796" s="1" t="s">
        <v>17</v>
      </c>
      <c r="Q796" s="21">
        <f t="shared" si="13"/>
        <v>7.4838194444455439</v>
      </c>
      <c r="R796" s="1"/>
    </row>
    <row r="797" spans="1:18" x14ac:dyDescent="0.15">
      <c r="A797" s="1">
        <v>314225</v>
      </c>
      <c r="B797" s="1">
        <v>0</v>
      </c>
      <c r="C797" s="1" t="s">
        <v>1545</v>
      </c>
      <c r="D797" s="1" t="s">
        <v>27</v>
      </c>
      <c r="E797" s="1" t="s">
        <v>3687</v>
      </c>
      <c r="F797" s="1" t="s">
        <v>3688</v>
      </c>
      <c r="G797" s="1" t="s">
        <v>23</v>
      </c>
      <c r="I797" s="18">
        <v>41579.908020833333</v>
      </c>
      <c r="J797" s="1" t="s">
        <v>17</v>
      </c>
      <c r="K797" s="1" t="s">
        <v>3586</v>
      </c>
      <c r="L797" s="1" t="s">
        <v>19</v>
      </c>
      <c r="Q797" s="21"/>
    </row>
    <row r="798" spans="1:18" x14ac:dyDescent="0.15">
      <c r="A798" s="1">
        <v>314088</v>
      </c>
      <c r="B798" s="1">
        <v>0</v>
      </c>
      <c r="C798" s="1" t="s">
        <v>95</v>
      </c>
      <c r="D798" s="1" t="s">
        <v>27</v>
      </c>
      <c r="E798" s="1" t="s">
        <v>1662</v>
      </c>
      <c r="F798" s="1" t="s">
        <v>1663</v>
      </c>
      <c r="G798" s="1" t="s">
        <v>23</v>
      </c>
      <c r="I798" s="18">
        <v>41579.625127314815</v>
      </c>
      <c r="J798" s="1" t="s">
        <v>17</v>
      </c>
      <c r="K798" s="1" t="s">
        <v>18</v>
      </c>
      <c r="L798" s="1" t="s">
        <v>19</v>
      </c>
      <c r="Q798" s="21"/>
    </row>
    <row r="799" spans="1:18" x14ac:dyDescent="0.15">
      <c r="A799" s="1">
        <v>313435</v>
      </c>
      <c r="B799" s="1">
        <v>0</v>
      </c>
      <c r="C799" s="1" t="s">
        <v>2715</v>
      </c>
      <c r="D799" s="1" t="s">
        <v>27</v>
      </c>
      <c r="E799" s="1" t="s">
        <v>2716</v>
      </c>
      <c r="F799" s="1" t="s">
        <v>2717</v>
      </c>
      <c r="G799" s="1" t="s">
        <v>23</v>
      </c>
      <c r="I799" s="18">
        <v>41577.915509259263</v>
      </c>
      <c r="J799" s="1" t="s">
        <v>2718</v>
      </c>
      <c r="K799" s="1" t="s">
        <v>18</v>
      </c>
      <c r="L799" s="1" t="s">
        <v>19</v>
      </c>
      <c r="Q799" s="21"/>
    </row>
    <row r="800" spans="1:18" x14ac:dyDescent="0.15">
      <c r="A800" s="1">
        <v>313005</v>
      </c>
      <c r="B800" s="1">
        <v>1</v>
      </c>
      <c r="C800" s="1" t="s">
        <v>31</v>
      </c>
      <c r="D800" s="1" t="s">
        <v>27</v>
      </c>
      <c r="E800" s="1" t="s">
        <v>982</v>
      </c>
      <c r="F800" s="1" t="s">
        <v>2114</v>
      </c>
      <c r="G800" s="1" t="s">
        <v>23</v>
      </c>
      <c r="I800" s="18">
        <v>41576.945509259262</v>
      </c>
      <c r="J800" s="1" t="s">
        <v>17</v>
      </c>
      <c r="K800" s="1" t="s">
        <v>18</v>
      </c>
      <c r="L800" s="1" t="s">
        <v>19</v>
      </c>
      <c r="M800" s="1">
        <v>309209</v>
      </c>
      <c r="N800" s="1" t="s">
        <v>2115</v>
      </c>
      <c r="O800" s="18">
        <v>41565.949571759258</v>
      </c>
      <c r="P800" s="1" t="s">
        <v>408</v>
      </c>
      <c r="Q800" s="21">
        <f t="shared" si="13"/>
        <v>10.995937500003492</v>
      </c>
      <c r="R800" s="1"/>
    </row>
    <row r="801" spans="1:18" x14ac:dyDescent="0.15">
      <c r="A801" s="1">
        <v>312016</v>
      </c>
      <c r="B801" s="1">
        <v>0</v>
      </c>
      <c r="C801" s="1" t="s">
        <v>582</v>
      </c>
      <c r="D801" s="1" t="s">
        <v>27</v>
      </c>
      <c r="E801" s="1" t="s">
        <v>583</v>
      </c>
      <c r="F801" s="1" t="s">
        <v>584</v>
      </c>
      <c r="G801" s="1" t="s">
        <v>23</v>
      </c>
      <c r="I801" s="18">
        <v>41573.83222222222</v>
      </c>
      <c r="J801" s="1" t="s">
        <v>193</v>
      </c>
      <c r="K801" s="1" t="s">
        <v>18</v>
      </c>
      <c r="L801" s="1" t="s">
        <v>19</v>
      </c>
      <c r="Q801" s="21"/>
    </row>
    <row r="802" spans="1:18" x14ac:dyDescent="0.15">
      <c r="A802" s="1">
        <v>311909</v>
      </c>
      <c r="B802" s="1">
        <v>0</v>
      </c>
      <c r="C802" s="1" t="s">
        <v>31</v>
      </c>
      <c r="D802" s="1" t="s">
        <v>27</v>
      </c>
      <c r="E802" s="1" t="s">
        <v>1798</v>
      </c>
      <c r="F802" s="1" t="s">
        <v>1799</v>
      </c>
      <c r="G802" s="1" t="s">
        <v>23</v>
      </c>
      <c r="I802" s="18">
        <v>41573.617905092593</v>
      </c>
      <c r="J802" s="1" t="s">
        <v>17</v>
      </c>
      <c r="K802" s="1" t="s">
        <v>18</v>
      </c>
      <c r="L802" s="1" t="s">
        <v>19</v>
      </c>
      <c r="Q802" s="21"/>
    </row>
    <row r="803" spans="1:18" x14ac:dyDescent="0.15">
      <c r="A803" s="1">
        <v>309421</v>
      </c>
      <c r="B803" s="1">
        <v>0</v>
      </c>
      <c r="C803" s="1" t="s">
        <v>31</v>
      </c>
      <c r="D803" s="1" t="s">
        <v>3911</v>
      </c>
      <c r="E803" s="1" t="s">
        <v>3914</v>
      </c>
      <c r="F803" s="1" t="s">
        <v>3915</v>
      </c>
      <c r="G803" s="1" t="s">
        <v>23</v>
      </c>
      <c r="I803" s="18">
        <v>41567.027303240742</v>
      </c>
      <c r="J803" s="1" t="s">
        <v>17</v>
      </c>
      <c r="K803" s="1" t="s">
        <v>18</v>
      </c>
      <c r="L803" s="1" t="s">
        <v>19</v>
      </c>
      <c r="Q803" s="21"/>
    </row>
    <row r="804" spans="1:18" x14ac:dyDescent="0.15">
      <c r="A804" s="1">
        <v>308988</v>
      </c>
      <c r="B804" s="1">
        <v>0</v>
      </c>
      <c r="C804" s="1" t="s">
        <v>2762</v>
      </c>
      <c r="D804" s="1" t="s">
        <v>27</v>
      </c>
      <c r="E804" s="1" t="s">
        <v>2763</v>
      </c>
      <c r="F804" s="1" t="s">
        <v>2764</v>
      </c>
      <c r="G804" s="1" t="s">
        <v>23</v>
      </c>
      <c r="I804" s="18">
        <v>41565.599537037036</v>
      </c>
      <c r="J804" s="1" t="s">
        <v>17</v>
      </c>
      <c r="K804" s="1" t="s">
        <v>18</v>
      </c>
      <c r="L804" s="1" t="s">
        <v>19</v>
      </c>
      <c r="Q804" s="21"/>
    </row>
    <row r="805" spans="1:18" x14ac:dyDescent="0.15">
      <c r="A805" s="1">
        <v>305904</v>
      </c>
      <c r="B805" s="1">
        <v>0</v>
      </c>
      <c r="C805" s="1" t="s">
        <v>31</v>
      </c>
      <c r="D805" s="1" t="s">
        <v>27</v>
      </c>
      <c r="E805" s="1" t="s">
        <v>58</v>
      </c>
      <c r="F805" s="1" t="s">
        <v>59</v>
      </c>
      <c r="G805" s="1" t="s">
        <v>23</v>
      </c>
      <c r="I805" s="18">
        <v>41557.127974537034</v>
      </c>
      <c r="J805" s="1" t="s">
        <v>17</v>
      </c>
      <c r="K805" s="1" t="s">
        <v>18</v>
      </c>
      <c r="L805" s="1" t="s">
        <v>19</v>
      </c>
      <c r="Q805" s="21"/>
    </row>
    <row r="806" spans="1:18" x14ac:dyDescent="0.15">
      <c r="A806" s="1">
        <v>304967</v>
      </c>
      <c r="B806" s="1">
        <v>1</v>
      </c>
      <c r="C806" s="1" t="s">
        <v>1088</v>
      </c>
      <c r="D806" s="1" t="s">
        <v>27</v>
      </c>
      <c r="E806" s="1" t="s">
        <v>1089</v>
      </c>
      <c r="F806" s="1" t="s">
        <v>1090</v>
      </c>
      <c r="G806" s="1" t="s">
        <v>23</v>
      </c>
      <c r="I806" s="18">
        <v>41554.924409722225</v>
      </c>
      <c r="J806" s="1" t="s">
        <v>1015</v>
      </c>
      <c r="K806" s="1" t="s">
        <v>18</v>
      </c>
      <c r="L806" s="1" t="s">
        <v>19</v>
      </c>
      <c r="M806" s="1">
        <v>320804</v>
      </c>
      <c r="N806" s="1" t="s">
        <v>1091</v>
      </c>
      <c r="O806" s="18">
        <v>41596.869583333333</v>
      </c>
      <c r="P806" s="1" t="s">
        <v>1092</v>
      </c>
      <c r="Q806" s="21">
        <f t="shared" si="13"/>
        <v>41.945173611107748</v>
      </c>
      <c r="R806" s="1"/>
    </row>
    <row r="807" spans="1:18" x14ac:dyDescent="0.15">
      <c r="A807" s="1">
        <v>304791</v>
      </c>
      <c r="B807" s="1">
        <v>0</v>
      </c>
      <c r="C807" s="1" t="s">
        <v>340</v>
      </c>
      <c r="D807" s="1" t="s">
        <v>27</v>
      </c>
      <c r="E807" s="1" t="s">
        <v>1318</v>
      </c>
      <c r="F807" s="1" t="s">
        <v>1319</v>
      </c>
      <c r="G807" s="1" t="s">
        <v>16</v>
      </c>
      <c r="I807" s="18">
        <v>41554.385752314818</v>
      </c>
      <c r="J807" s="1" t="s">
        <v>1320</v>
      </c>
      <c r="K807" s="1" t="s">
        <v>18</v>
      </c>
      <c r="L807" s="1" t="s">
        <v>19</v>
      </c>
      <c r="Q807" s="21"/>
    </row>
    <row r="808" spans="1:18" x14ac:dyDescent="0.15">
      <c r="A808" s="1">
        <v>304226</v>
      </c>
      <c r="B808" s="1">
        <v>0</v>
      </c>
      <c r="C808" s="1" t="s">
        <v>927</v>
      </c>
      <c r="D808" s="1" t="s">
        <v>27</v>
      </c>
      <c r="E808" s="1" t="s">
        <v>1418</v>
      </c>
      <c r="F808" s="1" t="s">
        <v>1419</v>
      </c>
      <c r="G808" s="1" t="s">
        <v>353</v>
      </c>
      <c r="I808" s="18">
        <v>41551.744976851849</v>
      </c>
      <c r="J808" s="1" t="s">
        <v>1420</v>
      </c>
      <c r="K808" s="1" t="s">
        <v>18</v>
      </c>
      <c r="L808" s="1" t="s">
        <v>19</v>
      </c>
      <c r="Q808" s="21"/>
    </row>
    <row r="809" spans="1:18" x14ac:dyDescent="0.15">
      <c r="A809" s="1">
        <v>303657</v>
      </c>
      <c r="B809" s="1">
        <v>0</v>
      </c>
      <c r="D809" s="1" t="s">
        <v>27</v>
      </c>
      <c r="E809" s="1" t="s">
        <v>788</v>
      </c>
      <c r="F809" s="1" t="s">
        <v>1164</v>
      </c>
      <c r="G809" s="1" t="s">
        <v>23</v>
      </c>
      <c r="I809" s="18">
        <v>41550.558576388888</v>
      </c>
      <c r="J809" s="1" t="s">
        <v>228</v>
      </c>
      <c r="K809" s="1" t="s">
        <v>18</v>
      </c>
      <c r="L809" s="1" t="s">
        <v>19</v>
      </c>
      <c r="Q809" s="21"/>
    </row>
    <row r="810" spans="1:18" x14ac:dyDescent="0.15">
      <c r="A810" s="1">
        <v>303232</v>
      </c>
      <c r="B810" s="1">
        <v>0</v>
      </c>
      <c r="C810" s="1" t="s">
        <v>31</v>
      </c>
      <c r="D810" s="1" t="s">
        <v>27</v>
      </c>
      <c r="E810" s="1" t="s">
        <v>32</v>
      </c>
      <c r="F810" s="1" t="s">
        <v>33</v>
      </c>
      <c r="G810" s="1" t="s">
        <v>23</v>
      </c>
      <c r="I810" s="18">
        <v>41549.731030092589</v>
      </c>
      <c r="J810" s="1" t="s">
        <v>17</v>
      </c>
      <c r="K810" s="1" t="s">
        <v>18</v>
      </c>
      <c r="L810" s="1" t="s">
        <v>19</v>
      </c>
      <c r="Q810" s="21"/>
    </row>
    <row r="811" spans="1:18" x14ac:dyDescent="0.15">
      <c r="A811" s="1">
        <v>302880</v>
      </c>
      <c r="B811" s="1">
        <v>1</v>
      </c>
      <c r="D811" s="1" t="s">
        <v>4082</v>
      </c>
      <c r="E811" s="1" t="s">
        <v>4096</v>
      </c>
      <c r="F811" s="1" t="s">
        <v>4097</v>
      </c>
      <c r="G811" s="1" t="s">
        <v>23</v>
      </c>
      <c r="H811" s="1">
        <v>301900</v>
      </c>
      <c r="I811" s="22">
        <v>41549.096898148149</v>
      </c>
      <c r="J811" s="1" t="s">
        <v>4098</v>
      </c>
      <c r="K811" s="1" t="s">
        <v>18</v>
      </c>
      <c r="L811" s="1" t="s">
        <v>19</v>
      </c>
      <c r="M811" s="1">
        <v>301900</v>
      </c>
      <c r="N811" s="14" t="s">
        <v>1386</v>
      </c>
      <c r="O811" s="22">
        <v>41547</v>
      </c>
      <c r="Q811" s="21">
        <f t="shared" si="13"/>
        <v>2.0968981481491937</v>
      </c>
    </row>
    <row r="812" spans="1:18" x14ac:dyDescent="0.15">
      <c r="A812" s="1">
        <v>302810</v>
      </c>
      <c r="B812" s="1">
        <v>0</v>
      </c>
      <c r="C812" s="1" t="s">
        <v>31</v>
      </c>
      <c r="D812" s="1" t="s">
        <v>27</v>
      </c>
      <c r="E812" s="1" t="s">
        <v>3298</v>
      </c>
      <c r="F812" s="1" t="s">
        <v>33</v>
      </c>
      <c r="G812" s="1" t="s">
        <v>23</v>
      </c>
      <c r="I812" s="18">
        <v>41548.962870370371</v>
      </c>
      <c r="J812" s="1" t="s">
        <v>17</v>
      </c>
      <c r="K812" s="1" t="s">
        <v>18</v>
      </c>
      <c r="L812" s="1" t="s">
        <v>19</v>
      </c>
      <c r="Q812" s="21"/>
    </row>
    <row r="813" spans="1:18" x14ac:dyDescent="0.15">
      <c r="A813" s="1">
        <v>301941</v>
      </c>
      <c r="B813" s="1">
        <v>0</v>
      </c>
      <c r="C813" s="1" t="s">
        <v>31</v>
      </c>
      <c r="D813" s="1" t="s">
        <v>27</v>
      </c>
      <c r="E813" s="1" t="s">
        <v>3397</v>
      </c>
      <c r="F813" s="1" t="s">
        <v>3398</v>
      </c>
      <c r="G813" s="1" t="s">
        <v>23</v>
      </c>
      <c r="I813" s="18">
        <v>41547.805659722224</v>
      </c>
      <c r="J813" s="1" t="s">
        <v>17</v>
      </c>
      <c r="K813" s="1" t="s">
        <v>18</v>
      </c>
      <c r="L813" s="1" t="s">
        <v>19</v>
      </c>
      <c r="Q813" s="21"/>
    </row>
    <row r="814" spans="1:18" x14ac:dyDescent="0.15">
      <c r="A814" s="1">
        <v>299993</v>
      </c>
      <c r="B814" s="1">
        <v>1</v>
      </c>
      <c r="C814" s="1" t="s">
        <v>31</v>
      </c>
      <c r="D814" s="1" t="s">
        <v>27</v>
      </c>
      <c r="E814" s="1" t="s">
        <v>45</v>
      </c>
      <c r="F814" s="1" t="s">
        <v>33</v>
      </c>
      <c r="G814" s="1" t="s">
        <v>23</v>
      </c>
      <c r="I814" s="18">
        <v>41544.834247685183</v>
      </c>
      <c r="J814" s="1" t="s">
        <v>17</v>
      </c>
      <c r="K814" s="1" t="s">
        <v>18</v>
      </c>
      <c r="L814" s="1" t="s">
        <v>19</v>
      </c>
      <c r="M814" s="1">
        <v>307032</v>
      </c>
      <c r="N814" s="1" t="s">
        <v>3379</v>
      </c>
      <c r="O814" s="18">
        <v>41561.594201388885</v>
      </c>
      <c r="P814" s="1" t="s">
        <v>3380</v>
      </c>
      <c r="Q814" s="21">
        <f t="shared" si="13"/>
        <v>16.759953703702195</v>
      </c>
      <c r="R814" s="1"/>
    </row>
    <row r="815" spans="1:18" x14ac:dyDescent="0.15">
      <c r="A815" s="1">
        <v>299892</v>
      </c>
      <c r="B815" s="1">
        <v>0</v>
      </c>
      <c r="C815" s="1" t="s">
        <v>1551</v>
      </c>
      <c r="D815" s="1" t="s">
        <v>27</v>
      </c>
      <c r="E815" s="1" t="s">
        <v>1552</v>
      </c>
      <c r="F815" s="1" t="s">
        <v>1553</v>
      </c>
      <c r="G815" s="1"/>
      <c r="H815" s="1"/>
      <c r="I815" s="18">
        <v>41544.774768518517</v>
      </c>
      <c r="J815" s="1" t="s">
        <v>148</v>
      </c>
      <c r="K815" s="1" t="s">
        <v>18</v>
      </c>
      <c r="L815" s="1" t="s">
        <v>19</v>
      </c>
      <c r="Q815" s="21"/>
    </row>
    <row r="816" spans="1:18" x14ac:dyDescent="0.15">
      <c r="A816" s="1">
        <v>299803</v>
      </c>
      <c r="B816" s="1">
        <v>0</v>
      </c>
      <c r="C816" s="1" t="s">
        <v>31</v>
      </c>
      <c r="D816" s="1" t="s">
        <v>27</v>
      </c>
      <c r="E816" s="1" t="s">
        <v>512</v>
      </c>
      <c r="F816" s="1" t="s">
        <v>513</v>
      </c>
      <c r="G816" s="1" t="s">
        <v>23</v>
      </c>
      <c r="I816" s="18">
        <v>41544.674537037034</v>
      </c>
      <c r="J816" s="1" t="s">
        <v>17</v>
      </c>
      <c r="K816" s="1" t="s">
        <v>18</v>
      </c>
      <c r="L816" s="1" t="s">
        <v>19</v>
      </c>
      <c r="Q816" s="21"/>
    </row>
    <row r="817" spans="1:18" x14ac:dyDescent="0.15">
      <c r="A817" s="1">
        <v>297976</v>
      </c>
      <c r="B817" s="1">
        <v>0</v>
      </c>
      <c r="C817" s="1" t="s">
        <v>1406</v>
      </c>
      <c r="D817" s="1" t="s">
        <v>27</v>
      </c>
      <c r="E817" s="1" t="s">
        <v>318</v>
      </c>
      <c r="F817" s="1" t="s">
        <v>1407</v>
      </c>
      <c r="G817" s="1" t="s">
        <v>23</v>
      </c>
      <c r="I817" s="18">
        <v>41542.157754629632</v>
      </c>
      <c r="J817" s="1" t="s">
        <v>17</v>
      </c>
      <c r="K817" s="1" t="s">
        <v>18</v>
      </c>
      <c r="L817" s="1" t="s">
        <v>19</v>
      </c>
      <c r="Q817" s="21"/>
    </row>
    <row r="818" spans="1:18" x14ac:dyDescent="0.15">
      <c r="A818" s="1">
        <v>297556</v>
      </c>
      <c r="B818" s="1">
        <v>0</v>
      </c>
      <c r="C818" s="1" t="s">
        <v>689</v>
      </c>
      <c r="D818" s="1" t="s">
        <v>27</v>
      </c>
      <c r="E818" s="1" t="s">
        <v>2908</v>
      </c>
      <c r="F818" s="1" t="s">
        <v>2909</v>
      </c>
      <c r="G818" s="1" t="s">
        <v>23</v>
      </c>
      <c r="I818" s="18">
        <v>41541.497789351852</v>
      </c>
      <c r="J818" s="1" t="s">
        <v>17</v>
      </c>
      <c r="K818" s="1" t="s">
        <v>18</v>
      </c>
      <c r="L818" s="1" t="s">
        <v>19</v>
      </c>
      <c r="Q818" s="21"/>
    </row>
    <row r="819" spans="1:18" x14ac:dyDescent="0.15">
      <c r="A819" s="1">
        <v>297478</v>
      </c>
      <c r="B819" s="1">
        <v>0</v>
      </c>
      <c r="C819" s="1" t="s">
        <v>369</v>
      </c>
      <c r="D819" s="1" t="s">
        <v>27</v>
      </c>
      <c r="E819" s="1" t="s">
        <v>788</v>
      </c>
      <c r="F819" s="1" t="s">
        <v>789</v>
      </c>
      <c r="G819" s="1"/>
      <c r="H819" s="1"/>
      <c r="I819" s="18">
        <v>41541.32712962963</v>
      </c>
      <c r="J819" s="1" t="s">
        <v>68</v>
      </c>
      <c r="K819" s="1" t="s">
        <v>18</v>
      </c>
      <c r="L819" s="1" t="s">
        <v>19</v>
      </c>
      <c r="Q819" s="21"/>
    </row>
    <row r="820" spans="1:18" x14ac:dyDescent="0.15">
      <c r="A820" s="1">
        <v>296690</v>
      </c>
      <c r="B820" s="1">
        <v>0</v>
      </c>
      <c r="C820" s="1" t="s">
        <v>73</v>
      </c>
      <c r="D820" s="1" t="s">
        <v>27</v>
      </c>
      <c r="E820" s="1" t="s">
        <v>3264</v>
      </c>
      <c r="F820" s="1" t="s">
        <v>3265</v>
      </c>
      <c r="G820" s="1" t="s">
        <v>23</v>
      </c>
      <c r="I820" s="18">
        <v>41539.968981481485</v>
      </c>
      <c r="J820" s="1" t="s">
        <v>3266</v>
      </c>
      <c r="K820" s="1" t="s">
        <v>18</v>
      </c>
      <c r="L820" s="1" t="s">
        <v>19</v>
      </c>
      <c r="Q820" s="21"/>
    </row>
    <row r="821" spans="1:18" x14ac:dyDescent="0.15">
      <c r="A821" s="1">
        <v>296276</v>
      </c>
      <c r="B821" s="1">
        <v>1</v>
      </c>
      <c r="C821" s="1" t="s">
        <v>31</v>
      </c>
      <c r="D821" s="1" t="s">
        <v>27</v>
      </c>
      <c r="E821" s="1" t="s">
        <v>2680</v>
      </c>
      <c r="F821" s="1" t="s">
        <v>2681</v>
      </c>
      <c r="G821" s="1" t="s">
        <v>23</v>
      </c>
      <c r="I821" s="18">
        <v>41538.970486111109</v>
      </c>
      <c r="J821" s="1" t="s">
        <v>17</v>
      </c>
      <c r="K821" s="1" t="s">
        <v>18</v>
      </c>
      <c r="L821" s="1" t="s">
        <v>19</v>
      </c>
      <c r="M821" s="1">
        <v>302877</v>
      </c>
      <c r="N821" s="1" t="s">
        <v>2682</v>
      </c>
      <c r="O821" s="18">
        <v>41549.087083333332</v>
      </c>
      <c r="P821" s="1" t="s">
        <v>261</v>
      </c>
      <c r="Q821" s="21">
        <f t="shared" si="13"/>
        <v>10.116597222222481</v>
      </c>
      <c r="R821" s="1"/>
    </row>
    <row r="822" spans="1:18" x14ac:dyDescent="0.15">
      <c r="A822" s="1">
        <v>295010</v>
      </c>
      <c r="B822" s="1">
        <v>0</v>
      </c>
      <c r="C822" s="1" t="s">
        <v>923</v>
      </c>
      <c r="D822" s="1" t="s">
        <v>27</v>
      </c>
      <c r="E822" s="1" t="s">
        <v>1893</v>
      </c>
      <c r="F822" s="1" t="s">
        <v>3347</v>
      </c>
      <c r="G822" s="1" t="s">
        <v>23</v>
      </c>
      <c r="I822" s="18">
        <v>41536.787847222222</v>
      </c>
      <c r="J822" s="1" t="s">
        <v>68</v>
      </c>
      <c r="K822" s="1" t="s">
        <v>18</v>
      </c>
      <c r="L822" s="1" t="s">
        <v>19</v>
      </c>
      <c r="Q822" s="21"/>
    </row>
    <row r="823" spans="1:18" x14ac:dyDescent="0.15">
      <c r="A823" s="1">
        <v>294687</v>
      </c>
      <c r="B823" s="1">
        <v>0</v>
      </c>
      <c r="C823" s="1" t="s">
        <v>1001</v>
      </c>
      <c r="D823" s="1" t="s">
        <v>27</v>
      </c>
      <c r="E823" s="1" t="s">
        <v>1002</v>
      </c>
      <c r="F823" s="1" t="s">
        <v>1003</v>
      </c>
      <c r="G823" s="1" t="s">
        <v>23</v>
      </c>
      <c r="I823" s="18">
        <v>41536.451886574076</v>
      </c>
      <c r="J823" s="1" t="s">
        <v>17</v>
      </c>
      <c r="K823" s="1" t="s">
        <v>18</v>
      </c>
      <c r="L823" s="1" t="s">
        <v>19</v>
      </c>
      <c r="Q823" s="21"/>
    </row>
    <row r="824" spans="1:18" x14ac:dyDescent="0.15">
      <c r="A824" s="1">
        <v>294505</v>
      </c>
      <c r="B824" s="1">
        <v>0</v>
      </c>
      <c r="C824" s="1" t="s">
        <v>689</v>
      </c>
      <c r="D824" s="1" t="s">
        <v>27</v>
      </c>
      <c r="E824" s="1" t="s">
        <v>3211</v>
      </c>
      <c r="F824" s="1" t="s">
        <v>3212</v>
      </c>
      <c r="G824" s="1" t="s">
        <v>23</v>
      </c>
      <c r="I824" s="18">
        <v>41536.098217592589</v>
      </c>
      <c r="J824" s="1" t="s">
        <v>17</v>
      </c>
      <c r="K824" s="1" t="s">
        <v>18</v>
      </c>
      <c r="L824" s="1" t="s">
        <v>19</v>
      </c>
      <c r="Q824" s="21"/>
    </row>
    <row r="825" spans="1:18" x14ac:dyDescent="0.15">
      <c r="A825" s="1">
        <v>294456</v>
      </c>
      <c r="B825" s="1">
        <v>0</v>
      </c>
      <c r="C825" s="1" t="s">
        <v>923</v>
      </c>
      <c r="D825" s="1" t="s">
        <v>27</v>
      </c>
      <c r="E825" s="1" t="s">
        <v>3515</v>
      </c>
      <c r="F825" s="1" t="s">
        <v>3516</v>
      </c>
      <c r="G825" s="1" t="s">
        <v>23</v>
      </c>
      <c r="I825" s="18">
        <v>41535.989293981482</v>
      </c>
      <c r="J825" s="1" t="s">
        <v>68</v>
      </c>
      <c r="K825" s="1" t="s">
        <v>18</v>
      </c>
      <c r="L825" s="1" t="s">
        <v>19</v>
      </c>
      <c r="Q825" s="21"/>
    </row>
    <row r="826" spans="1:18" x14ac:dyDescent="0.15">
      <c r="A826" s="1">
        <v>294206</v>
      </c>
      <c r="B826" s="1">
        <v>0</v>
      </c>
      <c r="C826" s="1" t="s">
        <v>765</v>
      </c>
      <c r="D826" s="1" t="s">
        <v>27</v>
      </c>
      <c r="E826" s="1" t="s">
        <v>766</v>
      </c>
      <c r="F826" s="1" t="s">
        <v>235</v>
      </c>
      <c r="G826" s="1" t="s">
        <v>23</v>
      </c>
      <c r="I826" s="18">
        <v>41535.663055555553</v>
      </c>
      <c r="J826" s="1" t="s">
        <v>17</v>
      </c>
      <c r="K826" s="1" t="s">
        <v>18</v>
      </c>
      <c r="L826" s="1" t="s">
        <v>19</v>
      </c>
      <c r="Q826" s="21"/>
    </row>
    <row r="827" spans="1:18" x14ac:dyDescent="0.15">
      <c r="A827" s="1">
        <v>294202</v>
      </c>
      <c r="B827" s="1">
        <v>0</v>
      </c>
      <c r="C827" s="1" t="s">
        <v>31</v>
      </c>
      <c r="D827" s="1" t="s">
        <v>27</v>
      </c>
      <c r="E827" s="1" t="s">
        <v>767</v>
      </c>
      <c r="F827" s="1" t="s">
        <v>235</v>
      </c>
      <c r="G827" s="1" t="s">
        <v>23</v>
      </c>
      <c r="I827" s="18">
        <v>41535.652824074074</v>
      </c>
      <c r="J827" s="1" t="s">
        <v>17</v>
      </c>
      <c r="K827" s="1" t="s">
        <v>18</v>
      </c>
      <c r="L827" s="1" t="s">
        <v>19</v>
      </c>
      <c r="Q827" s="21"/>
    </row>
    <row r="828" spans="1:18" x14ac:dyDescent="0.15">
      <c r="A828" s="1">
        <v>294023</v>
      </c>
      <c r="B828" s="1">
        <v>0</v>
      </c>
      <c r="C828" s="1" t="s">
        <v>26</v>
      </c>
      <c r="D828" s="1" t="s">
        <v>27</v>
      </c>
      <c r="E828" s="1" t="s">
        <v>318</v>
      </c>
      <c r="F828" s="1" t="s">
        <v>319</v>
      </c>
      <c r="G828" s="1" t="s">
        <v>23</v>
      </c>
      <c r="I828" s="18">
        <v>41535.376342592594</v>
      </c>
      <c r="J828" s="1" t="s">
        <v>320</v>
      </c>
      <c r="K828" s="1" t="s">
        <v>18</v>
      </c>
      <c r="L828" s="1" t="s">
        <v>19</v>
      </c>
      <c r="Q828" s="21"/>
    </row>
    <row r="829" spans="1:18" x14ac:dyDescent="0.15">
      <c r="A829" s="1">
        <v>293534</v>
      </c>
      <c r="B829" s="1">
        <v>0</v>
      </c>
      <c r="C829" s="1" t="s">
        <v>522</v>
      </c>
      <c r="D829" s="1" t="s">
        <v>27</v>
      </c>
      <c r="E829" s="1" t="s">
        <v>1016</v>
      </c>
      <c r="F829" s="1" t="s">
        <v>3468</v>
      </c>
      <c r="G829" s="1" t="s">
        <v>23</v>
      </c>
      <c r="I829" s="18">
        <v>41534.726886574077</v>
      </c>
      <c r="J829" s="1" t="s">
        <v>68</v>
      </c>
      <c r="K829" s="1" t="s">
        <v>18</v>
      </c>
      <c r="L829" s="1" t="s">
        <v>19</v>
      </c>
      <c r="Q829" s="21"/>
    </row>
    <row r="830" spans="1:18" x14ac:dyDescent="0.15">
      <c r="A830" s="1">
        <v>293521</v>
      </c>
      <c r="B830" s="1">
        <v>0</v>
      </c>
      <c r="C830" s="1" t="s">
        <v>2799</v>
      </c>
      <c r="D830" s="1" t="s">
        <v>27</v>
      </c>
      <c r="E830" s="1" t="s">
        <v>2800</v>
      </c>
      <c r="F830" s="1" t="s">
        <v>2801</v>
      </c>
      <c r="G830" s="1" t="s">
        <v>23</v>
      </c>
      <c r="I830" s="18">
        <v>41534.695729166669</v>
      </c>
      <c r="J830" s="1" t="s">
        <v>17</v>
      </c>
      <c r="K830" s="1" t="s">
        <v>18</v>
      </c>
      <c r="L830" s="1" t="s">
        <v>19</v>
      </c>
      <c r="Q830" s="21"/>
    </row>
    <row r="831" spans="1:18" x14ac:dyDescent="0.15">
      <c r="A831" s="1">
        <v>292679</v>
      </c>
      <c r="B831" s="1">
        <v>0</v>
      </c>
      <c r="C831" s="1" t="s">
        <v>156</v>
      </c>
      <c r="D831" s="1" t="s">
        <v>27</v>
      </c>
      <c r="E831" s="1" t="s">
        <v>2024</v>
      </c>
      <c r="F831" s="1" t="s">
        <v>2025</v>
      </c>
      <c r="G831" s="1" t="s">
        <v>23</v>
      </c>
      <c r="I831" s="18">
        <v>41533.627326388887</v>
      </c>
      <c r="J831" s="1" t="s">
        <v>17</v>
      </c>
      <c r="K831" s="1" t="s">
        <v>18</v>
      </c>
      <c r="L831" s="1" t="s">
        <v>19</v>
      </c>
      <c r="Q831" s="21"/>
    </row>
    <row r="832" spans="1:18" x14ac:dyDescent="0.15">
      <c r="A832" s="1">
        <v>292422</v>
      </c>
      <c r="B832" s="1">
        <v>0</v>
      </c>
      <c r="C832" s="1" t="s">
        <v>2089</v>
      </c>
      <c r="D832" s="1" t="s">
        <v>27</v>
      </c>
      <c r="E832" s="1" t="s">
        <v>2090</v>
      </c>
      <c r="F832" s="1" t="s">
        <v>2091</v>
      </c>
      <c r="G832" s="1" t="s">
        <v>23</v>
      </c>
      <c r="I832" s="18">
        <v>41533.411874999998</v>
      </c>
      <c r="J832" s="1" t="s">
        <v>408</v>
      </c>
      <c r="K832" s="1" t="s">
        <v>18</v>
      </c>
      <c r="L832" s="1" t="s">
        <v>19</v>
      </c>
      <c r="Q832" s="21"/>
    </row>
    <row r="833" spans="1:18" x14ac:dyDescent="0.15">
      <c r="A833" s="1">
        <v>290566</v>
      </c>
      <c r="B833" s="1">
        <v>1</v>
      </c>
      <c r="C833" s="1" t="s">
        <v>26</v>
      </c>
      <c r="D833" s="1" t="s">
        <v>27</v>
      </c>
      <c r="E833" s="1" t="s">
        <v>3100</v>
      </c>
      <c r="F833" s="1" t="s">
        <v>3101</v>
      </c>
      <c r="G833" s="1" t="s">
        <v>23</v>
      </c>
      <c r="I833" s="18">
        <v>41530.073344907411</v>
      </c>
      <c r="J833" s="1" t="s">
        <v>501</v>
      </c>
      <c r="K833" s="1" t="s">
        <v>18</v>
      </c>
      <c r="L833" s="1" t="s">
        <v>19</v>
      </c>
      <c r="M833" s="1">
        <v>309860</v>
      </c>
      <c r="N833" s="1" t="s">
        <v>3102</v>
      </c>
      <c r="O833" s="18">
        <v>41568.958472222221</v>
      </c>
      <c r="P833" s="1" t="s">
        <v>68</v>
      </c>
      <c r="Q833" s="21">
        <f t="shared" si="13"/>
        <v>38.885127314810234</v>
      </c>
      <c r="R833" s="1"/>
    </row>
    <row r="834" spans="1:18" x14ac:dyDescent="0.15">
      <c r="A834" s="1">
        <v>288771</v>
      </c>
      <c r="B834" s="1">
        <v>0</v>
      </c>
      <c r="C834" s="1" t="s">
        <v>31</v>
      </c>
      <c r="D834" s="1" t="s">
        <v>27</v>
      </c>
      <c r="E834" s="1" t="s">
        <v>1674</v>
      </c>
      <c r="F834" s="1" t="s">
        <v>235</v>
      </c>
      <c r="G834" s="1" t="s">
        <v>23</v>
      </c>
      <c r="I834" s="18">
        <v>41527.663587962961</v>
      </c>
      <c r="J834" s="1" t="s">
        <v>17</v>
      </c>
      <c r="K834" s="1" t="s">
        <v>18</v>
      </c>
      <c r="L834" s="1" t="s">
        <v>19</v>
      </c>
      <c r="Q834" s="21"/>
    </row>
    <row r="835" spans="1:18" x14ac:dyDescent="0.15">
      <c r="A835" s="1">
        <v>288761</v>
      </c>
      <c r="B835" s="1">
        <v>0</v>
      </c>
      <c r="C835" s="1" t="s">
        <v>31</v>
      </c>
      <c r="D835" s="1" t="s">
        <v>27</v>
      </c>
      <c r="E835" s="1" t="s">
        <v>1016</v>
      </c>
      <c r="F835" s="1" t="s">
        <v>235</v>
      </c>
      <c r="G835" s="1" t="s">
        <v>23</v>
      </c>
      <c r="I835" s="18">
        <v>41527.651898148149</v>
      </c>
      <c r="J835" s="1" t="s">
        <v>17</v>
      </c>
      <c r="K835" s="1" t="s">
        <v>18</v>
      </c>
      <c r="L835" s="1" t="s">
        <v>19</v>
      </c>
      <c r="Q835" s="21"/>
    </row>
    <row r="836" spans="1:18" x14ac:dyDescent="0.15">
      <c r="A836" s="1">
        <v>286975</v>
      </c>
      <c r="B836" s="1">
        <v>0</v>
      </c>
      <c r="D836" s="1" t="s">
        <v>27</v>
      </c>
      <c r="E836" s="1" t="s">
        <v>499</v>
      </c>
      <c r="F836" s="1" t="s">
        <v>500</v>
      </c>
      <c r="G836" s="1" t="s">
        <v>23</v>
      </c>
      <c r="I836" s="18">
        <v>41524.496724537035</v>
      </c>
      <c r="J836" s="1" t="s">
        <v>501</v>
      </c>
      <c r="K836" s="1" t="s">
        <v>18</v>
      </c>
      <c r="L836" s="1" t="s">
        <v>19</v>
      </c>
      <c r="Q836" s="21"/>
    </row>
    <row r="837" spans="1:18" x14ac:dyDescent="0.15">
      <c r="A837" s="1">
        <v>286414</v>
      </c>
      <c r="B837" s="1">
        <v>1</v>
      </c>
      <c r="D837" s="1" t="s">
        <v>27</v>
      </c>
      <c r="E837" s="1" t="s">
        <v>2791</v>
      </c>
      <c r="F837" s="1" t="s">
        <v>2792</v>
      </c>
      <c r="G837" s="1" t="s">
        <v>23</v>
      </c>
      <c r="I837" s="18">
        <v>41523.7891087963</v>
      </c>
      <c r="J837" s="1" t="s">
        <v>330</v>
      </c>
      <c r="K837" s="1" t="s">
        <v>18</v>
      </c>
      <c r="L837" s="1" t="s">
        <v>19</v>
      </c>
      <c r="M837" s="1">
        <v>287160</v>
      </c>
      <c r="N837" s="1" t="s">
        <v>2793</v>
      </c>
      <c r="O837" s="18">
        <v>41524.969513888886</v>
      </c>
      <c r="P837" s="1" t="s">
        <v>68</v>
      </c>
      <c r="Q837" s="21">
        <f t="shared" si="13"/>
        <v>1.1804050925857155</v>
      </c>
      <c r="R837" s="1"/>
    </row>
    <row r="838" spans="1:18" x14ac:dyDescent="0.15">
      <c r="A838" s="1">
        <v>286368</v>
      </c>
      <c r="B838" s="1">
        <v>0</v>
      </c>
      <c r="C838" s="1" t="s">
        <v>31</v>
      </c>
      <c r="D838" s="1" t="s">
        <v>27</v>
      </c>
      <c r="E838" s="1" t="s">
        <v>1292</v>
      </c>
      <c r="F838" s="1" t="s">
        <v>1293</v>
      </c>
      <c r="G838" s="1" t="s">
        <v>23</v>
      </c>
      <c r="I838" s="18">
        <v>41523.69866898148</v>
      </c>
      <c r="J838" s="1" t="s">
        <v>17</v>
      </c>
      <c r="K838" s="1" t="s">
        <v>18</v>
      </c>
      <c r="L838" s="1" t="s">
        <v>19</v>
      </c>
      <c r="Q838" s="21"/>
    </row>
    <row r="839" spans="1:18" x14ac:dyDescent="0.15">
      <c r="A839" s="1">
        <v>285578</v>
      </c>
      <c r="B839" s="1">
        <v>0</v>
      </c>
      <c r="C839" s="1" t="s">
        <v>2206</v>
      </c>
      <c r="D839" s="1" t="s">
        <v>27</v>
      </c>
      <c r="E839" s="1" t="s">
        <v>2207</v>
      </c>
      <c r="F839" s="1" t="s">
        <v>746</v>
      </c>
      <c r="G839" s="1" t="s">
        <v>23</v>
      </c>
      <c r="I839" s="18">
        <v>41522.110821759263</v>
      </c>
      <c r="J839" s="1" t="s">
        <v>17</v>
      </c>
      <c r="K839" s="1" t="s">
        <v>18</v>
      </c>
      <c r="L839" s="1" t="s">
        <v>19</v>
      </c>
      <c r="Q839" s="21"/>
    </row>
    <row r="840" spans="1:18" x14ac:dyDescent="0.15">
      <c r="A840" s="1">
        <v>285380</v>
      </c>
      <c r="B840" s="1">
        <v>0</v>
      </c>
      <c r="C840" s="1" t="s">
        <v>31</v>
      </c>
      <c r="D840" s="1" t="s">
        <v>27</v>
      </c>
      <c r="E840" s="1" t="s">
        <v>234</v>
      </c>
      <c r="F840" s="1" t="s">
        <v>235</v>
      </c>
      <c r="G840" s="1" t="s">
        <v>23</v>
      </c>
      <c r="I840" s="18">
        <v>41521.881157407406</v>
      </c>
      <c r="J840" s="1" t="s">
        <v>17</v>
      </c>
      <c r="K840" s="1" t="s">
        <v>18</v>
      </c>
      <c r="L840" s="1" t="s">
        <v>19</v>
      </c>
      <c r="Q840" s="21"/>
    </row>
    <row r="841" spans="1:18" x14ac:dyDescent="0.15">
      <c r="A841" s="1">
        <v>284792</v>
      </c>
      <c r="B841" s="1">
        <v>0</v>
      </c>
      <c r="C841" s="1" t="s">
        <v>1414</v>
      </c>
      <c r="D841" s="1" t="s">
        <v>27</v>
      </c>
      <c r="E841" s="1" t="s">
        <v>1415</v>
      </c>
      <c r="F841" s="1" t="s">
        <v>1416</v>
      </c>
      <c r="G841" s="1" t="s">
        <v>23</v>
      </c>
      <c r="I841" s="18">
        <v>41520.948888888888</v>
      </c>
      <c r="J841" s="1" t="s">
        <v>1417</v>
      </c>
      <c r="K841" s="1" t="s">
        <v>18</v>
      </c>
      <c r="L841" s="1" t="s">
        <v>19</v>
      </c>
      <c r="Q841" s="21"/>
    </row>
    <row r="842" spans="1:18" x14ac:dyDescent="0.15">
      <c r="A842" s="1">
        <v>282925</v>
      </c>
      <c r="B842" s="1">
        <v>1</v>
      </c>
      <c r="C842" s="1" t="s">
        <v>31</v>
      </c>
      <c r="D842" s="1" t="s">
        <v>27</v>
      </c>
      <c r="E842" s="1" t="s">
        <v>184</v>
      </c>
      <c r="F842" s="1" t="s">
        <v>185</v>
      </c>
      <c r="G842" s="1" t="s">
        <v>23</v>
      </c>
      <c r="I842" s="18">
        <v>41517.633310185185</v>
      </c>
      <c r="J842" s="1" t="s">
        <v>17</v>
      </c>
      <c r="K842" s="1" t="s">
        <v>18</v>
      </c>
      <c r="L842" s="1" t="s">
        <v>19</v>
      </c>
      <c r="M842" s="1">
        <v>294237</v>
      </c>
      <c r="N842" s="1" t="s">
        <v>186</v>
      </c>
      <c r="O842" s="18">
        <v>41535.720694444448</v>
      </c>
      <c r="P842" s="1" t="s">
        <v>187</v>
      </c>
      <c r="Q842" s="21">
        <f t="shared" ref="Q842:Q887" si="14">ABS(O842-I842)</f>
        <v>18.087384259262762</v>
      </c>
      <c r="R842" s="1"/>
    </row>
    <row r="843" spans="1:18" x14ac:dyDescent="0.15">
      <c r="A843" s="1">
        <v>282736</v>
      </c>
      <c r="B843" s="1">
        <v>0</v>
      </c>
      <c r="C843" s="1" t="s">
        <v>101</v>
      </c>
      <c r="D843" s="1" t="s">
        <v>27</v>
      </c>
      <c r="E843" s="1" t="s">
        <v>2942</v>
      </c>
      <c r="F843" s="1" t="s">
        <v>2943</v>
      </c>
      <c r="G843" s="1" t="s">
        <v>23</v>
      </c>
      <c r="I843" s="18">
        <v>41517.232002314813</v>
      </c>
      <c r="J843" s="1" t="s">
        <v>2944</v>
      </c>
      <c r="K843" s="1" t="s">
        <v>18</v>
      </c>
      <c r="L843" s="1" t="s">
        <v>19</v>
      </c>
      <c r="Q843" s="21"/>
    </row>
    <row r="844" spans="1:18" x14ac:dyDescent="0.15">
      <c r="A844" s="1">
        <v>282088</v>
      </c>
      <c r="B844" s="1">
        <v>0</v>
      </c>
      <c r="C844" s="1" t="s">
        <v>268</v>
      </c>
      <c r="D844" s="1" t="s">
        <v>27</v>
      </c>
      <c r="E844" s="1" t="s">
        <v>1611</v>
      </c>
      <c r="F844" s="1" t="s">
        <v>1612</v>
      </c>
      <c r="G844" s="1" t="s">
        <v>23</v>
      </c>
      <c r="I844" s="18">
        <v>41516.193206018521</v>
      </c>
      <c r="J844" s="1" t="s">
        <v>330</v>
      </c>
      <c r="K844" s="1" t="s">
        <v>18</v>
      </c>
      <c r="L844" s="1" t="s">
        <v>19</v>
      </c>
      <c r="Q844" s="21"/>
    </row>
    <row r="845" spans="1:18" x14ac:dyDescent="0.15">
      <c r="A845" s="1">
        <v>281256</v>
      </c>
      <c r="B845" s="1">
        <v>0</v>
      </c>
      <c r="C845" s="1" t="s">
        <v>927</v>
      </c>
      <c r="D845" s="1" t="s">
        <v>27</v>
      </c>
      <c r="E845" s="1" t="s">
        <v>3381</v>
      </c>
      <c r="F845" s="1" t="s">
        <v>3382</v>
      </c>
      <c r="G845" s="1" t="s">
        <v>23</v>
      </c>
      <c r="I845" s="18">
        <v>41515.472986111112</v>
      </c>
      <c r="J845" s="1" t="s">
        <v>485</v>
      </c>
      <c r="K845" s="1" t="s">
        <v>18</v>
      </c>
      <c r="L845" s="1" t="s">
        <v>19</v>
      </c>
      <c r="Q845" s="21"/>
    </row>
    <row r="846" spans="1:18" x14ac:dyDescent="0.15">
      <c r="A846" s="1">
        <v>280128</v>
      </c>
      <c r="B846" s="1">
        <v>0</v>
      </c>
      <c r="C846" s="1" t="s">
        <v>1625</v>
      </c>
      <c r="D846" s="1" t="s">
        <v>27</v>
      </c>
      <c r="E846" s="1" t="s">
        <v>1626</v>
      </c>
      <c r="F846" s="1" t="s">
        <v>1627</v>
      </c>
      <c r="G846" s="1" t="s">
        <v>353</v>
      </c>
      <c r="I846" s="18">
        <v>41513.559537037036</v>
      </c>
      <c r="J846" s="1" t="s">
        <v>1628</v>
      </c>
      <c r="K846" s="1" t="s">
        <v>18</v>
      </c>
      <c r="L846" s="1" t="s">
        <v>19</v>
      </c>
      <c r="Q846" s="21"/>
    </row>
    <row r="847" spans="1:18" x14ac:dyDescent="0.15">
      <c r="A847" s="1">
        <v>279286</v>
      </c>
      <c r="B847" s="1">
        <v>0</v>
      </c>
      <c r="C847" s="1" t="s">
        <v>663</v>
      </c>
      <c r="D847" s="1" t="s">
        <v>27</v>
      </c>
      <c r="E847" s="1" t="s">
        <v>664</v>
      </c>
      <c r="F847" s="1" t="s">
        <v>235</v>
      </c>
      <c r="G847" s="1" t="s">
        <v>23</v>
      </c>
      <c r="I847" s="18">
        <v>41512.680185185185</v>
      </c>
      <c r="J847" s="1" t="s">
        <v>17</v>
      </c>
      <c r="K847" s="1" t="s">
        <v>18</v>
      </c>
      <c r="L847" s="1" t="s">
        <v>19</v>
      </c>
      <c r="Q847" s="21"/>
    </row>
    <row r="848" spans="1:18" x14ac:dyDescent="0.15">
      <c r="A848" s="1">
        <v>279277</v>
      </c>
      <c r="B848" s="1">
        <v>0</v>
      </c>
      <c r="D848" s="1" t="s">
        <v>27</v>
      </c>
      <c r="E848" s="1" t="s">
        <v>58</v>
      </c>
      <c r="F848" s="1" t="s">
        <v>3018</v>
      </c>
      <c r="G848" s="1" t="s">
        <v>23</v>
      </c>
      <c r="I848" s="18">
        <v>41512.663113425922</v>
      </c>
      <c r="J848" s="1" t="s">
        <v>408</v>
      </c>
      <c r="K848" s="1" t="s">
        <v>18</v>
      </c>
      <c r="L848" s="1" t="s">
        <v>19</v>
      </c>
      <c r="Q848" s="21"/>
    </row>
    <row r="849" spans="1:22" x14ac:dyDescent="0.15">
      <c r="A849" s="1">
        <v>279263</v>
      </c>
      <c r="B849" s="1">
        <v>0</v>
      </c>
      <c r="D849" s="1" t="s">
        <v>27</v>
      </c>
      <c r="E849" s="1" t="s">
        <v>610</v>
      </c>
      <c r="F849" s="1" t="s">
        <v>611</v>
      </c>
      <c r="G849" s="1" t="s">
        <v>159</v>
      </c>
      <c r="I849" s="18">
        <v>41512.625949074078</v>
      </c>
      <c r="J849" s="1" t="s">
        <v>98</v>
      </c>
      <c r="K849" s="1" t="s">
        <v>18</v>
      </c>
      <c r="L849" s="1" t="s">
        <v>19</v>
      </c>
      <c r="Q849" s="21"/>
    </row>
    <row r="850" spans="1:22" x14ac:dyDescent="0.15">
      <c r="A850" s="1">
        <v>278908</v>
      </c>
      <c r="B850" s="1">
        <v>0</v>
      </c>
      <c r="D850" s="1" t="s">
        <v>27</v>
      </c>
      <c r="E850" s="1" t="s">
        <v>123</v>
      </c>
      <c r="F850" s="1" t="s">
        <v>124</v>
      </c>
      <c r="G850" s="1" t="s">
        <v>23</v>
      </c>
      <c r="I850" s="18">
        <v>41511.44023148148</v>
      </c>
      <c r="J850" s="1" t="s">
        <v>68</v>
      </c>
      <c r="K850" s="1" t="s">
        <v>18</v>
      </c>
      <c r="L850" s="1" t="s">
        <v>19</v>
      </c>
      <c r="Q850" s="21"/>
    </row>
    <row r="851" spans="1:22" x14ac:dyDescent="0.15">
      <c r="A851" s="1">
        <v>276368</v>
      </c>
      <c r="B851" s="1">
        <v>1</v>
      </c>
      <c r="D851" s="1" t="s">
        <v>27</v>
      </c>
      <c r="E851" s="1" t="s">
        <v>889</v>
      </c>
      <c r="F851" s="1" t="s">
        <v>890</v>
      </c>
      <c r="G851" s="1" t="s">
        <v>23</v>
      </c>
      <c r="I851" s="18">
        <v>41506.652662037035</v>
      </c>
      <c r="J851" s="1" t="s">
        <v>76</v>
      </c>
      <c r="K851" s="1" t="s">
        <v>18</v>
      </c>
      <c r="L851" s="1" t="s">
        <v>19</v>
      </c>
      <c r="M851" s="1">
        <v>276690</v>
      </c>
      <c r="N851" s="1" t="s">
        <v>891</v>
      </c>
      <c r="O851" s="18">
        <v>41506.951620370368</v>
      </c>
      <c r="P851" s="1" t="s">
        <v>892</v>
      </c>
      <c r="Q851" s="21">
        <f t="shared" si="14"/>
        <v>0.29895833333284827</v>
      </c>
      <c r="R851" s="1"/>
    </row>
    <row r="852" spans="1:22" x14ac:dyDescent="0.15">
      <c r="A852" s="1">
        <v>276339</v>
      </c>
      <c r="B852" s="1">
        <v>0</v>
      </c>
      <c r="C852" s="1" t="s">
        <v>95</v>
      </c>
      <c r="D852" s="1" t="s">
        <v>27</v>
      </c>
      <c r="E852" s="1" t="s">
        <v>1175</v>
      </c>
      <c r="F852" s="1" t="s">
        <v>1176</v>
      </c>
      <c r="G852" s="1" t="s">
        <v>159</v>
      </c>
      <c r="I852" s="18">
        <v>41506.63590277778</v>
      </c>
      <c r="J852" s="1" t="s">
        <v>944</v>
      </c>
      <c r="K852" s="1" t="s">
        <v>18</v>
      </c>
      <c r="L852" s="1" t="s">
        <v>19</v>
      </c>
      <c r="Q852" s="21"/>
    </row>
    <row r="853" spans="1:22" x14ac:dyDescent="0.15">
      <c r="A853" s="1">
        <v>276042</v>
      </c>
      <c r="B853" s="1">
        <v>0</v>
      </c>
      <c r="C853" s="1" t="s">
        <v>1499</v>
      </c>
      <c r="D853" s="1" t="s">
        <v>27</v>
      </c>
      <c r="E853" s="1" t="s">
        <v>1500</v>
      </c>
      <c r="F853" s="1" t="s">
        <v>1501</v>
      </c>
      <c r="G853" s="1" t="s">
        <v>23</v>
      </c>
      <c r="I853" s="18">
        <v>41506.027650462966</v>
      </c>
      <c r="J853" s="1" t="s">
        <v>17</v>
      </c>
      <c r="K853" s="1" t="s">
        <v>18</v>
      </c>
      <c r="L853" s="1" t="s">
        <v>19</v>
      </c>
      <c r="Q853" s="21"/>
    </row>
    <row r="854" spans="1:22" x14ac:dyDescent="0.15">
      <c r="A854" s="1">
        <v>275223</v>
      </c>
      <c r="B854" s="1">
        <v>1</v>
      </c>
      <c r="C854" s="1" t="s">
        <v>923</v>
      </c>
      <c r="D854" s="1" t="s">
        <v>27</v>
      </c>
      <c r="E854" s="1" t="s">
        <v>3143</v>
      </c>
      <c r="F854" s="1" t="s">
        <v>235</v>
      </c>
      <c r="G854" s="1" t="s">
        <v>23</v>
      </c>
      <c r="I854" s="18">
        <v>41504.891180555554</v>
      </c>
      <c r="J854" s="1" t="s">
        <v>17</v>
      </c>
      <c r="K854" s="1" t="s">
        <v>18</v>
      </c>
      <c r="L854" s="1" t="s">
        <v>19</v>
      </c>
      <c r="M854" s="1">
        <v>287598</v>
      </c>
      <c r="N854" s="1" t="s">
        <v>3144</v>
      </c>
      <c r="O854" s="18">
        <v>41526.118252314816</v>
      </c>
      <c r="P854" s="1" t="s">
        <v>3145</v>
      </c>
      <c r="Q854" s="21">
        <f t="shared" si="14"/>
        <v>21.227071759261889</v>
      </c>
      <c r="R854" s="1"/>
    </row>
    <row r="855" spans="1:22" x14ac:dyDescent="0.15">
      <c r="A855" s="1">
        <v>272786</v>
      </c>
      <c r="B855" s="1">
        <v>0</v>
      </c>
      <c r="C855" s="1" t="s">
        <v>2061</v>
      </c>
      <c r="D855" s="1" t="s">
        <v>27</v>
      </c>
      <c r="E855" s="1" t="s">
        <v>2062</v>
      </c>
      <c r="F855" s="1" t="s">
        <v>2063</v>
      </c>
      <c r="G855" s="1" t="s">
        <v>23</v>
      </c>
      <c r="I855" s="18">
        <v>41500.524467592593</v>
      </c>
      <c r="J855" s="1" t="s">
        <v>68</v>
      </c>
      <c r="K855" s="1" t="s">
        <v>18</v>
      </c>
      <c r="L855" s="1" t="s">
        <v>19</v>
      </c>
      <c r="Q855" s="21"/>
    </row>
    <row r="856" spans="1:22" x14ac:dyDescent="0.15">
      <c r="A856" s="1">
        <v>271939</v>
      </c>
      <c r="B856" s="1">
        <v>0</v>
      </c>
      <c r="C856" s="1" t="s">
        <v>1357</v>
      </c>
      <c r="D856" s="1" t="s">
        <v>27</v>
      </c>
      <c r="E856" s="1" t="s">
        <v>385</v>
      </c>
      <c r="F856" s="1" t="s">
        <v>1358</v>
      </c>
      <c r="G856" s="1" t="s">
        <v>23</v>
      </c>
      <c r="I856" s="18">
        <v>41499.214884259258</v>
      </c>
      <c r="J856" s="1" t="s">
        <v>408</v>
      </c>
      <c r="K856" s="1" t="s">
        <v>18</v>
      </c>
      <c r="L856" s="1" t="s">
        <v>19</v>
      </c>
      <c r="Q856" s="21"/>
    </row>
    <row r="857" spans="1:22" x14ac:dyDescent="0.15">
      <c r="A857" s="1">
        <v>267068</v>
      </c>
      <c r="B857" s="1">
        <v>0</v>
      </c>
      <c r="C857" s="1" t="s">
        <v>369</v>
      </c>
      <c r="D857" s="1" t="s">
        <v>27</v>
      </c>
      <c r="E857" s="1" t="s">
        <v>3169</v>
      </c>
      <c r="F857" s="1" t="s">
        <v>3170</v>
      </c>
      <c r="G857" s="1" t="s">
        <v>23</v>
      </c>
      <c r="I857" s="18">
        <v>41487.836655092593</v>
      </c>
      <c r="J857" s="1" t="s">
        <v>1922</v>
      </c>
      <c r="K857" s="1" t="s">
        <v>18</v>
      </c>
      <c r="L857" s="1" t="s">
        <v>19</v>
      </c>
      <c r="Q857" s="21"/>
    </row>
    <row r="858" spans="1:22" x14ac:dyDescent="0.15">
      <c r="A858" s="1">
        <v>266593</v>
      </c>
      <c r="B858" s="1">
        <v>0</v>
      </c>
      <c r="C858" s="1" t="s">
        <v>26</v>
      </c>
      <c r="D858" s="1" t="s">
        <v>27</v>
      </c>
      <c r="E858" s="1" t="s">
        <v>2837</v>
      </c>
      <c r="F858" s="1" t="s">
        <v>1230</v>
      </c>
      <c r="G858" s="1" t="s">
        <v>23</v>
      </c>
      <c r="I858" s="18">
        <v>41486.990925925929</v>
      </c>
      <c r="J858" s="1" t="s">
        <v>718</v>
      </c>
      <c r="K858" s="1" t="s">
        <v>18</v>
      </c>
      <c r="L858" s="1" t="s">
        <v>19</v>
      </c>
      <c r="Q858" s="21"/>
    </row>
    <row r="859" spans="1:22" x14ac:dyDescent="0.15">
      <c r="A859" s="1">
        <v>265838</v>
      </c>
      <c r="B859" s="1">
        <v>1</v>
      </c>
      <c r="C859" s="1" t="s">
        <v>268</v>
      </c>
      <c r="D859" s="1" t="s">
        <v>27</v>
      </c>
      <c r="E859" s="1" t="s">
        <v>58</v>
      </c>
      <c r="F859" s="1" t="s">
        <v>3122</v>
      </c>
      <c r="G859" s="1" t="s">
        <v>23</v>
      </c>
      <c r="I859" s="18">
        <v>41485.540694444448</v>
      </c>
      <c r="J859" s="1" t="s">
        <v>408</v>
      </c>
      <c r="K859" s="1" t="s">
        <v>18</v>
      </c>
      <c r="L859" s="1" t="s">
        <v>19</v>
      </c>
      <c r="M859" s="1">
        <v>274717</v>
      </c>
      <c r="N859" s="1" t="s">
        <v>3123</v>
      </c>
      <c r="O859" s="18">
        <v>41502.886747685188</v>
      </c>
      <c r="P859" s="1" t="s">
        <v>3124</v>
      </c>
      <c r="Q859" s="21">
        <f t="shared" si="14"/>
        <v>17.34605324074073</v>
      </c>
      <c r="R859" s="1"/>
    </row>
    <row r="860" spans="1:22" x14ac:dyDescent="0.15">
      <c r="A860" s="1">
        <v>265493</v>
      </c>
      <c r="B860" s="1">
        <v>2</v>
      </c>
      <c r="D860" s="1" t="s">
        <v>27</v>
      </c>
      <c r="E860" s="1" t="s">
        <v>942</v>
      </c>
      <c r="F860" s="1" t="s">
        <v>943</v>
      </c>
      <c r="G860" s="1" t="s">
        <v>23</v>
      </c>
      <c r="I860" s="18">
        <v>41484.663634259261</v>
      </c>
      <c r="J860" s="1" t="s">
        <v>944</v>
      </c>
      <c r="K860" s="1" t="s">
        <v>18</v>
      </c>
      <c r="L860" s="1" t="s">
        <v>19</v>
      </c>
      <c r="M860" s="1">
        <v>274978</v>
      </c>
      <c r="N860" s="1" t="s">
        <v>945</v>
      </c>
      <c r="O860" s="18">
        <v>41503.615104166667</v>
      </c>
      <c r="P860" s="1" t="s">
        <v>17</v>
      </c>
      <c r="Q860" s="21">
        <f t="shared" si="14"/>
        <v>18.951469907406135</v>
      </c>
      <c r="R860" s="1">
        <v>274702</v>
      </c>
      <c r="S860" s="1" t="s">
        <v>945</v>
      </c>
      <c r="T860" s="2" t="s">
        <v>4151</v>
      </c>
      <c r="U860" s="1" t="s">
        <v>946</v>
      </c>
      <c r="V860" s="1"/>
    </row>
    <row r="861" spans="1:22" x14ac:dyDescent="0.15">
      <c r="A861" s="1">
        <v>264574</v>
      </c>
      <c r="B861" s="1">
        <v>0</v>
      </c>
      <c r="C861" s="1" t="s">
        <v>31</v>
      </c>
      <c r="D861" s="1" t="s">
        <v>27</v>
      </c>
      <c r="E861" s="1" t="s">
        <v>745</v>
      </c>
      <c r="F861" s="1" t="s">
        <v>746</v>
      </c>
      <c r="G861" s="1" t="s">
        <v>23</v>
      </c>
      <c r="I861" s="18">
        <v>41481.218773148146</v>
      </c>
      <c r="J861" s="1" t="s">
        <v>17</v>
      </c>
      <c r="K861" s="1" t="s">
        <v>18</v>
      </c>
      <c r="L861" s="1" t="s">
        <v>19</v>
      </c>
      <c r="Q861" s="21"/>
    </row>
    <row r="862" spans="1:22" x14ac:dyDescent="0.15">
      <c r="A862" s="1">
        <v>263255</v>
      </c>
      <c r="B862" s="1">
        <v>0</v>
      </c>
      <c r="C862" s="1" t="s">
        <v>31</v>
      </c>
      <c r="D862" s="1" t="s">
        <v>27</v>
      </c>
      <c r="E862" s="1" t="s">
        <v>473</v>
      </c>
      <c r="F862" s="1" t="s">
        <v>548</v>
      </c>
      <c r="G862" s="1" t="s">
        <v>23</v>
      </c>
      <c r="I862" s="18">
        <v>41478.040254629632</v>
      </c>
      <c r="J862" s="1" t="s">
        <v>17</v>
      </c>
      <c r="K862" s="1" t="s">
        <v>18</v>
      </c>
      <c r="L862" s="1" t="s">
        <v>19</v>
      </c>
      <c r="Q862" s="21"/>
    </row>
    <row r="863" spans="1:22" x14ac:dyDescent="0.15">
      <c r="A863" s="1">
        <v>262653</v>
      </c>
      <c r="B863" s="1">
        <v>0</v>
      </c>
      <c r="C863" s="1" t="s">
        <v>31</v>
      </c>
      <c r="D863" s="1" t="s">
        <v>27</v>
      </c>
      <c r="E863" s="1" t="s">
        <v>1103</v>
      </c>
      <c r="F863" s="1" t="s">
        <v>1104</v>
      </c>
      <c r="G863" s="1" t="s">
        <v>23</v>
      </c>
      <c r="I863" s="18">
        <v>41476.211921296293</v>
      </c>
      <c r="J863" s="1" t="s">
        <v>17</v>
      </c>
      <c r="K863" s="1" t="s">
        <v>18</v>
      </c>
      <c r="L863" s="1" t="s">
        <v>19</v>
      </c>
      <c r="Q863" s="21"/>
    </row>
    <row r="864" spans="1:22" x14ac:dyDescent="0.15">
      <c r="A864" s="1">
        <v>262606</v>
      </c>
      <c r="B864" s="1">
        <v>0</v>
      </c>
      <c r="C864" s="1" t="s">
        <v>810</v>
      </c>
      <c r="D864" s="1" t="s">
        <v>27</v>
      </c>
      <c r="E864" s="1" t="s">
        <v>811</v>
      </c>
      <c r="F864" s="1" t="s">
        <v>812</v>
      </c>
      <c r="G864" s="1" t="s">
        <v>813</v>
      </c>
      <c r="H864" s="1"/>
      <c r="I864" s="18">
        <v>41475.877997685187</v>
      </c>
      <c r="J864" s="1" t="s">
        <v>98</v>
      </c>
      <c r="K864" s="1" t="s">
        <v>18</v>
      </c>
      <c r="L864" s="1" t="s">
        <v>19</v>
      </c>
      <c r="Q864" s="21"/>
    </row>
    <row r="865" spans="1:18" x14ac:dyDescent="0.15">
      <c r="A865" s="1">
        <v>261609</v>
      </c>
      <c r="B865" s="1">
        <v>0</v>
      </c>
      <c r="C865" s="1" t="s">
        <v>31</v>
      </c>
      <c r="D865" s="1" t="s">
        <v>27</v>
      </c>
      <c r="E865" s="1" t="s">
        <v>287</v>
      </c>
      <c r="F865" s="1" t="s">
        <v>288</v>
      </c>
      <c r="G865" s="1" t="s">
        <v>23</v>
      </c>
      <c r="I865" s="18">
        <v>41473.656504629631</v>
      </c>
      <c r="J865" s="1" t="s">
        <v>17</v>
      </c>
      <c r="K865" s="1" t="s">
        <v>18</v>
      </c>
      <c r="L865" s="1" t="s">
        <v>19</v>
      </c>
      <c r="Q865" s="21"/>
    </row>
    <row r="866" spans="1:18" x14ac:dyDescent="0.15">
      <c r="A866" s="1">
        <v>261171</v>
      </c>
      <c r="B866" s="1">
        <v>0</v>
      </c>
      <c r="C866" s="1" t="s">
        <v>31</v>
      </c>
      <c r="D866" s="1" t="s">
        <v>27</v>
      </c>
      <c r="E866" s="1" t="s">
        <v>1611</v>
      </c>
      <c r="F866" s="1" t="s">
        <v>3540</v>
      </c>
      <c r="G866" s="1" t="s">
        <v>23</v>
      </c>
      <c r="I866" s="18">
        <v>41472.635659722226</v>
      </c>
      <c r="J866" s="1" t="s">
        <v>17</v>
      </c>
      <c r="K866" s="1" t="s">
        <v>18</v>
      </c>
      <c r="L866" s="1" t="s">
        <v>19</v>
      </c>
      <c r="Q866" s="21"/>
    </row>
    <row r="867" spans="1:18" x14ac:dyDescent="0.15">
      <c r="A867" s="1">
        <v>260428</v>
      </c>
      <c r="B867" s="1">
        <v>0</v>
      </c>
      <c r="D867" s="1" t="s">
        <v>27</v>
      </c>
      <c r="E867" s="1" t="s">
        <v>2208</v>
      </c>
      <c r="F867" s="1" t="s">
        <v>2209</v>
      </c>
      <c r="G867" s="1" t="s">
        <v>23</v>
      </c>
      <c r="I867" s="18">
        <v>41470.952372685184</v>
      </c>
      <c r="J867" s="1" t="s">
        <v>68</v>
      </c>
      <c r="K867" s="1" t="s">
        <v>18</v>
      </c>
      <c r="L867" s="1" t="s">
        <v>19</v>
      </c>
      <c r="Q867" s="21"/>
    </row>
    <row r="868" spans="1:18" x14ac:dyDescent="0.15">
      <c r="A868" s="1">
        <v>260165</v>
      </c>
      <c r="B868" s="1">
        <v>0</v>
      </c>
      <c r="D868" s="1" t="s">
        <v>27</v>
      </c>
      <c r="E868" s="1" t="s">
        <v>587</v>
      </c>
      <c r="F868" s="1" t="s">
        <v>588</v>
      </c>
      <c r="G868" s="1" t="s">
        <v>23</v>
      </c>
      <c r="I868" s="18">
        <v>41469.834328703706</v>
      </c>
      <c r="J868" s="1" t="s">
        <v>68</v>
      </c>
      <c r="K868" s="1" t="s">
        <v>18</v>
      </c>
      <c r="L868" s="1" t="s">
        <v>19</v>
      </c>
      <c r="Q868" s="21"/>
    </row>
    <row r="869" spans="1:18" x14ac:dyDescent="0.15">
      <c r="A869" s="1">
        <v>260156</v>
      </c>
      <c r="B869" s="1">
        <v>0</v>
      </c>
      <c r="D869" s="1" t="s">
        <v>27</v>
      </c>
      <c r="E869" s="1" t="s">
        <v>3428</v>
      </c>
      <c r="F869" s="1" t="s">
        <v>3429</v>
      </c>
      <c r="G869" s="1" t="s">
        <v>23</v>
      </c>
      <c r="I869" s="18">
        <v>41469.579976851855</v>
      </c>
      <c r="J869" s="1" t="s">
        <v>68</v>
      </c>
      <c r="K869" s="1" t="s">
        <v>18</v>
      </c>
      <c r="L869" s="1" t="s">
        <v>19</v>
      </c>
      <c r="Q869" s="21"/>
    </row>
    <row r="870" spans="1:18" x14ac:dyDescent="0.15">
      <c r="A870" s="1">
        <v>260138</v>
      </c>
      <c r="B870" s="1">
        <v>1</v>
      </c>
      <c r="C870" s="1" t="s">
        <v>31</v>
      </c>
      <c r="D870" s="1" t="s">
        <v>27</v>
      </c>
      <c r="E870" s="1" t="s">
        <v>327</v>
      </c>
      <c r="F870" s="1" t="s">
        <v>328</v>
      </c>
      <c r="G870" s="1" t="s">
        <v>23</v>
      </c>
      <c r="I870" s="18">
        <v>41469.197071759256</v>
      </c>
      <c r="J870" s="1" t="s">
        <v>17</v>
      </c>
      <c r="K870" s="1" t="s">
        <v>18</v>
      </c>
      <c r="L870" s="1" t="s">
        <v>19</v>
      </c>
      <c r="M870" s="1">
        <v>268511</v>
      </c>
      <c r="N870" s="1" t="s">
        <v>329</v>
      </c>
      <c r="O870" s="18">
        <v>41491.849976851852</v>
      </c>
      <c r="P870" s="1" t="s">
        <v>330</v>
      </c>
      <c r="Q870" s="21">
        <f t="shared" si="14"/>
        <v>22.652905092596484</v>
      </c>
      <c r="R870" s="1"/>
    </row>
    <row r="871" spans="1:18" x14ac:dyDescent="0.15">
      <c r="A871" s="1">
        <v>260106</v>
      </c>
      <c r="B871" s="1">
        <v>0</v>
      </c>
      <c r="C871" s="1" t="s">
        <v>101</v>
      </c>
      <c r="D871" s="1" t="s">
        <v>27</v>
      </c>
      <c r="E871" s="1" t="s">
        <v>1929</v>
      </c>
      <c r="F871" s="1" t="s">
        <v>1930</v>
      </c>
      <c r="G871" s="1" t="s">
        <v>23</v>
      </c>
      <c r="I871" s="18">
        <v>41468.551168981481</v>
      </c>
      <c r="J871" s="1" t="s">
        <v>68</v>
      </c>
      <c r="K871" s="1" t="s">
        <v>18</v>
      </c>
      <c r="L871" s="1" t="s">
        <v>19</v>
      </c>
      <c r="Q871" s="21"/>
    </row>
    <row r="872" spans="1:18" x14ac:dyDescent="0.15">
      <c r="A872" s="1">
        <v>260105</v>
      </c>
      <c r="B872" s="1">
        <v>0</v>
      </c>
      <c r="D872" s="1" t="s">
        <v>27</v>
      </c>
      <c r="E872" s="1" t="s">
        <v>385</v>
      </c>
      <c r="F872" s="1" t="s">
        <v>386</v>
      </c>
      <c r="G872" s="1" t="s">
        <v>23</v>
      </c>
      <c r="I872" s="18">
        <v>41468.538368055553</v>
      </c>
      <c r="J872" s="1" t="s">
        <v>68</v>
      </c>
      <c r="K872" s="1" t="s">
        <v>18</v>
      </c>
      <c r="L872" s="1" t="s">
        <v>19</v>
      </c>
      <c r="Q872" s="21"/>
    </row>
    <row r="873" spans="1:18" x14ac:dyDescent="0.15">
      <c r="A873" s="1">
        <v>259366</v>
      </c>
      <c r="B873" s="1">
        <v>0</v>
      </c>
      <c r="D873" s="1" t="s">
        <v>27</v>
      </c>
      <c r="E873" s="1" t="s">
        <v>818</v>
      </c>
      <c r="F873" s="1" t="s">
        <v>819</v>
      </c>
      <c r="G873" s="1" t="s">
        <v>23</v>
      </c>
      <c r="I873" s="18">
        <v>41466.624884259261</v>
      </c>
      <c r="J873" s="1" t="s">
        <v>820</v>
      </c>
      <c r="K873" s="1" t="s">
        <v>18</v>
      </c>
      <c r="L873" s="1" t="s">
        <v>19</v>
      </c>
      <c r="Q873" s="21"/>
    </row>
    <row r="874" spans="1:18" x14ac:dyDescent="0.15">
      <c r="A874" s="1">
        <v>257852</v>
      </c>
      <c r="B874" s="1">
        <v>0</v>
      </c>
      <c r="C874" s="1" t="s">
        <v>727</v>
      </c>
      <c r="D874" s="1" t="s">
        <v>27</v>
      </c>
      <c r="E874" s="1" t="s">
        <v>1229</v>
      </c>
      <c r="F874" s="1" t="s">
        <v>1230</v>
      </c>
      <c r="G874" s="1" t="s">
        <v>23</v>
      </c>
      <c r="I874" s="18">
        <v>41462.610231481478</v>
      </c>
      <c r="J874" s="1" t="s">
        <v>193</v>
      </c>
      <c r="K874" s="1" t="s">
        <v>18</v>
      </c>
      <c r="L874" s="1" t="s">
        <v>19</v>
      </c>
      <c r="Q874" s="21"/>
    </row>
    <row r="875" spans="1:18" x14ac:dyDescent="0.15">
      <c r="A875" s="1">
        <v>257363</v>
      </c>
      <c r="B875" s="1">
        <v>0</v>
      </c>
      <c r="C875" s="1" t="s">
        <v>414</v>
      </c>
      <c r="D875" s="1" t="s">
        <v>27</v>
      </c>
      <c r="E875" s="1" t="s">
        <v>1528</v>
      </c>
      <c r="F875" s="1" t="s">
        <v>1529</v>
      </c>
      <c r="G875" s="1" t="s">
        <v>159</v>
      </c>
      <c r="I875" s="18">
        <v>41459.596377314818</v>
      </c>
      <c r="J875" s="1" t="s">
        <v>1530</v>
      </c>
      <c r="K875" s="1" t="s">
        <v>18</v>
      </c>
      <c r="L875" s="1" t="s">
        <v>19</v>
      </c>
      <c r="Q875" s="21"/>
    </row>
    <row r="876" spans="1:18" x14ac:dyDescent="0.15">
      <c r="A876" s="1">
        <v>252926</v>
      </c>
      <c r="B876" s="1">
        <v>0</v>
      </c>
      <c r="C876" s="1" t="s">
        <v>2709</v>
      </c>
      <c r="D876" s="1" t="s">
        <v>3911</v>
      </c>
      <c r="E876" s="1" t="s">
        <v>3994</v>
      </c>
      <c r="F876" s="1" t="s">
        <v>3995</v>
      </c>
      <c r="G876" s="1" t="s">
        <v>3996</v>
      </c>
      <c r="H876" s="1"/>
      <c r="I876" s="18">
        <v>41446.925335648149</v>
      </c>
      <c r="J876" s="1" t="s">
        <v>3997</v>
      </c>
      <c r="K876" s="1" t="s">
        <v>18</v>
      </c>
      <c r="L876" s="1" t="s">
        <v>19</v>
      </c>
      <c r="Q876" s="21"/>
    </row>
    <row r="877" spans="1:18" x14ac:dyDescent="0.15">
      <c r="A877" s="1">
        <v>252712</v>
      </c>
      <c r="B877" s="1">
        <v>0</v>
      </c>
      <c r="C877" s="1" t="s">
        <v>26</v>
      </c>
      <c r="D877" s="1" t="s">
        <v>27</v>
      </c>
      <c r="E877" s="1" t="s">
        <v>1328</v>
      </c>
      <c r="F877" s="1" t="s">
        <v>1329</v>
      </c>
      <c r="G877" s="1" t="s">
        <v>23</v>
      </c>
      <c r="I877" s="18">
        <v>41446.644606481481</v>
      </c>
      <c r="J877" s="1" t="s">
        <v>435</v>
      </c>
      <c r="K877" s="1" t="s">
        <v>18</v>
      </c>
      <c r="L877" s="1" t="s">
        <v>19</v>
      </c>
      <c r="Q877" s="21"/>
    </row>
    <row r="878" spans="1:18" x14ac:dyDescent="0.15">
      <c r="A878" s="1">
        <v>252062</v>
      </c>
      <c r="B878" s="1">
        <v>0</v>
      </c>
      <c r="C878" s="1" t="s">
        <v>1700</v>
      </c>
      <c r="D878" s="1" t="s">
        <v>27</v>
      </c>
      <c r="E878" s="1" t="s">
        <v>1701</v>
      </c>
      <c r="F878" s="1" t="s">
        <v>1702</v>
      </c>
      <c r="G878" s="1" t="s">
        <v>23</v>
      </c>
      <c r="I878" s="18">
        <v>41445.064675925925</v>
      </c>
      <c r="J878" s="1" t="s">
        <v>405</v>
      </c>
      <c r="K878" s="1" t="s">
        <v>18</v>
      </c>
      <c r="L878" s="1" t="s">
        <v>19</v>
      </c>
      <c r="Q878" s="21"/>
    </row>
    <row r="879" spans="1:18" x14ac:dyDescent="0.15">
      <c r="A879" s="1">
        <v>249502</v>
      </c>
      <c r="B879" s="1">
        <v>0</v>
      </c>
      <c r="C879" s="1" t="s">
        <v>979</v>
      </c>
      <c r="D879" s="1" t="s">
        <v>27</v>
      </c>
      <c r="E879" s="1" t="s">
        <v>980</v>
      </c>
      <c r="F879" s="1" t="s">
        <v>981</v>
      </c>
      <c r="G879" s="1" t="s">
        <v>23</v>
      </c>
      <c r="I879" s="18">
        <v>41438.92359953704</v>
      </c>
      <c r="J879" s="1" t="s">
        <v>860</v>
      </c>
      <c r="K879" s="1" t="s">
        <v>18</v>
      </c>
      <c r="L879" s="1" t="s">
        <v>19</v>
      </c>
      <c r="Q879" s="21"/>
    </row>
    <row r="880" spans="1:18" x14ac:dyDescent="0.15">
      <c r="A880" s="1">
        <v>249199</v>
      </c>
      <c r="B880" s="1">
        <v>0</v>
      </c>
      <c r="C880" s="1" t="s">
        <v>31</v>
      </c>
      <c r="D880" s="1" t="s">
        <v>27</v>
      </c>
      <c r="E880" s="1" t="s">
        <v>2028</v>
      </c>
      <c r="F880" s="1" t="s">
        <v>46</v>
      </c>
      <c r="G880" s="1" t="s">
        <v>23</v>
      </c>
      <c r="I880" s="18">
        <v>41438.062314814815</v>
      </c>
      <c r="J880" s="1" t="s">
        <v>17</v>
      </c>
      <c r="K880" s="1" t="s">
        <v>18</v>
      </c>
      <c r="L880" s="1" t="s">
        <v>19</v>
      </c>
      <c r="Q880" s="21"/>
    </row>
    <row r="881" spans="1:22" x14ac:dyDescent="0.15">
      <c r="A881" s="1">
        <v>249064</v>
      </c>
      <c r="B881" s="1">
        <v>0</v>
      </c>
      <c r="C881" s="1" t="s">
        <v>689</v>
      </c>
      <c r="D881" s="1" t="s">
        <v>27</v>
      </c>
      <c r="E881" s="1" t="s">
        <v>1730</v>
      </c>
      <c r="F881" s="1" t="s">
        <v>1731</v>
      </c>
      <c r="G881" s="1" t="s">
        <v>23</v>
      </c>
      <c r="I881" s="18">
        <v>41437.832881944443</v>
      </c>
      <c r="J881" s="1" t="s">
        <v>193</v>
      </c>
      <c r="K881" s="1" t="s">
        <v>18</v>
      </c>
      <c r="L881" s="1" t="s">
        <v>19</v>
      </c>
      <c r="Q881" s="21"/>
    </row>
    <row r="882" spans="1:22" x14ac:dyDescent="0.15">
      <c r="A882" s="1">
        <v>248960</v>
      </c>
      <c r="B882" s="1">
        <v>0</v>
      </c>
      <c r="C882" s="1" t="s">
        <v>2334</v>
      </c>
      <c r="D882" s="1" t="s">
        <v>27</v>
      </c>
      <c r="E882" s="1" t="s">
        <v>2335</v>
      </c>
      <c r="F882" s="1" t="s">
        <v>2336</v>
      </c>
      <c r="G882" s="1" t="s">
        <v>159</v>
      </c>
      <c r="I882" s="18">
        <v>41437.654687499999</v>
      </c>
      <c r="J882" s="1" t="s">
        <v>758</v>
      </c>
      <c r="K882" s="1" t="s">
        <v>18</v>
      </c>
      <c r="L882" s="1" t="s">
        <v>19</v>
      </c>
      <c r="Q882" s="21"/>
    </row>
    <row r="883" spans="1:22" x14ac:dyDescent="0.15">
      <c r="A883" s="1">
        <v>248950</v>
      </c>
      <c r="B883" s="1">
        <v>0</v>
      </c>
      <c r="C883" s="1" t="s">
        <v>522</v>
      </c>
      <c r="D883" s="1" t="s">
        <v>27</v>
      </c>
      <c r="E883" s="1" t="s">
        <v>756</v>
      </c>
      <c r="F883" s="1" t="s">
        <v>757</v>
      </c>
      <c r="G883" s="1" t="s">
        <v>159</v>
      </c>
      <c r="I883" s="18">
        <v>41437.622604166667</v>
      </c>
      <c r="J883" s="1" t="s">
        <v>758</v>
      </c>
      <c r="K883" s="1" t="s">
        <v>18</v>
      </c>
      <c r="L883" s="1" t="s">
        <v>19</v>
      </c>
      <c r="Q883" s="21"/>
    </row>
    <row r="884" spans="1:22" x14ac:dyDescent="0.15">
      <c r="A884" s="1">
        <v>246240</v>
      </c>
      <c r="B884" s="1">
        <v>0</v>
      </c>
      <c r="C884" s="1" t="s">
        <v>1810</v>
      </c>
      <c r="D884" s="1" t="s">
        <v>27</v>
      </c>
      <c r="E884" s="1" t="s">
        <v>2704</v>
      </c>
      <c r="F884" s="1" t="s">
        <v>2705</v>
      </c>
      <c r="G884" s="1" t="s">
        <v>23</v>
      </c>
      <c r="I884" s="18">
        <v>41428.711944444447</v>
      </c>
      <c r="J884" s="1" t="s">
        <v>193</v>
      </c>
      <c r="K884" s="1" t="s">
        <v>18</v>
      </c>
      <c r="L884" s="1" t="s">
        <v>19</v>
      </c>
      <c r="Q884" s="21"/>
    </row>
    <row r="885" spans="1:22" x14ac:dyDescent="0.15">
      <c r="A885" s="1">
        <v>246205</v>
      </c>
      <c r="B885" s="1">
        <v>0</v>
      </c>
      <c r="C885" s="1" t="s">
        <v>31</v>
      </c>
      <c r="D885" s="1" t="s">
        <v>27</v>
      </c>
      <c r="E885" s="1" t="s">
        <v>45</v>
      </c>
      <c r="F885" s="1" t="s">
        <v>46</v>
      </c>
      <c r="G885" s="1" t="s">
        <v>23</v>
      </c>
      <c r="I885" s="18">
        <v>41428.657465277778</v>
      </c>
      <c r="J885" s="1" t="s">
        <v>40</v>
      </c>
      <c r="K885" s="1" t="s">
        <v>18</v>
      </c>
      <c r="L885" s="1" t="s">
        <v>19</v>
      </c>
      <c r="Q885" s="21"/>
    </row>
    <row r="886" spans="1:22" x14ac:dyDescent="0.15">
      <c r="A886" s="1">
        <v>246203</v>
      </c>
      <c r="B886" s="1">
        <v>0</v>
      </c>
      <c r="C886" s="1" t="s">
        <v>31</v>
      </c>
      <c r="D886" s="1" t="s">
        <v>27</v>
      </c>
      <c r="E886" s="1" t="s">
        <v>47</v>
      </c>
      <c r="F886" s="1" t="s">
        <v>46</v>
      </c>
      <c r="G886" s="1" t="s">
        <v>23</v>
      </c>
      <c r="I886" s="18">
        <v>41428.654629629629</v>
      </c>
      <c r="J886" s="1" t="s">
        <v>40</v>
      </c>
      <c r="K886" s="1" t="s">
        <v>18</v>
      </c>
      <c r="L886" s="1" t="s">
        <v>19</v>
      </c>
      <c r="Q886" s="21"/>
    </row>
    <row r="887" spans="1:22" x14ac:dyDescent="0.15">
      <c r="A887" s="1">
        <v>245727</v>
      </c>
      <c r="B887" s="1">
        <v>2</v>
      </c>
      <c r="C887" s="1" t="s">
        <v>268</v>
      </c>
      <c r="D887" s="1" t="s">
        <v>27</v>
      </c>
      <c r="E887" s="1" t="s">
        <v>3080</v>
      </c>
      <c r="F887" s="1" t="s">
        <v>3081</v>
      </c>
      <c r="G887" s="1" t="s">
        <v>23</v>
      </c>
      <c r="I887" s="18">
        <v>41425.709930555553</v>
      </c>
      <c r="J887" s="1" t="s">
        <v>3082</v>
      </c>
      <c r="K887" s="1" t="s">
        <v>18</v>
      </c>
      <c r="L887" s="1" t="s">
        <v>19</v>
      </c>
      <c r="M887" s="1">
        <v>327113</v>
      </c>
      <c r="N887" s="1" t="s">
        <v>3083</v>
      </c>
      <c r="O887" s="18">
        <v>41617.916909722226</v>
      </c>
      <c r="P887" s="1" t="s">
        <v>17</v>
      </c>
      <c r="Q887" s="21">
        <f t="shared" si="14"/>
        <v>192.20697916667268</v>
      </c>
      <c r="R887" s="1">
        <v>325232</v>
      </c>
      <c r="S887" s="1" t="s">
        <v>3083</v>
      </c>
      <c r="T887" s="4" t="s">
        <v>4187</v>
      </c>
      <c r="U887" s="1" t="s">
        <v>705</v>
      </c>
      <c r="V887" s="1"/>
    </row>
    <row r="888" spans="1:22" x14ac:dyDescent="0.15">
      <c r="A888" s="1">
        <v>244746</v>
      </c>
      <c r="B888" s="1">
        <v>0</v>
      </c>
      <c r="C888" s="1" t="s">
        <v>2815</v>
      </c>
      <c r="D888" s="1" t="s">
        <v>3714</v>
      </c>
      <c r="E888" s="1" t="s">
        <v>3909</v>
      </c>
      <c r="F888" s="1" t="s">
        <v>3910</v>
      </c>
      <c r="G888" s="1" t="s">
        <v>23</v>
      </c>
      <c r="I888" s="18">
        <v>41423.290023148147</v>
      </c>
      <c r="J888" s="1" t="s">
        <v>2427</v>
      </c>
      <c r="K888" s="1" t="s">
        <v>3586</v>
      </c>
      <c r="L888" s="1" t="s">
        <v>19</v>
      </c>
      <c r="Q888" s="21"/>
    </row>
    <row r="889" spans="1:22" x14ac:dyDescent="0.15">
      <c r="A889" s="1">
        <v>244415</v>
      </c>
      <c r="B889" s="1">
        <v>0</v>
      </c>
      <c r="C889" s="1" t="s">
        <v>50</v>
      </c>
      <c r="D889" s="1" t="s">
        <v>27</v>
      </c>
      <c r="E889" s="1" t="s">
        <v>191</v>
      </c>
      <c r="F889" s="1" t="s">
        <v>192</v>
      </c>
      <c r="G889" s="1" t="s">
        <v>23</v>
      </c>
      <c r="I889" s="18">
        <v>41422.591006944444</v>
      </c>
      <c r="J889" s="1" t="s">
        <v>193</v>
      </c>
      <c r="K889" s="1" t="s">
        <v>18</v>
      </c>
      <c r="L889" s="1" t="s">
        <v>19</v>
      </c>
      <c r="Q889" s="21"/>
    </row>
    <row r="890" spans="1:22" x14ac:dyDescent="0.15">
      <c r="A890" s="1">
        <v>243991</v>
      </c>
      <c r="B890" s="1">
        <v>0</v>
      </c>
      <c r="D890" s="1" t="s">
        <v>27</v>
      </c>
      <c r="E890" s="1" t="s">
        <v>530</v>
      </c>
      <c r="F890" s="1" t="s">
        <v>531</v>
      </c>
      <c r="G890" s="1" t="s">
        <v>23</v>
      </c>
      <c r="I890" s="18">
        <v>41419.281805555554</v>
      </c>
      <c r="J890" s="1" t="s">
        <v>44</v>
      </c>
      <c r="K890" s="1" t="s">
        <v>18</v>
      </c>
      <c r="L890" s="1" t="s">
        <v>19</v>
      </c>
      <c r="Q890" s="21"/>
    </row>
    <row r="891" spans="1:22" x14ac:dyDescent="0.15">
      <c r="A891" s="1">
        <v>243881</v>
      </c>
      <c r="B891" s="1">
        <v>0</v>
      </c>
      <c r="C891" s="1" t="s">
        <v>31</v>
      </c>
      <c r="D891" s="1" t="s">
        <v>27</v>
      </c>
      <c r="E891" s="1" t="s">
        <v>3071</v>
      </c>
      <c r="F891" s="1" t="s">
        <v>772</v>
      </c>
      <c r="G891" s="1" t="s">
        <v>23</v>
      </c>
      <c r="I891" s="18">
        <v>41418.868020833332</v>
      </c>
      <c r="J891" s="1" t="s">
        <v>238</v>
      </c>
      <c r="K891" s="1" t="s">
        <v>18</v>
      </c>
      <c r="L891" s="1" t="s">
        <v>19</v>
      </c>
      <c r="Q891" s="21"/>
    </row>
    <row r="892" spans="1:22" x14ac:dyDescent="0.15">
      <c r="A892" s="1">
        <v>243818</v>
      </c>
      <c r="B892" s="1">
        <v>0</v>
      </c>
      <c r="C892" s="1" t="s">
        <v>26</v>
      </c>
      <c r="D892" s="1" t="s">
        <v>27</v>
      </c>
      <c r="E892" s="1" t="s">
        <v>1940</v>
      </c>
      <c r="F892" s="1" t="s">
        <v>1941</v>
      </c>
      <c r="G892" s="1" t="s">
        <v>23</v>
      </c>
      <c r="I892" s="18">
        <v>41418.779722222222</v>
      </c>
      <c r="J892" s="1" t="s">
        <v>44</v>
      </c>
      <c r="K892" s="1" t="s">
        <v>18</v>
      </c>
      <c r="L892" s="1" t="s">
        <v>19</v>
      </c>
      <c r="Q892" s="21"/>
    </row>
    <row r="893" spans="1:22" x14ac:dyDescent="0.15">
      <c r="A893" s="1">
        <v>243339</v>
      </c>
      <c r="B893" s="1">
        <v>0</v>
      </c>
      <c r="D893" s="1" t="s">
        <v>27</v>
      </c>
      <c r="E893" s="1" t="s">
        <v>1774</v>
      </c>
      <c r="F893" s="1" t="s">
        <v>1775</v>
      </c>
      <c r="G893" s="1" t="s">
        <v>159</v>
      </c>
      <c r="I893" s="18">
        <v>41417.662905092591</v>
      </c>
      <c r="J893" s="1" t="s">
        <v>860</v>
      </c>
      <c r="K893" s="1" t="s">
        <v>18</v>
      </c>
      <c r="L893" s="1" t="s">
        <v>19</v>
      </c>
      <c r="Q893" s="21"/>
    </row>
    <row r="894" spans="1:22" x14ac:dyDescent="0.15">
      <c r="A894" s="1">
        <v>243045</v>
      </c>
      <c r="B894" s="1">
        <v>0</v>
      </c>
      <c r="C894" s="1" t="s">
        <v>31</v>
      </c>
      <c r="D894" s="1" t="s">
        <v>27</v>
      </c>
      <c r="E894" s="1" t="s">
        <v>895</v>
      </c>
      <c r="F894" s="1" t="s">
        <v>772</v>
      </c>
      <c r="G894" s="1" t="s">
        <v>23</v>
      </c>
      <c r="I894" s="18">
        <v>41416.85769675926</v>
      </c>
      <c r="J894" s="1" t="s">
        <v>40</v>
      </c>
      <c r="K894" s="1" t="s">
        <v>18</v>
      </c>
      <c r="L894" s="1" t="s">
        <v>19</v>
      </c>
      <c r="Q894" s="21"/>
    </row>
    <row r="895" spans="1:22" x14ac:dyDescent="0.15">
      <c r="A895" s="1">
        <v>242931</v>
      </c>
      <c r="B895" s="1">
        <v>0</v>
      </c>
      <c r="C895" s="1" t="s">
        <v>31</v>
      </c>
      <c r="D895" s="1" t="s">
        <v>27</v>
      </c>
      <c r="E895" s="1" t="s">
        <v>1046</v>
      </c>
      <c r="F895" s="1" t="s">
        <v>2641</v>
      </c>
      <c r="G895" s="1" t="s">
        <v>23</v>
      </c>
      <c r="I895" s="18">
        <v>41416.629861111112</v>
      </c>
      <c r="J895" s="1" t="s">
        <v>40</v>
      </c>
      <c r="K895" s="1" t="s">
        <v>18</v>
      </c>
      <c r="L895" s="1" t="s">
        <v>19</v>
      </c>
      <c r="Q895" s="21"/>
    </row>
    <row r="896" spans="1:22" x14ac:dyDescent="0.15">
      <c r="A896" s="1">
        <v>242786</v>
      </c>
      <c r="B896" s="1">
        <v>0</v>
      </c>
      <c r="C896" s="1" t="s">
        <v>2969</v>
      </c>
      <c r="D896" s="1" t="s">
        <v>27</v>
      </c>
      <c r="E896" s="1" t="s">
        <v>2970</v>
      </c>
      <c r="F896" s="1" t="s">
        <v>772</v>
      </c>
      <c r="G896" s="1" t="s">
        <v>23</v>
      </c>
      <c r="I896" s="18">
        <v>41416.173900462964</v>
      </c>
      <c r="J896" s="1" t="s">
        <v>40</v>
      </c>
      <c r="K896" s="1" t="s">
        <v>18</v>
      </c>
      <c r="L896" s="1" t="s">
        <v>19</v>
      </c>
      <c r="Q896" s="21"/>
    </row>
    <row r="897" spans="1:18" x14ac:dyDescent="0.15">
      <c r="A897" s="1">
        <v>242762</v>
      </c>
      <c r="B897" s="1">
        <v>0</v>
      </c>
      <c r="C897" s="1" t="s">
        <v>3683</v>
      </c>
      <c r="D897" s="1" t="s">
        <v>27</v>
      </c>
      <c r="E897" s="1" t="s">
        <v>3684</v>
      </c>
      <c r="F897" s="1" t="s">
        <v>3685</v>
      </c>
      <c r="G897" s="1" t="s">
        <v>23</v>
      </c>
      <c r="I897" s="18">
        <v>41416.086851851855</v>
      </c>
      <c r="J897" s="1" t="s">
        <v>3686</v>
      </c>
      <c r="K897" s="1" t="s">
        <v>3586</v>
      </c>
      <c r="L897" s="1" t="s">
        <v>19</v>
      </c>
      <c r="Q897" s="21"/>
    </row>
    <row r="898" spans="1:18" x14ac:dyDescent="0.15">
      <c r="A898" s="1">
        <v>242224</v>
      </c>
      <c r="B898" s="1">
        <v>0</v>
      </c>
      <c r="C898" s="1" t="s">
        <v>522</v>
      </c>
      <c r="D898" s="1" t="s">
        <v>27</v>
      </c>
      <c r="E898" s="1" t="s">
        <v>2832</v>
      </c>
      <c r="F898" s="1" t="s">
        <v>2833</v>
      </c>
      <c r="G898" s="1" t="s">
        <v>23</v>
      </c>
      <c r="I898" s="18">
        <v>41414.732615740744</v>
      </c>
      <c r="J898" s="1" t="s">
        <v>44</v>
      </c>
      <c r="K898" s="1" t="s">
        <v>18</v>
      </c>
      <c r="L898" s="1" t="s">
        <v>19</v>
      </c>
      <c r="Q898" s="21"/>
    </row>
    <row r="899" spans="1:18" x14ac:dyDescent="0.15">
      <c r="A899" s="1">
        <v>242114</v>
      </c>
      <c r="B899" s="1">
        <v>0</v>
      </c>
      <c r="C899" s="1" t="s">
        <v>31</v>
      </c>
      <c r="D899" s="1" t="s">
        <v>27</v>
      </c>
      <c r="E899" s="1" t="s">
        <v>1646</v>
      </c>
      <c r="F899" s="1" t="s">
        <v>1647</v>
      </c>
      <c r="G899" s="1" t="s">
        <v>23</v>
      </c>
      <c r="I899" s="18">
        <v>41414.007337962961</v>
      </c>
      <c r="J899" s="1" t="s">
        <v>40</v>
      </c>
      <c r="K899" s="1" t="s">
        <v>18</v>
      </c>
      <c r="L899" s="1" t="s">
        <v>19</v>
      </c>
      <c r="Q899" s="21"/>
    </row>
    <row r="900" spans="1:18" x14ac:dyDescent="0.15">
      <c r="A900" s="1">
        <v>242023</v>
      </c>
      <c r="B900" s="1">
        <v>0</v>
      </c>
      <c r="C900" s="1" t="s">
        <v>31</v>
      </c>
      <c r="D900" s="1" t="s">
        <v>27</v>
      </c>
      <c r="E900" s="1" t="s">
        <v>1046</v>
      </c>
      <c r="F900" s="1" t="s">
        <v>2641</v>
      </c>
      <c r="G900" s="1" t="s">
        <v>23</v>
      </c>
      <c r="I900" s="18">
        <v>41412.573287037034</v>
      </c>
      <c r="J900" s="1" t="s">
        <v>40</v>
      </c>
      <c r="K900" s="1" t="s">
        <v>18</v>
      </c>
      <c r="L900" s="1" t="s">
        <v>19</v>
      </c>
      <c r="Q900" s="21"/>
    </row>
    <row r="901" spans="1:18" x14ac:dyDescent="0.15">
      <c r="A901" s="1">
        <v>241139</v>
      </c>
      <c r="B901" s="1">
        <v>0</v>
      </c>
      <c r="C901" s="1" t="s">
        <v>26</v>
      </c>
      <c r="D901" s="1" t="s">
        <v>27</v>
      </c>
      <c r="E901" s="1" t="s">
        <v>394</v>
      </c>
      <c r="F901" s="1" t="s">
        <v>1495</v>
      </c>
      <c r="G901" s="1" t="s">
        <v>23</v>
      </c>
      <c r="I901" s="18">
        <v>41409.762106481481</v>
      </c>
      <c r="J901" s="1" t="s">
        <v>44</v>
      </c>
      <c r="K901" s="1" t="s">
        <v>18</v>
      </c>
      <c r="L901" s="1" t="s">
        <v>19</v>
      </c>
      <c r="Q901" s="21"/>
    </row>
    <row r="902" spans="1:18" x14ac:dyDescent="0.15">
      <c r="A902" s="1">
        <v>240449</v>
      </c>
      <c r="B902" s="1">
        <v>0</v>
      </c>
      <c r="C902" s="1" t="s">
        <v>1967</v>
      </c>
      <c r="D902" s="1" t="s">
        <v>27</v>
      </c>
      <c r="E902" s="1" t="s">
        <v>1968</v>
      </c>
      <c r="F902" s="1" t="s">
        <v>1969</v>
      </c>
      <c r="G902" s="1" t="s">
        <v>23</v>
      </c>
      <c r="I902" s="18">
        <v>41407.883993055555</v>
      </c>
      <c r="J902" s="1" t="s">
        <v>1970</v>
      </c>
      <c r="K902" s="1" t="s">
        <v>18</v>
      </c>
      <c r="L902" s="1" t="s">
        <v>19</v>
      </c>
      <c r="Q902" s="21"/>
    </row>
    <row r="903" spans="1:18" x14ac:dyDescent="0.15">
      <c r="A903" s="1">
        <v>240124</v>
      </c>
      <c r="B903" s="1">
        <v>0</v>
      </c>
      <c r="C903" s="1" t="s">
        <v>26</v>
      </c>
      <c r="D903" s="1" t="s">
        <v>27</v>
      </c>
      <c r="E903" s="1" t="s">
        <v>1875</v>
      </c>
      <c r="F903" s="1" t="s">
        <v>1876</v>
      </c>
      <c r="G903" s="1" t="s">
        <v>23</v>
      </c>
      <c r="I903" s="18">
        <v>41406.750532407408</v>
      </c>
      <c r="J903" s="1" t="s">
        <v>44</v>
      </c>
      <c r="K903" s="1" t="s">
        <v>18</v>
      </c>
      <c r="L903" s="1" t="s">
        <v>19</v>
      </c>
      <c r="Q903" s="21"/>
    </row>
    <row r="904" spans="1:18" x14ac:dyDescent="0.15">
      <c r="A904" s="1">
        <v>240057</v>
      </c>
      <c r="B904" s="1">
        <v>0</v>
      </c>
      <c r="C904" s="1" t="s">
        <v>31</v>
      </c>
      <c r="D904" s="1" t="s">
        <v>27</v>
      </c>
      <c r="E904" s="1" t="s">
        <v>1045</v>
      </c>
      <c r="F904" s="1" t="s">
        <v>458</v>
      </c>
      <c r="G904" s="1" t="s">
        <v>23</v>
      </c>
      <c r="I904" s="18">
        <v>41405.647615740738</v>
      </c>
      <c r="J904" s="1" t="s">
        <v>40</v>
      </c>
      <c r="K904" s="1" t="s">
        <v>18</v>
      </c>
      <c r="L904" s="1" t="s">
        <v>19</v>
      </c>
      <c r="Q904" s="21"/>
    </row>
    <row r="905" spans="1:18" x14ac:dyDescent="0.15">
      <c r="A905" s="1">
        <v>240055</v>
      </c>
      <c r="B905" s="1">
        <v>0</v>
      </c>
      <c r="C905" s="1" t="s">
        <v>31</v>
      </c>
      <c r="D905" s="1" t="s">
        <v>27</v>
      </c>
      <c r="E905" s="1" t="s">
        <v>1046</v>
      </c>
      <c r="F905" s="1" t="s">
        <v>772</v>
      </c>
      <c r="G905" s="1" t="s">
        <v>23</v>
      </c>
      <c r="I905" s="18">
        <v>41405.644479166665</v>
      </c>
      <c r="J905" s="1" t="s">
        <v>40</v>
      </c>
      <c r="K905" s="1" t="s">
        <v>18</v>
      </c>
      <c r="L905" s="1" t="s">
        <v>19</v>
      </c>
      <c r="Q905" s="21"/>
    </row>
    <row r="906" spans="1:18" x14ac:dyDescent="0.15">
      <c r="A906" s="1">
        <v>239897</v>
      </c>
      <c r="B906" s="1">
        <v>0</v>
      </c>
      <c r="C906" s="1" t="s">
        <v>50</v>
      </c>
      <c r="D906" s="1" t="s">
        <v>27</v>
      </c>
      <c r="E906" s="1" t="s">
        <v>2475</v>
      </c>
      <c r="F906" s="1" t="s">
        <v>2476</v>
      </c>
      <c r="G906" s="1" t="s">
        <v>23</v>
      </c>
      <c r="I906" s="18">
        <v>41404.825798611113</v>
      </c>
      <c r="J906" s="1" t="s">
        <v>2477</v>
      </c>
      <c r="K906" s="1" t="s">
        <v>18</v>
      </c>
      <c r="L906" s="1" t="s">
        <v>19</v>
      </c>
      <c r="Q906" s="21"/>
    </row>
    <row r="907" spans="1:18" x14ac:dyDescent="0.15">
      <c r="A907" s="1">
        <v>239134</v>
      </c>
      <c r="B907" s="1">
        <v>0</v>
      </c>
      <c r="C907" s="1" t="s">
        <v>12</v>
      </c>
      <c r="D907" s="1" t="s">
        <v>27</v>
      </c>
      <c r="E907" s="1" t="s">
        <v>687</v>
      </c>
      <c r="F907" s="1" t="s">
        <v>688</v>
      </c>
      <c r="G907" s="1" t="s">
        <v>23</v>
      </c>
      <c r="I907" s="18">
        <v>41402.787812499999</v>
      </c>
      <c r="J907" s="1" t="s">
        <v>151</v>
      </c>
      <c r="K907" s="1" t="s">
        <v>18</v>
      </c>
      <c r="L907" s="1" t="s">
        <v>19</v>
      </c>
      <c r="Q907" s="21"/>
    </row>
    <row r="908" spans="1:18" x14ac:dyDescent="0.15">
      <c r="A908" s="1">
        <v>237800</v>
      </c>
      <c r="B908" s="1">
        <v>1</v>
      </c>
      <c r="C908" s="1" t="s">
        <v>101</v>
      </c>
      <c r="D908" s="1" t="s">
        <v>27</v>
      </c>
      <c r="E908" s="1" t="s">
        <v>2774</v>
      </c>
      <c r="F908" s="1" t="s">
        <v>2775</v>
      </c>
      <c r="G908" s="1" t="s">
        <v>813</v>
      </c>
      <c r="H908" s="1"/>
      <c r="I908" s="18">
        <v>41397.596180555556</v>
      </c>
      <c r="J908" s="1" t="s">
        <v>944</v>
      </c>
      <c r="K908" s="1" t="s">
        <v>18</v>
      </c>
      <c r="L908" s="1" t="s">
        <v>19</v>
      </c>
      <c r="M908" s="1">
        <v>284694</v>
      </c>
      <c r="N908" s="1" t="s">
        <v>2776</v>
      </c>
      <c r="O908" s="18">
        <v>41520.817106481481</v>
      </c>
      <c r="P908" s="1" t="s">
        <v>17</v>
      </c>
      <c r="Q908" s="21">
        <f t="shared" ref="Q908:Q966" si="15">ABS(O908-I908)</f>
        <v>123.22092592592526</v>
      </c>
      <c r="R908" s="1"/>
    </row>
    <row r="909" spans="1:18" x14ac:dyDescent="0.15">
      <c r="A909" s="1">
        <v>237429</v>
      </c>
      <c r="B909" s="1">
        <v>0</v>
      </c>
      <c r="C909" s="1" t="s">
        <v>31</v>
      </c>
      <c r="D909" s="1" t="s">
        <v>27</v>
      </c>
      <c r="E909" s="1" t="s">
        <v>457</v>
      </c>
      <c r="F909" s="1" t="s">
        <v>458</v>
      </c>
      <c r="G909" s="1" t="s">
        <v>23</v>
      </c>
      <c r="I909" s="18">
        <v>41396.180925925924</v>
      </c>
      <c r="J909" s="1" t="s">
        <v>40</v>
      </c>
      <c r="K909" s="1" t="s">
        <v>18</v>
      </c>
      <c r="L909" s="1" t="s">
        <v>19</v>
      </c>
      <c r="Q909" s="21"/>
    </row>
    <row r="910" spans="1:18" x14ac:dyDescent="0.15">
      <c r="A910" s="1">
        <v>237263</v>
      </c>
      <c r="B910" s="1">
        <v>0</v>
      </c>
      <c r="D910" s="1" t="s">
        <v>27</v>
      </c>
      <c r="E910" s="1" t="s">
        <v>837</v>
      </c>
      <c r="F910" s="1" t="s">
        <v>838</v>
      </c>
      <c r="G910" s="1" t="s">
        <v>23</v>
      </c>
      <c r="I910" s="18">
        <v>41395.850624999999</v>
      </c>
      <c r="J910" s="1" t="s">
        <v>614</v>
      </c>
      <c r="K910" s="1" t="s">
        <v>18</v>
      </c>
      <c r="L910" s="1" t="s">
        <v>19</v>
      </c>
      <c r="Q910" s="21"/>
    </row>
    <row r="911" spans="1:18" x14ac:dyDescent="0.15">
      <c r="A911" s="1">
        <v>237116</v>
      </c>
      <c r="B911" s="1">
        <v>0</v>
      </c>
      <c r="C911" s="1" t="s">
        <v>3953</v>
      </c>
      <c r="D911" s="1" t="s">
        <v>3911</v>
      </c>
      <c r="E911" s="1" t="s">
        <v>3954</v>
      </c>
      <c r="F911" s="1" t="s">
        <v>3955</v>
      </c>
      <c r="G911" s="1" t="s">
        <v>3609</v>
      </c>
      <c r="I911" s="18">
        <v>41395.534942129627</v>
      </c>
      <c r="J911" s="1" t="s">
        <v>3956</v>
      </c>
      <c r="K911" s="1" t="s">
        <v>18</v>
      </c>
      <c r="L911" s="1" t="s">
        <v>19</v>
      </c>
      <c r="Q911" s="21"/>
    </row>
    <row r="912" spans="1:18" x14ac:dyDescent="0.15">
      <c r="A912" s="1">
        <v>237022</v>
      </c>
      <c r="B912" s="1">
        <v>0</v>
      </c>
      <c r="D912" s="1" t="s">
        <v>27</v>
      </c>
      <c r="E912" s="1" t="s">
        <v>2083</v>
      </c>
      <c r="F912" s="1" t="s">
        <v>2084</v>
      </c>
      <c r="G912" s="1" t="s">
        <v>23</v>
      </c>
      <c r="I912" s="18">
        <v>41394.967731481483</v>
      </c>
      <c r="J912" s="1" t="s">
        <v>2085</v>
      </c>
      <c r="K912" s="1" t="s">
        <v>18</v>
      </c>
      <c r="L912" s="1" t="s">
        <v>19</v>
      </c>
      <c r="Q912" s="21"/>
    </row>
    <row r="913" spans="1:22" x14ac:dyDescent="0.15">
      <c r="A913" s="1">
        <v>236949</v>
      </c>
      <c r="B913" s="1">
        <v>1</v>
      </c>
      <c r="C913" s="1" t="s">
        <v>4133</v>
      </c>
      <c r="D913" s="1" t="s">
        <v>4082</v>
      </c>
      <c r="E913" s="1" t="s">
        <v>4134</v>
      </c>
      <c r="F913" s="1" t="s">
        <v>4135</v>
      </c>
      <c r="G913" s="1" t="s">
        <v>159</v>
      </c>
      <c r="H913" s="1">
        <v>232532</v>
      </c>
      <c r="I913" s="22">
        <v>41394.868935185186</v>
      </c>
      <c r="J913" s="1" t="s">
        <v>40</v>
      </c>
      <c r="K913" s="1" t="s">
        <v>3586</v>
      </c>
      <c r="L913" s="1" t="s">
        <v>19</v>
      </c>
      <c r="M913" s="1">
        <v>232532</v>
      </c>
      <c r="N913" s="14" t="s">
        <v>944</v>
      </c>
      <c r="O913" s="22">
        <v>41381</v>
      </c>
      <c r="Q913" s="21">
        <f t="shared" si="15"/>
        <v>13.868935185186274</v>
      </c>
    </row>
    <row r="914" spans="1:22" x14ac:dyDescent="0.15">
      <c r="A914" s="1">
        <v>236845</v>
      </c>
      <c r="B914" s="1">
        <v>0</v>
      </c>
      <c r="C914" s="1" t="s">
        <v>31</v>
      </c>
      <c r="D914" s="1" t="s">
        <v>27</v>
      </c>
      <c r="E914" s="1" t="s">
        <v>1917</v>
      </c>
      <c r="F914" s="1" t="s">
        <v>1918</v>
      </c>
      <c r="G914" s="1" t="s">
        <v>23</v>
      </c>
      <c r="I914" s="18">
        <v>41394.694074074076</v>
      </c>
      <c r="J914" s="1" t="s">
        <v>155</v>
      </c>
      <c r="K914" s="1" t="s">
        <v>18</v>
      </c>
      <c r="L914" s="1" t="s">
        <v>19</v>
      </c>
      <c r="Q914" s="21"/>
    </row>
    <row r="915" spans="1:22" x14ac:dyDescent="0.15">
      <c r="A915" s="1">
        <v>236631</v>
      </c>
      <c r="B915" s="1">
        <v>0</v>
      </c>
      <c r="C915" s="1" t="s">
        <v>470</v>
      </c>
      <c r="D915" s="1" t="s">
        <v>27</v>
      </c>
      <c r="E915" s="1" t="s">
        <v>471</v>
      </c>
      <c r="F915" s="1" t="s">
        <v>472</v>
      </c>
      <c r="G915" s="1" t="s">
        <v>23</v>
      </c>
      <c r="I915" s="18">
        <v>41393.929976851854</v>
      </c>
      <c r="J915" s="1" t="s">
        <v>193</v>
      </c>
      <c r="K915" s="1" t="s">
        <v>18</v>
      </c>
      <c r="L915" s="1" t="s">
        <v>19</v>
      </c>
      <c r="Q915" s="21"/>
    </row>
    <row r="916" spans="1:22" x14ac:dyDescent="0.15">
      <c r="A916" s="1">
        <v>236556</v>
      </c>
      <c r="B916" s="1">
        <v>0</v>
      </c>
      <c r="C916" s="1" t="s">
        <v>26</v>
      </c>
      <c r="D916" s="1" t="s">
        <v>27</v>
      </c>
      <c r="E916" s="1" t="s">
        <v>3246</v>
      </c>
      <c r="F916" s="1" t="s">
        <v>3247</v>
      </c>
      <c r="G916" s="1" t="s">
        <v>23</v>
      </c>
      <c r="I916" s="18">
        <v>41393.845462962963</v>
      </c>
      <c r="J916" s="1" t="s">
        <v>944</v>
      </c>
      <c r="K916" s="1" t="s">
        <v>18</v>
      </c>
      <c r="L916" s="1" t="s">
        <v>19</v>
      </c>
      <c r="Q916" s="21"/>
    </row>
    <row r="917" spans="1:22" x14ac:dyDescent="0.15">
      <c r="A917" s="1">
        <v>236269</v>
      </c>
      <c r="B917" s="1">
        <v>0</v>
      </c>
      <c r="C917" s="1" t="s">
        <v>31</v>
      </c>
      <c r="D917" s="1" t="s">
        <v>27</v>
      </c>
      <c r="E917" s="1" t="s">
        <v>2346</v>
      </c>
      <c r="F917" s="1" t="s">
        <v>772</v>
      </c>
      <c r="G917" s="1" t="s">
        <v>23</v>
      </c>
      <c r="I917" s="18">
        <v>41393.159351851849</v>
      </c>
      <c r="J917" s="1" t="s">
        <v>40</v>
      </c>
      <c r="K917" s="1" t="s">
        <v>18</v>
      </c>
      <c r="L917" s="1" t="s">
        <v>19</v>
      </c>
      <c r="Q917" s="21"/>
    </row>
    <row r="918" spans="1:22" x14ac:dyDescent="0.15">
      <c r="A918" s="1">
        <v>236245</v>
      </c>
      <c r="B918" s="1">
        <v>0</v>
      </c>
      <c r="C918" s="1" t="s">
        <v>31</v>
      </c>
      <c r="D918" s="1" t="s">
        <v>27</v>
      </c>
      <c r="E918" s="1" t="s">
        <v>1027</v>
      </c>
      <c r="F918" s="1" t="s">
        <v>458</v>
      </c>
      <c r="G918" s="1" t="s">
        <v>23</v>
      </c>
      <c r="I918" s="18">
        <v>41393.015277777777</v>
      </c>
      <c r="J918" s="1" t="s">
        <v>40</v>
      </c>
      <c r="K918" s="1" t="s">
        <v>18</v>
      </c>
      <c r="L918" s="1" t="s">
        <v>19</v>
      </c>
      <c r="Q918" s="21"/>
    </row>
    <row r="919" spans="1:22" x14ac:dyDescent="0.15">
      <c r="A919" s="1">
        <v>235732</v>
      </c>
      <c r="B919" s="1">
        <v>0</v>
      </c>
      <c r="C919" s="1" t="s">
        <v>1843</v>
      </c>
      <c r="D919" s="1" t="s">
        <v>27</v>
      </c>
      <c r="E919" s="1" t="s">
        <v>1844</v>
      </c>
      <c r="F919" s="1" t="s">
        <v>1845</v>
      </c>
      <c r="G919" s="1" t="s">
        <v>23</v>
      </c>
      <c r="I919" s="18">
        <v>41390.157766203702</v>
      </c>
      <c r="J919" s="1" t="s">
        <v>40</v>
      </c>
      <c r="K919" s="1" t="s">
        <v>18</v>
      </c>
      <c r="L919" s="1" t="s">
        <v>19</v>
      </c>
      <c r="Q919" s="21"/>
    </row>
    <row r="920" spans="1:22" x14ac:dyDescent="0.15">
      <c r="A920" s="1">
        <v>235638</v>
      </c>
      <c r="B920" s="1">
        <v>0</v>
      </c>
      <c r="D920" s="1" t="s">
        <v>27</v>
      </c>
      <c r="E920" s="1" t="s">
        <v>1402</v>
      </c>
      <c r="F920" s="1" t="s">
        <v>1403</v>
      </c>
      <c r="G920" s="1" t="s">
        <v>23</v>
      </c>
      <c r="I920" s="18">
        <v>41389.951296296298</v>
      </c>
      <c r="J920" s="1" t="s">
        <v>261</v>
      </c>
      <c r="K920" s="1" t="s">
        <v>18</v>
      </c>
      <c r="L920" s="1" t="s">
        <v>19</v>
      </c>
      <c r="Q920" s="21"/>
    </row>
    <row r="921" spans="1:22" x14ac:dyDescent="0.15">
      <c r="A921" s="1">
        <v>232865</v>
      </c>
      <c r="B921" s="1">
        <v>0</v>
      </c>
      <c r="D921" s="1" t="s">
        <v>27</v>
      </c>
      <c r="E921" s="1" t="s">
        <v>2497</v>
      </c>
      <c r="F921" s="1" t="s">
        <v>2498</v>
      </c>
      <c r="G921" s="1" t="s">
        <v>23</v>
      </c>
      <c r="I921" s="18">
        <v>41381.844386574077</v>
      </c>
      <c r="J921" s="1" t="s">
        <v>40</v>
      </c>
      <c r="K921" s="1" t="s">
        <v>18</v>
      </c>
      <c r="L921" s="1" t="s">
        <v>19</v>
      </c>
      <c r="Q921" s="21"/>
    </row>
    <row r="922" spans="1:22" x14ac:dyDescent="0.15">
      <c r="A922" s="1">
        <v>232633</v>
      </c>
      <c r="B922" s="1">
        <v>1</v>
      </c>
      <c r="C922" s="1" t="s">
        <v>3658</v>
      </c>
      <c r="D922" s="1" t="s">
        <v>27</v>
      </c>
      <c r="E922" s="1" t="s">
        <v>3659</v>
      </c>
      <c r="F922" s="1" t="s">
        <v>3660</v>
      </c>
      <c r="G922" s="1" t="s">
        <v>3661</v>
      </c>
      <c r="H922" s="1"/>
      <c r="I922" s="18">
        <v>41381.779942129629</v>
      </c>
      <c r="J922" s="1" t="s">
        <v>944</v>
      </c>
      <c r="K922" s="1" t="s">
        <v>3586</v>
      </c>
      <c r="L922" s="1" t="s">
        <v>19</v>
      </c>
      <c r="M922" s="1">
        <v>88108</v>
      </c>
      <c r="N922" s="1" t="s">
        <v>3662</v>
      </c>
      <c r="O922" s="18">
        <v>40724.954155092593</v>
      </c>
      <c r="P922" s="1" t="s">
        <v>3663</v>
      </c>
      <c r="Q922" s="21">
        <f t="shared" si="15"/>
        <v>656.82578703703621</v>
      </c>
      <c r="R922" s="1"/>
    </row>
    <row r="923" spans="1:22" x14ac:dyDescent="0.15">
      <c r="A923" s="1">
        <v>232393</v>
      </c>
      <c r="B923" s="1">
        <v>0</v>
      </c>
      <c r="C923" s="1" t="s">
        <v>2823</v>
      </c>
      <c r="D923" s="1" t="s">
        <v>27</v>
      </c>
      <c r="E923" s="1" t="s">
        <v>2824</v>
      </c>
      <c r="F923" s="1" t="s">
        <v>288</v>
      </c>
      <c r="G923" s="1" t="s">
        <v>23</v>
      </c>
      <c r="I923" s="18">
        <v>41381.613020833334</v>
      </c>
      <c r="J923" s="1" t="s">
        <v>40</v>
      </c>
      <c r="K923" s="1" t="s">
        <v>18</v>
      </c>
      <c r="L923" s="1" t="s">
        <v>19</v>
      </c>
      <c r="Q923" s="21"/>
    </row>
    <row r="924" spans="1:22" x14ac:dyDescent="0.15">
      <c r="A924" s="1">
        <v>232389</v>
      </c>
      <c r="B924" s="1">
        <v>0</v>
      </c>
      <c r="C924" s="1" t="s">
        <v>31</v>
      </c>
      <c r="D924" s="1" t="s">
        <v>27</v>
      </c>
      <c r="E924" s="1" t="s">
        <v>3487</v>
      </c>
      <c r="F924" s="1" t="s">
        <v>529</v>
      </c>
      <c r="G924" s="1" t="s">
        <v>23</v>
      </c>
      <c r="I924" s="18">
        <v>41381.611226851855</v>
      </c>
      <c r="J924" s="1" t="s">
        <v>40</v>
      </c>
      <c r="K924" s="1" t="s">
        <v>18</v>
      </c>
      <c r="L924" s="1" t="s">
        <v>19</v>
      </c>
      <c r="Q924" s="21"/>
    </row>
    <row r="925" spans="1:22" x14ac:dyDescent="0.15">
      <c r="A925" s="1">
        <v>231146</v>
      </c>
      <c r="B925" s="1">
        <v>1</v>
      </c>
      <c r="C925" s="1" t="s">
        <v>2972</v>
      </c>
      <c r="D925" s="1" t="s">
        <v>4082</v>
      </c>
      <c r="E925" s="1" t="s">
        <v>4129</v>
      </c>
      <c r="F925" s="1" t="s">
        <v>4130</v>
      </c>
      <c r="G925" s="1" t="s">
        <v>23</v>
      </c>
      <c r="H925" s="1">
        <v>178130</v>
      </c>
      <c r="I925" s="22">
        <v>41378.89644675926</v>
      </c>
      <c r="J925" s="1" t="s">
        <v>1956</v>
      </c>
      <c r="K925" s="1" t="s">
        <v>18</v>
      </c>
      <c r="L925" s="1" t="s">
        <v>19</v>
      </c>
      <c r="M925" s="1">
        <v>178130</v>
      </c>
      <c r="N925" s="14" t="s">
        <v>40</v>
      </c>
      <c r="O925" s="22">
        <v>41330</v>
      </c>
      <c r="Q925" s="21">
        <f t="shared" si="15"/>
        <v>48.896446759259561</v>
      </c>
    </row>
    <row r="926" spans="1:22" x14ac:dyDescent="0.15">
      <c r="A926" s="1">
        <v>230176</v>
      </c>
      <c r="B926" s="1">
        <v>1</v>
      </c>
      <c r="C926" s="1" t="s">
        <v>26</v>
      </c>
      <c r="D926" s="1" t="s">
        <v>27</v>
      </c>
      <c r="E926" s="1" t="s">
        <v>3200</v>
      </c>
      <c r="F926" s="1" t="s">
        <v>3201</v>
      </c>
      <c r="G926" s="1" t="s">
        <v>23</v>
      </c>
      <c r="I926" s="18">
        <v>41375.018240740741</v>
      </c>
      <c r="J926" s="1" t="s">
        <v>501</v>
      </c>
      <c r="K926" s="1" t="s">
        <v>18</v>
      </c>
      <c r="L926" s="1" t="s">
        <v>19</v>
      </c>
      <c r="M926" s="1">
        <v>231171</v>
      </c>
      <c r="N926" s="1" t="s">
        <v>3202</v>
      </c>
      <c r="O926" s="18">
        <v>41379.146064814813</v>
      </c>
      <c r="P926" s="1" t="s">
        <v>718</v>
      </c>
      <c r="Q926" s="21">
        <f t="shared" si="15"/>
        <v>4.127824074072123</v>
      </c>
      <c r="R926" s="1"/>
    </row>
    <row r="927" spans="1:22" x14ac:dyDescent="0.15">
      <c r="A927" s="1">
        <v>230117</v>
      </c>
      <c r="B927" s="1">
        <v>2</v>
      </c>
      <c r="C927" s="1" t="s">
        <v>50</v>
      </c>
      <c r="D927" s="1" t="s">
        <v>27</v>
      </c>
      <c r="E927" s="1" t="s">
        <v>1954</v>
      </c>
      <c r="F927" s="1" t="s">
        <v>1955</v>
      </c>
      <c r="G927" s="1" t="s">
        <v>23</v>
      </c>
      <c r="I927" s="18">
        <v>41374.944386574076</v>
      </c>
      <c r="J927" s="1" t="s">
        <v>1956</v>
      </c>
      <c r="K927" s="1" t="s">
        <v>18</v>
      </c>
      <c r="L927" s="1" t="s">
        <v>19</v>
      </c>
      <c r="M927" s="1">
        <v>234636</v>
      </c>
      <c r="N927" s="1" t="s">
        <v>1957</v>
      </c>
      <c r="O927" s="18">
        <v>41387.659108796295</v>
      </c>
      <c r="P927" s="1" t="s">
        <v>40</v>
      </c>
      <c r="Q927" s="21">
        <f t="shared" si="15"/>
        <v>12.71472222221928</v>
      </c>
      <c r="R927" s="1">
        <v>170146</v>
      </c>
      <c r="S927" s="1" t="s">
        <v>1957</v>
      </c>
      <c r="T927" s="2" t="s">
        <v>4160</v>
      </c>
      <c r="U927" s="1" t="s">
        <v>155</v>
      </c>
      <c r="V927" s="1"/>
    </row>
    <row r="928" spans="1:22" x14ac:dyDescent="0.15">
      <c r="A928" s="1">
        <v>227390</v>
      </c>
      <c r="B928" s="1">
        <v>0</v>
      </c>
      <c r="D928" s="1" t="s">
        <v>27</v>
      </c>
      <c r="E928" s="1" t="s">
        <v>1819</v>
      </c>
      <c r="F928" s="1" t="s">
        <v>1820</v>
      </c>
      <c r="G928" s="1" t="s">
        <v>23</v>
      </c>
      <c r="I928" s="18">
        <v>41370.880115740743</v>
      </c>
      <c r="J928" s="1" t="s">
        <v>193</v>
      </c>
      <c r="K928" s="1" t="s">
        <v>18</v>
      </c>
      <c r="L928" s="1" t="s">
        <v>19</v>
      </c>
      <c r="Q928" s="21"/>
    </row>
    <row r="929" spans="1:17" x14ac:dyDescent="0.15">
      <c r="A929" s="1">
        <v>227350</v>
      </c>
      <c r="B929" s="1">
        <v>0</v>
      </c>
      <c r="C929" s="1" t="s">
        <v>619</v>
      </c>
      <c r="D929" s="1" t="s">
        <v>27</v>
      </c>
      <c r="E929" s="1" t="s">
        <v>2578</v>
      </c>
      <c r="F929" s="1" t="s">
        <v>2579</v>
      </c>
      <c r="G929" s="1" t="s">
        <v>23</v>
      </c>
      <c r="I929" s="18">
        <v>41370.497129629628</v>
      </c>
      <c r="J929" s="1" t="s">
        <v>76</v>
      </c>
      <c r="K929" s="1" t="s">
        <v>18</v>
      </c>
      <c r="L929" s="1" t="s">
        <v>19</v>
      </c>
      <c r="Q929" s="21"/>
    </row>
    <row r="930" spans="1:17" x14ac:dyDescent="0.15">
      <c r="A930" s="1">
        <v>227181</v>
      </c>
      <c r="B930" s="1">
        <v>0</v>
      </c>
      <c r="D930" s="1" t="s">
        <v>3714</v>
      </c>
      <c r="E930" s="1" t="s">
        <v>3769</v>
      </c>
      <c r="F930" s="1" t="s">
        <v>3770</v>
      </c>
      <c r="G930" s="1" t="s">
        <v>1056</v>
      </c>
      <c r="I930" s="18">
        <v>41369.903564814813</v>
      </c>
      <c r="J930" s="1" t="s">
        <v>609</v>
      </c>
      <c r="K930" s="1" t="s">
        <v>18</v>
      </c>
      <c r="L930" s="1" t="s">
        <v>19</v>
      </c>
      <c r="Q930" s="21"/>
    </row>
    <row r="931" spans="1:17" x14ac:dyDescent="0.15">
      <c r="A931" s="1">
        <v>227158</v>
      </c>
      <c r="B931" s="1">
        <v>0</v>
      </c>
      <c r="D931" s="1" t="s">
        <v>3714</v>
      </c>
      <c r="E931" s="1" t="s">
        <v>3864</v>
      </c>
      <c r="F931" s="1" t="s">
        <v>3865</v>
      </c>
      <c r="G931" s="1" t="s">
        <v>1056</v>
      </c>
      <c r="I931" s="18">
        <v>41369.871793981481</v>
      </c>
      <c r="J931" s="1" t="s">
        <v>609</v>
      </c>
      <c r="K931" s="1" t="s">
        <v>18</v>
      </c>
      <c r="L931" s="1" t="s">
        <v>19</v>
      </c>
      <c r="Q931" s="21"/>
    </row>
    <row r="932" spans="1:17" x14ac:dyDescent="0.15">
      <c r="A932" s="1">
        <v>226696</v>
      </c>
      <c r="B932" s="1">
        <v>0</v>
      </c>
      <c r="C932" s="1" t="s">
        <v>26</v>
      </c>
      <c r="D932" s="1" t="s">
        <v>27</v>
      </c>
      <c r="E932" s="1" t="s">
        <v>3248</v>
      </c>
      <c r="F932" s="1" t="s">
        <v>3249</v>
      </c>
      <c r="G932" s="1" t="s">
        <v>23</v>
      </c>
      <c r="I932" s="18">
        <v>41368.83929398148</v>
      </c>
      <c r="J932" s="1" t="s">
        <v>3250</v>
      </c>
      <c r="K932" s="1" t="s">
        <v>18</v>
      </c>
      <c r="L932" s="1" t="s">
        <v>19</v>
      </c>
      <c r="Q932" s="21"/>
    </row>
    <row r="933" spans="1:17" x14ac:dyDescent="0.15">
      <c r="A933" s="1">
        <v>226659</v>
      </c>
      <c r="B933" s="1">
        <v>0</v>
      </c>
      <c r="C933" s="1" t="s">
        <v>495</v>
      </c>
      <c r="D933" s="1" t="s">
        <v>27</v>
      </c>
      <c r="E933" s="1" t="s">
        <v>2735</v>
      </c>
      <c r="F933" s="1" t="s">
        <v>2736</v>
      </c>
      <c r="G933" s="1" t="s">
        <v>23</v>
      </c>
      <c r="I933" s="18">
        <v>41368.794421296298</v>
      </c>
      <c r="J933" s="1" t="s">
        <v>151</v>
      </c>
      <c r="K933" s="1" t="s">
        <v>18</v>
      </c>
      <c r="L933" s="1" t="s">
        <v>19</v>
      </c>
      <c r="Q933" s="21"/>
    </row>
    <row r="934" spans="1:17" x14ac:dyDescent="0.15">
      <c r="A934" s="1">
        <v>226090</v>
      </c>
      <c r="B934" s="1">
        <v>0</v>
      </c>
      <c r="C934" s="1" t="s">
        <v>2454</v>
      </c>
      <c r="D934" s="1" t="s">
        <v>27</v>
      </c>
      <c r="E934" s="1" t="s">
        <v>2752</v>
      </c>
      <c r="F934" s="1" t="s">
        <v>529</v>
      </c>
      <c r="G934" s="1" t="s">
        <v>23</v>
      </c>
      <c r="I934" s="18">
        <v>41367.645532407405</v>
      </c>
      <c r="J934" s="1" t="s">
        <v>40</v>
      </c>
      <c r="K934" s="1" t="s">
        <v>18</v>
      </c>
      <c r="L934" s="1" t="s">
        <v>19</v>
      </c>
      <c r="Q934" s="21"/>
    </row>
    <row r="935" spans="1:17" x14ac:dyDescent="0.15">
      <c r="A935" s="1">
        <v>225979</v>
      </c>
      <c r="B935" s="1">
        <v>0</v>
      </c>
      <c r="C935" s="1" t="s">
        <v>26</v>
      </c>
      <c r="D935" s="1" t="s">
        <v>27</v>
      </c>
      <c r="E935" s="1" t="s">
        <v>3564</v>
      </c>
      <c r="F935" s="1" t="s">
        <v>529</v>
      </c>
      <c r="G935" s="1" t="s">
        <v>23</v>
      </c>
      <c r="I935" s="18">
        <v>41367.092627314814</v>
      </c>
      <c r="J935" s="1" t="s">
        <v>40</v>
      </c>
      <c r="K935" s="1" t="s">
        <v>18</v>
      </c>
      <c r="L935" s="1" t="s">
        <v>19</v>
      </c>
      <c r="Q935" s="21"/>
    </row>
    <row r="936" spans="1:17" x14ac:dyDescent="0.15">
      <c r="A936" s="1">
        <v>225546</v>
      </c>
      <c r="B936" s="1">
        <v>0</v>
      </c>
      <c r="C936" s="1" t="s">
        <v>2454</v>
      </c>
      <c r="D936" s="1" t="s">
        <v>27</v>
      </c>
      <c r="E936" s="1" t="s">
        <v>2887</v>
      </c>
      <c r="F936" s="1" t="s">
        <v>2888</v>
      </c>
      <c r="G936" s="1" t="s">
        <v>23</v>
      </c>
      <c r="I936" s="18">
        <v>41365.915613425925</v>
      </c>
      <c r="J936" s="1" t="s">
        <v>860</v>
      </c>
      <c r="K936" s="1" t="s">
        <v>18</v>
      </c>
      <c r="L936" s="1" t="s">
        <v>19</v>
      </c>
      <c r="Q936" s="21"/>
    </row>
    <row r="937" spans="1:17" x14ac:dyDescent="0.15">
      <c r="A937" s="1">
        <v>225403</v>
      </c>
      <c r="B937" s="1">
        <v>0</v>
      </c>
      <c r="C937" s="1" t="s">
        <v>2524</v>
      </c>
      <c r="D937" s="1" t="s">
        <v>27</v>
      </c>
      <c r="E937" s="1" t="s">
        <v>2525</v>
      </c>
      <c r="F937" s="1" t="s">
        <v>529</v>
      </c>
      <c r="G937" s="1" t="s">
        <v>23</v>
      </c>
      <c r="I937" s="18">
        <v>41365.614259259259</v>
      </c>
      <c r="J937" s="1" t="s">
        <v>40</v>
      </c>
      <c r="K937" s="1" t="s">
        <v>18</v>
      </c>
      <c r="L937" s="1" t="s">
        <v>19</v>
      </c>
      <c r="Q937" s="21"/>
    </row>
    <row r="938" spans="1:17" x14ac:dyDescent="0.15">
      <c r="A938" s="1">
        <v>224920</v>
      </c>
      <c r="B938" s="1">
        <v>0</v>
      </c>
      <c r="C938" s="1" t="s">
        <v>527</v>
      </c>
      <c r="D938" s="1" t="s">
        <v>27</v>
      </c>
      <c r="E938" s="1" t="s">
        <v>528</v>
      </c>
      <c r="F938" s="1" t="s">
        <v>529</v>
      </c>
      <c r="G938" s="1" t="s">
        <v>23</v>
      </c>
      <c r="I938" s="18">
        <v>41362.654895833337</v>
      </c>
      <c r="J938" s="1" t="s">
        <v>40</v>
      </c>
      <c r="K938" s="1" t="s">
        <v>18</v>
      </c>
      <c r="L938" s="1" t="s">
        <v>19</v>
      </c>
      <c r="Q938" s="21"/>
    </row>
    <row r="939" spans="1:17" x14ac:dyDescent="0.15">
      <c r="A939" s="1">
        <v>223482</v>
      </c>
      <c r="B939" s="1">
        <v>0</v>
      </c>
      <c r="C939" s="1" t="s">
        <v>26</v>
      </c>
      <c r="D939" s="1" t="s">
        <v>27</v>
      </c>
      <c r="E939" s="1" t="s">
        <v>1335</v>
      </c>
      <c r="F939" s="1" t="s">
        <v>772</v>
      </c>
      <c r="G939" s="1" t="s">
        <v>23</v>
      </c>
      <c r="I939" s="18">
        <v>41358.123784722222</v>
      </c>
      <c r="J939" s="1" t="s">
        <v>40</v>
      </c>
      <c r="K939" s="1" t="s">
        <v>18</v>
      </c>
      <c r="L939" s="1" t="s">
        <v>19</v>
      </c>
      <c r="Q939" s="21"/>
    </row>
    <row r="940" spans="1:17" x14ac:dyDescent="0.15">
      <c r="A940" s="13">
        <v>223284</v>
      </c>
      <c r="B940" s="13">
        <v>0</v>
      </c>
      <c r="C940" s="13" t="s">
        <v>4103</v>
      </c>
      <c r="D940" s="13" t="s">
        <v>4082</v>
      </c>
      <c r="E940" s="13" t="s">
        <v>4104</v>
      </c>
      <c r="F940" s="13" t="s">
        <v>4105</v>
      </c>
      <c r="G940" s="13" t="s">
        <v>23</v>
      </c>
      <c r="H940" s="13">
        <v>167187</v>
      </c>
      <c r="I940" s="23">
        <v>41355.947465277779</v>
      </c>
      <c r="J940" s="13" t="s">
        <v>1171</v>
      </c>
      <c r="K940" s="13" t="s">
        <v>18</v>
      </c>
      <c r="L940" s="13" t="s">
        <v>19</v>
      </c>
      <c r="M940" s="13" t="s">
        <v>4085</v>
      </c>
      <c r="Q940" s="21"/>
    </row>
    <row r="941" spans="1:17" x14ac:dyDescent="0.15">
      <c r="A941" s="1">
        <v>223034</v>
      </c>
      <c r="B941" s="1">
        <v>0</v>
      </c>
      <c r="C941" s="1" t="s">
        <v>967</v>
      </c>
      <c r="D941" s="1" t="s">
        <v>27</v>
      </c>
      <c r="E941" s="1" t="s">
        <v>968</v>
      </c>
      <c r="F941" s="1" t="s">
        <v>969</v>
      </c>
      <c r="G941" s="1" t="s">
        <v>23</v>
      </c>
      <c r="I941" s="18">
        <v>41355.208368055559</v>
      </c>
      <c r="J941" s="1" t="s">
        <v>40</v>
      </c>
      <c r="K941" s="1" t="s">
        <v>18</v>
      </c>
      <c r="L941" s="1" t="s">
        <v>19</v>
      </c>
      <c r="Q941" s="21"/>
    </row>
    <row r="942" spans="1:17" x14ac:dyDescent="0.15">
      <c r="A942" s="1">
        <v>222852</v>
      </c>
      <c r="B942" s="1">
        <v>0</v>
      </c>
      <c r="C942" s="1" t="s">
        <v>527</v>
      </c>
      <c r="D942" s="1" t="s">
        <v>27</v>
      </c>
      <c r="E942" s="1" t="s">
        <v>1828</v>
      </c>
      <c r="F942" s="1" t="s">
        <v>772</v>
      </c>
      <c r="G942" s="1" t="s">
        <v>23</v>
      </c>
      <c r="I942" s="18">
        <v>41354.824965277781</v>
      </c>
      <c r="J942" s="1" t="s">
        <v>40</v>
      </c>
      <c r="K942" s="1" t="s">
        <v>18</v>
      </c>
      <c r="L942" s="1" t="s">
        <v>19</v>
      </c>
      <c r="Q942" s="21"/>
    </row>
    <row r="943" spans="1:17" x14ac:dyDescent="0.15">
      <c r="A943" s="1">
        <v>222770</v>
      </c>
      <c r="B943" s="1">
        <v>0</v>
      </c>
      <c r="C943" s="1" t="s">
        <v>26</v>
      </c>
      <c r="D943" s="1" t="s">
        <v>27</v>
      </c>
      <c r="E943" s="1" t="s">
        <v>1480</v>
      </c>
      <c r="F943" s="1" t="s">
        <v>1481</v>
      </c>
      <c r="G943" s="1" t="s">
        <v>23</v>
      </c>
      <c r="I943" s="18">
        <v>41354.7033912037</v>
      </c>
      <c r="J943" s="1" t="s">
        <v>40</v>
      </c>
      <c r="K943" s="1" t="s">
        <v>18</v>
      </c>
      <c r="L943" s="1" t="s">
        <v>19</v>
      </c>
      <c r="Q943" s="21"/>
    </row>
    <row r="944" spans="1:17" x14ac:dyDescent="0.15">
      <c r="A944" s="1">
        <v>222136</v>
      </c>
      <c r="B944" s="1">
        <v>0</v>
      </c>
      <c r="C944" s="1" t="s">
        <v>1034</v>
      </c>
      <c r="D944" s="1" t="s">
        <v>27</v>
      </c>
      <c r="E944" s="1" t="s">
        <v>1035</v>
      </c>
      <c r="F944" s="1" t="s">
        <v>1036</v>
      </c>
      <c r="G944" s="1" t="s">
        <v>23</v>
      </c>
      <c r="I944" s="18">
        <v>41352.817141203705</v>
      </c>
      <c r="J944" s="1" t="s">
        <v>155</v>
      </c>
      <c r="K944" s="1" t="s">
        <v>18</v>
      </c>
      <c r="L944" s="1" t="s">
        <v>19</v>
      </c>
      <c r="Q944" s="21"/>
    </row>
    <row r="945" spans="1:18" x14ac:dyDescent="0.15">
      <c r="A945" s="1">
        <v>222036</v>
      </c>
      <c r="B945" s="1">
        <v>1</v>
      </c>
      <c r="C945" s="1" t="s">
        <v>841</v>
      </c>
      <c r="D945" s="1" t="s">
        <v>27</v>
      </c>
      <c r="E945" s="1" t="s">
        <v>1058</v>
      </c>
      <c r="F945" s="1" t="s">
        <v>1059</v>
      </c>
      <c r="G945" s="1" t="s">
        <v>23</v>
      </c>
      <c r="I945" s="18">
        <v>41352.644803240742</v>
      </c>
      <c r="J945" s="1" t="s">
        <v>1060</v>
      </c>
      <c r="K945" s="1" t="s">
        <v>18</v>
      </c>
      <c r="L945" s="1" t="s">
        <v>19</v>
      </c>
      <c r="M945" s="1">
        <v>230909</v>
      </c>
      <c r="N945" s="1" t="s">
        <v>1061</v>
      </c>
      <c r="O945" s="18">
        <v>41376.769386574073</v>
      </c>
      <c r="P945" s="1" t="s">
        <v>40</v>
      </c>
      <c r="Q945" s="21">
        <f t="shared" si="15"/>
        <v>24.12458333333052</v>
      </c>
      <c r="R945" s="1"/>
    </row>
    <row r="946" spans="1:18" x14ac:dyDescent="0.15">
      <c r="A946" s="1">
        <v>222000</v>
      </c>
      <c r="B946" s="1">
        <v>0</v>
      </c>
      <c r="C946" s="1" t="s">
        <v>419</v>
      </c>
      <c r="D946" s="1" t="s">
        <v>27</v>
      </c>
      <c r="E946" s="1" t="s">
        <v>420</v>
      </c>
      <c r="F946" s="1" t="s">
        <v>421</v>
      </c>
      <c r="G946" s="1" t="s">
        <v>23</v>
      </c>
      <c r="I946" s="18">
        <v>41352.539710648147</v>
      </c>
      <c r="J946" s="1" t="s">
        <v>98</v>
      </c>
      <c r="K946" s="1" t="s">
        <v>18</v>
      </c>
      <c r="L946" s="1" t="s">
        <v>19</v>
      </c>
      <c r="Q946" s="21"/>
    </row>
    <row r="947" spans="1:18" x14ac:dyDescent="0.15">
      <c r="A947" s="1">
        <v>220039</v>
      </c>
      <c r="B947" s="1">
        <v>0</v>
      </c>
      <c r="C947" s="1" t="s">
        <v>2706</v>
      </c>
      <c r="D947" s="1" t="s">
        <v>27</v>
      </c>
      <c r="E947" s="1" t="s">
        <v>2999</v>
      </c>
      <c r="F947" s="1" t="s">
        <v>3000</v>
      </c>
      <c r="G947" s="1" t="s">
        <v>23</v>
      </c>
      <c r="I947" s="18">
        <v>41352.027407407404</v>
      </c>
      <c r="J947" s="1" t="s">
        <v>3001</v>
      </c>
      <c r="K947" s="1" t="s">
        <v>18</v>
      </c>
      <c r="L947" s="1" t="s">
        <v>19</v>
      </c>
      <c r="Q947" s="21"/>
    </row>
    <row r="948" spans="1:18" x14ac:dyDescent="0.15">
      <c r="A948" s="1">
        <v>209604</v>
      </c>
      <c r="B948" s="1">
        <v>0</v>
      </c>
      <c r="C948" s="1" t="s">
        <v>41</v>
      </c>
      <c r="D948" s="1" t="s">
        <v>27</v>
      </c>
      <c r="E948" s="1" t="s">
        <v>300</v>
      </c>
      <c r="F948" s="1" t="s">
        <v>1071</v>
      </c>
      <c r="G948" s="1" t="s">
        <v>23</v>
      </c>
      <c r="I948" s="18">
        <v>41350.837627314817</v>
      </c>
      <c r="J948" s="1" t="s">
        <v>44</v>
      </c>
      <c r="K948" s="1" t="s">
        <v>18</v>
      </c>
      <c r="L948" s="1" t="s">
        <v>19</v>
      </c>
      <c r="Q948" s="21"/>
    </row>
    <row r="949" spans="1:18" x14ac:dyDescent="0.15">
      <c r="A949" s="1">
        <v>196648</v>
      </c>
      <c r="B949" s="1">
        <v>0</v>
      </c>
      <c r="D949" s="1" t="s">
        <v>27</v>
      </c>
      <c r="E949" s="1" t="s">
        <v>3152</v>
      </c>
      <c r="F949" s="1" t="s">
        <v>3153</v>
      </c>
      <c r="G949" s="1" t="s">
        <v>23</v>
      </c>
      <c r="I949" s="18">
        <v>41348.796539351853</v>
      </c>
      <c r="J949" s="1" t="s">
        <v>3154</v>
      </c>
      <c r="K949" s="1" t="s">
        <v>18</v>
      </c>
      <c r="L949" s="1" t="s">
        <v>19</v>
      </c>
      <c r="Q949" s="21"/>
    </row>
    <row r="950" spans="1:18" x14ac:dyDescent="0.15">
      <c r="A950" s="1">
        <v>196571</v>
      </c>
      <c r="B950" s="1">
        <v>0</v>
      </c>
      <c r="C950" s="1" t="s">
        <v>26</v>
      </c>
      <c r="D950" s="1" t="s">
        <v>27</v>
      </c>
      <c r="E950" s="1" t="s">
        <v>2748</v>
      </c>
      <c r="F950" s="1" t="s">
        <v>1481</v>
      </c>
      <c r="G950" s="1" t="s">
        <v>23</v>
      </c>
      <c r="I950" s="18">
        <v>41348.664594907408</v>
      </c>
      <c r="J950" s="1" t="s">
        <v>40</v>
      </c>
      <c r="K950" s="1" t="s">
        <v>18</v>
      </c>
      <c r="L950" s="1" t="s">
        <v>19</v>
      </c>
      <c r="Q950" s="21"/>
    </row>
    <row r="951" spans="1:18" x14ac:dyDescent="0.15">
      <c r="A951" s="1">
        <v>196456</v>
      </c>
      <c r="B951" s="1">
        <v>0</v>
      </c>
      <c r="D951" s="1" t="s">
        <v>3714</v>
      </c>
      <c r="E951" s="1" t="s">
        <v>3847</v>
      </c>
      <c r="F951" s="1" t="s">
        <v>3848</v>
      </c>
      <c r="G951" s="1" t="s">
        <v>1056</v>
      </c>
      <c r="I951" s="18">
        <v>41348.106828703705</v>
      </c>
      <c r="J951" s="1" t="s">
        <v>151</v>
      </c>
      <c r="K951" s="1" t="s">
        <v>18</v>
      </c>
      <c r="L951" s="1" t="s">
        <v>19</v>
      </c>
      <c r="Q951" s="21"/>
    </row>
    <row r="952" spans="1:18" x14ac:dyDescent="0.15">
      <c r="A952" s="1">
        <v>196393</v>
      </c>
      <c r="B952" s="1">
        <v>0</v>
      </c>
      <c r="C952" s="1" t="s">
        <v>2249</v>
      </c>
      <c r="D952" s="1" t="s">
        <v>27</v>
      </c>
      <c r="E952" s="1" t="s">
        <v>3095</v>
      </c>
      <c r="F952" s="1" t="s">
        <v>3096</v>
      </c>
      <c r="G952" s="1" t="s">
        <v>23</v>
      </c>
      <c r="I952" s="18">
        <v>41347.945902777778</v>
      </c>
      <c r="J952" s="1" t="s">
        <v>1965</v>
      </c>
      <c r="K952" s="1" t="s">
        <v>18</v>
      </c>
      <c r="L952" s="1" t="s">
        <v>19</v>
      </c>
      <c r="Q952" s="21"/>
    </row>
    <row r="953" spans="1:18" x14ac:dyDescent="0.15">
      <c r="A953" s="1">
        <v>189090</v>
      </c>
      <c r="B953" s="1">
        <v>0</v>
      </c>
      <c r="C953" s="1" t="s">
        <v>26</v>
      </c>
      <c r="D953" s="1" t="s">
        <v>27</v>
      </c>
      <c r="E953" s="1" t="s">
        <v>1045</v>
      </c>
      <c r="F953" s="1" t="s">
        <v>1558</v>
      </c>
      <c r="G953" s="1" t="s">
        <v>23</v>
      </c>
      <c r="I953" s="18">
        <v>41346.072210648148</v>
      </c>
      <c r="J953" s="1" t="s">
        <v>40</v>
      </c>
      <c r="K953" s="1" t="s">
        <v>18</v>
      </c>
      <c r="L953" s="1" t="s">
        <v>19</v>
      </c>
      <c r="Q953" s="21"/>
    </row>
    <row r="954" spans="1:18" x14ac:dyDescent="0.15">
      <c r="A954" s="1">
        <v>189089</v>
      </c>
      <c r="B954" s="1">
        <v>0</v>
      </c>
      <c r="C954" s="1" t="s">
        <v>26</v>
      </c>
      <c r="D954" s="1" t="s">
        <v>27</v>
      </c>
      <c r="E954" s="1" t="s">
        <v>2992</v>
      </c>
      <c r="F954" s="1" t="s">
        <v>529</v>
      </c>
      <c r="G954" s="1" t="s">
        <v>23</v>
      </c>
      <c r="I954" s="18">
        <v>41346.070300925923</v>
      </c>
      <c r="J954" s="1" t="s">
        <v>40</v>
      </c>
      <c r="K954" s="1" t="s">
        <v>18</v>
      </c>
      <c r="L954" s="1" t="s">
        <v>19</v>
      </c>
      <c r="Q954" s="21"/>
    </row>
    <row r="955" spans="1:18" x14ac:dyDescent="0.15">
      <c r="A955" s="1">
        <v>188092</v>
      </c>
      <c r="B955" s="1">
        <v>0</v>
      </c>
      <c r="C955" s="1" t="s">
        <v>1379</v>
      </c>
      <c r="D955" s="1" t="s">
        <v>27</v>
      </c>
      <c r="E955" s="1" t="s">
        <v>1380</v>
      </c>
      <c r="F955" s="1" t="s">
        <v>1381</v>
      </c>
      <c r="G955" s="1"/>
      <c r="H955" s="1"/>
      <c r="I955" s="18">
        <v>41345.879930555559</v>
      </c>
      <c r="J955" s="1" t="s">
        <v>408</v>
      </c>
      <c r="K955" s="1" t="s">
        <v>18</v>
      </c>
      <c r="L955" s="1" t="s">
        <v>19</v>
      </c>
      <c r="Q955" s="21"/>
    </row>
    <row r="956" spans="1:18" x14ac:dyDescent="0.15">
      <c r="A956" s="1">
        <v>187243</v>
      </c>
      <c r="B956" s="1">
        <v>0</v>
      </c>
      <c r="C956" s="1" t="s">
        <v>26</v>
      </c>
      <c r="D956" s="1" t="s">
        <v>27</v>
      </c>
      <c r="E956" s="1" t="s">
        <v>1193</v>
      </c>
      <c r="F956" s="1" t="s">
        <v>1194</v>
      </c>
      <c r="G956" s="1" t="s">
        <v>23</v>
      </c>
      <c r="I956" s="18">
        <v>41345.727175925924</v>
      </c>
      <c r="J956" s="1" t="s">
        <v>40</v>
      </c>
      <c r="K956" s="1" t="s">
        <v>18</v>
      </c>
      <c r="L956" s="1" t="s">
        <v>19</v>
      </c>
      <c r="Q956" s="21"/>
    </row>
    <row r="957" spans="1:18" x14ac:dyDescent="0.15">
      <c r="A957" s="1">
        <v>181617</v>
      </c>
      <c r="B957" s="1">
        <v>0</v>
      </c>
      <c r="C957" s="1" t="s">
        <v>727</v>
      </c>
      <c r="D957" s="1" t="s">
        <v>27</v>
      </c>
      <c r="E957" s="1" t="s">
        <v>2530</v>
      </c>
      <c r="F957" s="1" t="s">
        <v>2531</v>
      </c>
      <c r="G957" s="1" t="s">
        <v>159</v>
      </c>
      <c r="I957" s="18">
        <v>41344.775706018518</v>
      </c>
      <c r="J957" s="1" t="s">
        <v>2532</v>
      </c>
      <c r="K957" s="1" t="s">
        <v>18</v>
      </c>
      <c r="L957" s="1" t="s">
        <v>19</v>
      </c>
      <c r="Q957" s="21"/>
    </row>
    <row r="958" spans="1:18" x14ac:dyDescent="0.15">
      <c r="A958" s="1">
        <v>181438</v>
      </c>
      <c r="B958" s="1">
        <v>0</v>
      </c>
      <c r="C958" s="1" t="s">
        <v>170</v>
      </c>
      <c r="D958" s="1" t="s">
        <v>27</v>
      </c>
      <c r="E958" s="1" t="s">
        <v>396</v>
      </c>
      <c r="F958" s="1" t="s">
        <v>397</v>
      </c>
      <c r="G958" s="1" t="s">
        <v>159</v>
      </c>
      <c r="I958" s="18">
        <v>41343.520092592589</v>
      </c>
      <c r="J958" s="1" t="s">
        <v>398</v>
      </c>
      <c r="K958" s="1" t="s">
        <v>18</v>
      </c>
      <c r="L958" s="1" t="s">
        <v>19</v>
      </c>
      <c r="Q958" s="21"/>
    </row>
    <row r="959" spans="1:18" x14ac:dyDescent="0.15">
      <c r="A959" s="1">
        <v>180920</v>
      </c>
      <c r="B959" s="1">
        <v>1</v>
      </c>
      <c r="C959" s="1" t="s">
        <v>26</v>
      </c>
      <c r="D959" s="1" t="s">
        <v>27</v>
      </c>
      <c r="E959" s="1" t="s">
        <v>2756</v>
      </c>
      <c r="F959" s="1" t="s">
        <v>1481</v>
      </c>
      <c r="G959" s="1" t="s">
        <v>23</v>
      </c>
      <c r="I959" s="18">
        <v>41340.740555555552</v>
      </c>
      <c r="J959" s="1" t="s">
        <v>155</v>
      </c>
      <c r="K959" s="1" t="s">
        <v>18</v>
      </c>
      <c r="L959" s="1" t="s">
        <v>19</v>
      </c>
      <c r="M959" s="1">
        <v>229434</v>
      </c>
      <c r="N959" s="1" t="s">
        <v>2871</v>
      </c>
      <c r="O959" s="18">
        <v>41373.654513888891</v>
      </c>
      <c r="P959" s="1" t="s">
        <v>2872</v>
      </c>
      <c r="Q959" s="21">
        <f t="shared" si="15"/>
        <v>32.913958333338087</v>
      </c>
      <c r="R959" s="1"/>
    </row>
    <row r="960" spans="1:18" x14ac:dyDescent="0.15">
      <c r="A960" s="1">
        <v>180763</v>
      </c>
      <c r="B960" s="1">
        <v>0</v>
      </c>
      <c r="C960" s="1" t="s">
        <v>41</v>
      </c>
      <c r="D960" s="1" t="s">
        <v>27</v>
      </c>
      <c r="E960" s="1" t="s">
        <v>3377</v>
      </c>
      <c r="F960" s="1" t="s">
        <v>3378</v>
      </c>
      <c r="G960" s="1" t="s">
        <v>23</v>
      </c>
      <c r="I960" s="18">
        <v>41340.04277777778</v>
      </c>
      <c r="J960" s="1" t="s">
        <v>398</v>
      </c>
      <c r="K960" s="1" t="s">
        <v>18</v>
      </c>
      <c r="L960" s="1" t="s">
        <v>19</v>
      </c>
      <c r="Q960" s="21"/>
    </row>
    <row r="961" spans="1:22" x14ac:dyDescent="0.15">
      <c r="A961" s="1">
        <v>179653</v>
      </c>
      <c r="B961" s="1">
        <v>0</v>
      </c>
      <c r="C961" s="1" t="s">
        <v>470</v>
      </c>
      <c r="D961" s="1" t="s">
        <v>27</v>
      </c>
      <c r="E961" s="1" t="s">
        <v>3463</v>
      </c>
      <c r="F961" s="1" t="s">
        <v>3464</v>
      </c>
      <c r="G961" s="1" t="s">
        <v>23</v>
      </c>
      <c r="I961" s="18">
        <v>41335.869293981479</v>
      </c>
      <c r="J961" s="1" t="s">
        <v>193</v>
      </c>
      <c r="K961" s="1" t="s">
        <v>18</v>
      </c>
      <c r="L961" s="1" t="s">
        <v>19</v>
      </c>
      <c r="Q961" s="21"/>
    </row>
    <row r="962" spans="1:22" x14ac:dyDescent="0.15">
      <c r="A962" s="1">
        <v>179522</v>
      </c>
      <c r="B962" s="1">
        <v>2</v>
      </c>
      <c r="C962" s="1" t="s">
        <v>26</v>
      </c>
      <c r="D962" s="1" t="s">
        <v>27</v>
      </c>
      <c r="E962" s="1" t="s">
        <v>1513</v>
      </c>
      <c r="F962" s="1" t="s">
        <v>1514</v>
      </c>
      <c r="G962" s="1" t="s">
        <v>23</v>
      </c>
      <c r="I962" s="18">
        <v>41334.954756944448</v>
      </c>
      <c r="J962" s="1" t="s">
        <v>408</v>
      </c>
      <c r="K962" s="1" t="s">
        <v>18</v>
      </c>
      <c r="L962" s="1" t="s">
        <v>19</v>
      </c>
      <c r="M962" s="1">
        <v>265131</v>
      </c>
      <c r="N962" s="1" t="s">
        <v>1515</v>
      </c>
      <c r="O962" s="18">
        <v>41483.088055555556</v>
      </c>
      <c r="P962" s="1" t="s">
        <v>1516</v>
      </c>
      <c r="Q962" s="21">
        <f t="shared" si="15"/>
        <v>148.13329861110833</v>
      </c>
      <c r="R962" s="1">
        <v>222292</v>
      </c>
      <c r="S962" s="1" t="s">
        <v>1515</v>
      </c>
      <c r="T962" s="2" t="s">
        <v>4157</v>
      </c>
      <c r="U962" s="1" t="s">
        <v>40</v>
      </c>
      <c r="V962" s="1"/>
    </row>
    <row r="963" spans="1:22" x14ac:dyDescent="0.15">
      <c r="A963" s="1">
        <v>179287</v>
      </c>
      <c r="B963" s="1">
        <v>0</v>
      </c>
      <c r="C963" s="1" t="s">
        <v>26</v>
      </c>
      <c r="D963" s="1" t="s">
        <v>27</v>
      </c>
      <c r="E963" s="1" t="s">
        <v>3389</v>
      </c>
      <c r="F963" s="1" t="s">
        <v>3390</v>
      </c>
      <c r="G963" s="1" t="s">
        <v>23</v>
      </c>
      <c r="I963" s="18">
        <v>41334.235219907408</v>
      </c>
      <c r="J963" s="1" t="s">
        <v>155</v>
      </c>
      <c r="K963" s="1" t="s">
        <v>18</v>
      </c>
      <c r="L963" s="1" t="s">
        <v>19</v>
      </c>
      <c r="Q963" s="21"/>
    </row>
    <row r="964" spans="1:22" x14ac:dyDescent="0.15">
      <c r="A964" s="1">
        <v>178797</v>
      </c>
      <c r="B964" s="1">
        <v>0</v>
      </c>
      <c r="C964" s="1" t="s">
        <v>26</v>
      </c>
      <c r="D964" s="1" t="s">
        <v>27</v>
      </c>
      <c r="E964" s="1" t="s">
        <v>3203</v>
      </c>
      <c r="F964" s="1" t="s">
        <v>3204</v>
      </c>
      <c r="G964" s="1" t="s">
        <v>23</v>
      </c>
      <c r="I964" s="18">
        <v>41332.795532407406</v>
      </c>
      <c r="J964" s="1" t="s">
        <v>40</v>
      </c>
      <c r="K964" s="1" t="s">
        <v>18</v>
      </c>
      <c r="L964" s="1" t="s">
        <v>19</v>
      </c>
      <c r="Q964" s="21"/>
    </row>
    <row r="965" spans="1:22" x14ac:dyDescent="0.15">
      <c r="A965" s="1">
        <v>178269</v>
      </c>
      <c r="B965" s="1">
        <v>0</v>
      </c>
      <c r="C965" s="1" t="s">
        <v>26</v>
      </c>
      <c r="D965" s="1" t="s">
        <v>27</v>
      </c>
      <c r="E965" s="1" t="s">
        <v>1096</v>
      </c>
      <c r="F965" s="1" t="s">
        <v>1097</v>
      </c>
      <c r="G965" s="1" t="s">
        <v>23</v>
      </c>
      <c r="I965" s="18">
        <v>41330.983506944445</v>
      </c>
      <c r="J965" s="1" t="s">
        <v>155</v>
      </c>
      <c r="K965" s="1" t="s">
        <v>18</v>
      </c>
      <c r="L965" s="1" t="s">
        <v>19</v>
      </c>
      <c r="Q965" s="21"/>
    </row>
    <row r="966" spans="1:22" x14ac:dyDescent="0.15">
      <c r="A966" s="1">
        <v>178266</v>
      </c>
      <c r="B966" s="1">
        <v>1</v>
      </c>
      <c r="C966" s="1" t="s">
        <v>26</v>
      </c>
      <c r="D966" s="1" t="s">
        <v>27</v>
      </c>
      <c r="E966" s="1" t="s">
        <v>58</v>
      </c>
      <c r="F966" s="1" t="s">
        <v>772</v>
      </c>
      <c r="G966" s="1" t="s">
        <v>23</v>
      </c>
      <c r="I966" s="18">
        <v>41330.980798611112</v>
      </c>
      <c r="J966" s="1" t="s">
        <v>155</v>
      </c>
      <c r="K966" s="1" t="s">
        <v>18</v>
      </c>
      <c r="L966" s="1" t="s">
        <v>19</v>
      </c>
      <c r="M966" s="1">
        <v>236678</v>
      </c>
      <c r="N966" s="1" t="s">
        <v>1095</v>
      </c>
      <c r="O966" s="18">
        <v>41394.017268518517</v>
      </c>
      <c r="P966" s="1" t="s">
        <v>261</v>
      </c>
      <c r="Q966" s="21">
        <f t="shared" si="15"/>
        <v>63.036469907405262</v>
      </c>
      <c r="R966" s="1"/>
    </row>
    <row r="967" spans="1:22" x14ac:dyDescent="0.15">
      <c r="A967" s="1">
        <v>178003</v>
      </c>
      <c r="B967" s="1">
        <v>0</v>
      </c>
      <c r="C967" s="1" t="s">
        <v>26</v>
      </c>
      <c r="D967" s="1" t="s">
        <v>27</v>
      </c>
      <c r="E967" s="1" t="s">
        <v>1326</v>
      </c>
      <c r="F967" s="1" t="s">
        <v>1327</v>
      </c>
      <c r="G967" s="1" t="s">
        <v>23</v>
      </c>
      <c r="I967" s="18">
        <v>41330.020196759258</v>
      </c>
      <c r="J967" s="1" t="s">
        <v>40</v>
      </c>
      <c r="K967" s="1" t="s">
        <v>18</v>
      </c>
      <c r="L967" s="1" t="s">
        <v>19</v>
      </c>
      <c r="Q967" s="21"/>
    </row>
    <row r="968" spans="1:22" x14ac:dyDescent="0.15">
      <c r="A968" s="1">
        <v>177932</v>
      </c>
      <c r="B968" s="1">
        <v>0</v>
      </c>
      <c r="C968" s="1" t="s">
        <v>26</v>
      </c>
      <c r="D968" s="1" t="s">
        <v>27</v>
      </c>
      <c r="E968" s="1" t="s">
        <v>1347</v>
      </c>
      <c r="F968" s="1" t="s">
        <v>1348</v>
      </c>
      <c r="G968" s="1" t="s">
        <v>23</v>
      </c>
      <c r="I968" s="18">
        <v>41329.091203703705</v>
      </c>
      <c r="J968" s="1" t="s">
        <v>40</v>
      </c>
      <c r="K968" s="1" t="s">
        <v>18</v>
      </c>
      <c r="L968" s="1" t="s">
        <v>19</v>
      </c>
      <c r="Q968" s="21"/>
    </row>
    <row r="969" spans="1:22" x14ac:dyDescent="0.15">
      <c r="A969" s="1">
        <v>177688</v>
      </c>
      <c r="B969" s="1">
        <v>0</v>
      </c>
      <c r="C969" s="1" t="s">
        <v>527</v>
      </c>
      <c r="D969" s="1" t="s">
        <v>27</v>
      </c>
      <c r="E969" s="1" t="s">
        <v>1044</v>
      </c>
      <c r="F969" s="1" t="s">
        <v>772</v>
      </c>
      <c r="G969" s="1" t="s">
        <v>23</v>
      </c>
      <c r="I969" s="18">
        <v>41327.707453703704</v>
      </c>
      <c r="J969" s="1" t="s">
        <v>40</v>
      </c>
      <c r="K969" s="1" t="s">
        <v>18</v>
      </c>
      <c r="L969" s="1" t="s">
        <v>19</v>
      </c>
      <c r="Q969" s="21"/>
    </row>
    <row r="970" spans="1:22" x14ac:dyDescent="0.15">
      <c r="A970" s="1">
        <v>177686</v>
      </c>
      <c r="B970" s="1">
        <v>0</v>
      </c>
      <c r="C970" s="1" t="s">
        <v>26</v>
      </c>
      <c r="D970" s="1" t="s">
        <v>27</v>
      </c>
      <c r="E970" s="1" t="s">
        <v>1042</v>
      </c>
      <c r="F970" s="1" t="s">
        <v>1043</v>
      </c>
      <c r="G970" s="1" t="s">
        <v>23</v>
      </c>
      <c r="I970" s="18">
        <v>41327.706076388888</v>
      </c>
      <c r="J970" s="1" t="s">
        <v>155</v>
      </c>
      <c r="K970" s="1" t="s">
        <v>18</v>
      </c>
      <c r="L970" s="1" t="s">
        <v>19</v>
      </c>
      <c r="Q970" s="21"/>
    </row>
    <row r="971" spans="1:22" x14ac:dyDescent="0.15">
      <c r="A971" s="1">
        <v>177620</v>
      </c>
      <c r="B971" s="1">
        <v>0</v>
      </c>
      <c r="C971" s="1" t="s">
        <v>26</v>
      </c>
      <c r="D971" s="1" t="s">
        <v>27</v>
      </c>
      <c r="E971" s="1" t="s">
        <v>1461</v>
      </c>
      <c r="F971" s="1" t="s">
        <v>1462</v>
      </c>
      <c r="G971" s="1" t="s">
        <v>23</v>
      </c>
      <c r="I971" s="18">
        <v>41327.239490740743</v>
      </c>
      <c r="J971" s="1" t="s">
        <v>76</v>
      </c>
      <c r="K971" s="1" t="s">
        <v>18</v>
      </c>
      <c r="L971" s="1" t="s">
        <v>19</v>
      </c>
      <c r="Q971" s="21"/>
    </row>
    <row r="972" spans="1:22" x14ac:dyDescent="0.15">
      <c r="A972" s="1">
        <v>177403</v>
      </c>
      <c r="B972" s="1">
        <v>0</v>
      </c>
      <c r="C972" s="1" t="s">
        <v>26</v>
      </c>
      <c r="D972" s="1" t="s">
        <v>27</v>
      </c>
      <c r="E972" s="1" t="s">
        <v>1032</v>
      </c>
      <c r="F972" s="1" t="s">
        <v>1033</v>
      </c>
      <c r="G972" s="1" t="s">
        <v>23</v>
      </c>
      <c r="I972" s="18">
        <v>41326.214699074073</v>
      </c>
      <c r="J972" s="1" t="s">
        <v>40</v>
      </c>
      <c r="K972" s="1" t="s">
        <v>18</v>
      </c>
      <c r="L972" s="1" t="s">
        <v>19</v>
      </c>
      <c r="Q972" s="21"/>
    </row>
    <row r="973" spans="1:22" x14ac:dyDescent="0.15">
      <c r="A973" s="1">
        <v>176882</v>
      </c>
      <c r="B973" s="1">
        <v>0</v>
      </c>
      <c r="C973" s="1" t="s">
        <v>170</v>
      </c>
      <c r="D973" s="1" t="s">
        <v>27</v>
      </c>
      <c r="E973" s="1" t="s">
        <v>2650</v>
      </c>
      <c r="F973" s="1" t="s">
        <v>2651</v>
      </c>
      <c r="G973" s="1" t="s">
        <v>23</v>
      </c>
      <c r="I973" s="18">
        <v>41324.128460648149</v>
      </c>
      <c r="J973" s="1" t="s">
        <v>76</v>
      </c>
      <c r="K973" s="1" t="s">
        <v>18</v>
      </c>
      <c r="L973" s="1" t="s">
        <v>19</v>
      </c>
      <c r="Q973" s="21"/>
    </row>
    <row r="974" spans="1:22" x14ac:dyDescent="0.15">
      <c r="A974" s="1">
        <v>176692</v>
      </c>
      <c r="B974" s="1">
        <v>0</v>
      </c>
      <c r="C974" s="1" t="s">
        <v>170</v>
      </c>
      <c r="D974" s="1" t="s">
        <v>27</v>
      </c>
      <c r="E974" s="1" t="s">
        <v>2935</v>
      </c>
      <c r="F974" s="1" t="s">
        <v>2936</v>
      </c>
      <c r="G974" s="1" t="s">
        <v>23</v>
      </c>
      <c r="I974" s="18">
        <v>41321.94017361111</v>
      </c>
      <c r="J974" s="1" t="s">
        <v>860</v>
      </c>
      <c r="K974" s="1" t="s">
        <v>18</v>
      </c>
      <c r="L974" s="1" t="s">
        <v>19</v>
      </c>
      <c r="Q974" s="21"/>
    </row>
    <row r="975" spans="1:22" x14ac:dyDescent="0.15">
      <c r="A975" s="1">
        <v>176676</v>
      </c>
      <c r="B975" s="1">
        <v>0</v>
      </c>
      <c r="C975" s="1" t="s">
        <v>841</v>
      </c>
      <c r="D975" s="1" t="s">
        <v>27</v>
      </c>
      <c r="E975" s="1" t="s">
        <v>842</v>
      </c>
      <c r="F975" s="1" t="s">
        <v>772</v>
      </c>
      <c r="G975" s="1" t="s">
        <v>23</v>
      </c>
      <c r="I975" s="18">
        <v>41321.58116898148</v>
      </c>
      <c r="J975" s="1" t="s">
        <v>40</v>
      </c>
      <c r="K975" s="1" t="s">
        <v>18</v>
      </c>
      <c r="L975" s="1" t="s">
        <v>19</v>
      </c>
      <c r="Q975" s="21"/>
    </row>
    <row r="976" spans="1:22" x14ac:dyDescent="0.15">
      <c r="A976" s="1">
        <v>176660</v>
      </c>
      <c r="B976" s="1">
        <v>0</v>
      </c>
      <c r="C976" s="1" t="s">
        <v>170</v>
      </c>
      <c r="D976" s="1" t="s">
        <v>3911</v>
      </c>
      <c r="E976" s="1" t="s">
        <v>3985</v>
      </c>
      <c r="F976" s="1" t="s">
        <v>3986</v>
      </c>
      <c r="G976" s="1" t="s">
        <v>23</v>
      </c>
      <c r="I976" s="18">
        <v>41321.266493055555</v>
      </c>
      <c r="J976" s="1" t="s">
        <v>40</v>
      </c>
      <c r="K976" s="1" t="s">
        <v>18</v>
      </c>
      <c r="L976" s="1" t="s">
        <v>19</v>
      </c>
      <c r="Q976" s="21"/>
    </row>
    <row r="977" spans="1:18" x14ac:dyDescent="0.15">
      <c r="A977" s="1">
        <v>176510</v>
      </c>
      <c r="B977" s="1">
        <v>0</v>
      </c>
      <c r="C977" s="1" t="s">
        <v>26</v>
      </c>
      <c r="D977" s="1" t="s">
        <v>3911</v>
      </c>
      <c r="E977" s="1" t="s">
        <v>3927</v>
      </c>
      <c r="F977" s="1" t="s">
        <v>1033</v>
      </c>
      <c r="G977" s="1" t="s">
        <v>23</v>
      </c>
      <c r="I977" s="18">
        <v>41320.710601851853</v>
      </c>
      <c r="J977" s="1" t="s">
        <v>40</v>
      </c>
      <c r="K977" s="1" t="s">
        <v>18</v>
      </c>
      <c r="L977" s="1" t="s">
        <v>19</v>
      </c>
      <c r="Q977" s="21"/>
    </row>
    <row r="978" spans="1:18" x14ac:dyDescent="0.15">
      <c r="A978" s="1">
        <v>176252</v>
      </c>
      <c r="B978" s="1">
        <v>0</v>
      </c>
      <c r="C978" s="1" t="s">
        <v>2257</v>
      </c>
      <c r="D978" s="1" t="s">
        <v>27</v>
      </c>
      <c r="E978" s="1" t="s">
        <v>2258</v>
      </c>
      <c r="F978" s="1" t="s">
        <v>2259</v>
      </c>
      <c r="G978" s="1" t="s">
        <v>23</v>
      </c>
      <c r="I978" s="18">
        <v>41319.534062500003</v>
      </c>
      <c r="J978" s="1" t="s">
        <v>98</v>
      </c>
      <c r="K978" s="1" t="s">
        <v>18</v>
      </c>
      <c r="L978" s="1" t="s">
        <v>19</v>
      </c>
      <c r="Q978" s="21"/>
    </row>
    <row r="979" spans="1:18" x14ac:dyDescent="0.15">
      <c r="A979" s="1">
        <v>176056</v>
      </c>
      <c r="B979" s="1">
        <v>0</v>
      </c>
      <c r="C979" s="1" t="s">
        <v>843</v>
      </c>
      <c r="D979" s="1" t="s">
        <v>27</v>
      </c>
      <c r="E979" s="1" t="s">
        <v>1640</v>
      </c>
      <c r="F979" s="1" t="s">
        <v>1641</v>
      </c>
      <c r="G979" s="1" t="s">
        <v>23</v>
      </c>
      <c r="I979" s="18">
        <v>41318.816550925927</v>
      </c>
      <c r="J979" s="1" t="s">
        <v>155</v>
      </c>
      <c r="K979" s="1" t="s">
        <v>18</v>
      </c>
      <c r="L979" s="1" t="s">
        <v>19</v>
      </c>
      <c r="Q979" s="21"/>
    </row>
    <row r="980" spans="1:18" x14ac:dyDescent="0.15">
      <c r="A980" s="1">
        <v>176033</v>
      </c>
      <c r="B980" s="1">
        <v>0</v>
      </c>
      <c r="C980" s="1" t="s">
        <v>841</v>
      </c>
      <c r="D980" s="1" t="s">
        <v>27</v>
      </c>
      <c r="E980" s="1" t="s">
        <v>2076</v>
      </c>
      <c r="F980" s="1" t="s">
        <v>2077</v>
      </c>
      <c r="G980" s="1" t="s">
        <v>23</v>
      </c>
      <c r="I980" s="18">
        <v>41318.73133101852</v>
      </c>
      <c r="J980" s="1" t="s">
        <v>2078</v>
      </c>
      <c r="K980" s="1" t="s">
        <v>18</v>
      </c>
      <c r="L980" s="1" t="s">
        <v>19</v>
      </c>
      <c r="Q980" s="21"/>
    </row>
    <row r="981" spans="1:18" x14ac:dyDescent="0.15">
      <c r="A981" s="1">
        <v>175741</v>
      </c>
      <c r="B981" s="1">
        <v>1</v>
      </c>
      <c r="C981" s="1" t="s">
        <v>1804</v>
      </c>
      <c r="D981" s="1" t="s">
        <v>27</v>
      </c>
      <c r="E981" s="1" t="s">
        <v>3158</v>
      </c>
      <c r="F981" s="1" t="s">
        <v>3159</v>
      </c>
      <c r="G981" s="1" t="s">
        <v>23</v>
      </c>
      <c r="I981" s="18">
        <v>41317.699236111112</v>
      </c>
      <c r="J981" s="1" t="s">
        <v>40</v>
      </c>
      <c r="K981" s="1" t="s">
        <v>18</v>
      </c>
      <c r="L981" s="1" t="s">
        <v>19</v>
      </c>
      <c r="M981" s="1">
        <v>175695</v>
      </c>
      <c r="N981" s="1" t="s">
        <v>3160</v>
      </c>
      <c r="O981" s="18">
        <v>41317.406226851854</v>
      </c>
      <c r="P981" s="1" t="s">
        <v>2424</v>
      </c>
      <c r="Q981" s="21">
        <f t="shared" ref="Q981:Q1025" si="16">ABS(O981-I981)</f>
        <v>0.29300925925781485</v>
      </c>
      <c r="R981" s="1"/>
    </row>
    <row r="982" spans="1:18" x14ac:dyDescent="0.15">
      <c r="A982" s="1">
        <v>175342</v>
      </c>
      <c r="B982" s="1">
        <v>0</v>
      </c>
      <c r="C982" s="1" t="s">
        <v>26</v>
      </c>
      <c r="D982" s="1" t="s">
        <v>27</v>
      </c>
      <c r="E982" s="1" t="s">
        <v>3070</v>
      </c>
      <c r="F982" s="1" t="s">
        <v>1129</v>
      </c>
      <c r="G982" s="1" t="s">
        <v>23</v>
      </c>
      <c r="I982" s="18">
        <v>41315.73097222222</v>
      </c>
      <c r="J982" s="1" t="s">
        <v>40</v>
      </c>
      <c r="K982" s="1" t="s">
        <v>18</v>
      </c>
      <c r="L982" s="1" t="s">
        <v>19</v>
      </c>
      <c r="Q982" s="21"/>
    </row>
    <row r="983" spans="1:18" x14ac:dyDescent="0.15">
      <c r="A983" s="1">
        <v>174920</v>
      </c>
      <c r="B983" s="1">
        <v>0</v>
      </c>
      <c r="C983" s="1" t="s">
        <v>26</v>
      </c>
      <c r="D983" s="1" t="s">
        <v>27</v>
      </c>
      <c r="E983" s="1" t="s">
        <v>174</v>
      </c>
      <c r="F983" s="1" t="s">
        <v>175</v>
      </c>
      <c r="G983" s="1" t="s">
        <v>23</v>
      </c>
      <c r="I983" s="18">
        <v>41312.689849537041</v>
      </c>
      <c r="J983" s="1" t="s">
        <v>40</v>
      </c>
      <c r="K983" s="1" t="s">
        <v>18</v>
      </c>
      <c r="L983" s="1" t="s">
        <v>19</v>
      </c>
      <c r="Q983" s="21"/>
    </row>
    <row r="984" spans="1:18" x14ac:dyDescent="0.15">
      <c r="A984" s="1">
        <v>174846</v>
      </c>
      <c r="B984" s="1">
        <v>0</v>
      </c>
      <c r="C984" s="1" t="s">
        <v>26</v>
      </c>
      <c r="D984" s="1" t="s">
        <v>27</v>
      </c>
      <c r="E984" s="1" t="s">
        <v>2756</v>
      </c>
      <c r="F984" s="1" t="s">
        <v>1043</v>
      </c>
      <c r="G984" s="1" t="s">
        <v>23</v>
      </c>
      <c r="I984" s="18">
        <v>41312.275590277779</v>
      </c>
      <c r="J984" s="1" t="s">
        <v>40</v>
      </c>
      <c r="K984" s="1" t="s">
        <v>18</v>
      </c>
      <c r="L984" s="1" t="s">
        <v>19</v>
      </c>
      <c r="Q984" s="21"/>
    </row>
    <row r="985" spans="1:18" x14ac:dyDescent="0.15">
      <c r="A985" s="1">
        <v>174020</v>
      </c>
      <c r="B985" s="1">
        <v>0</v>
      </c>
      <c r="C985" s="1" t="s">
        <v>26</v>
      </c>
      <c r="D985" s="1" t="s">
        <v>27</v>
      </c>
      <c r="E985" s="1" t="s">
        <v>1134</v>
      </c>
      <c r="F985" s="1" t="s">
        <v>395</v>
      </c>
      <c r="G985" s="1" t="s">
        <v>23</v>
      </c>
      <c r="I985" s="18">
        <v>41309.678854166668</v>
      </c>
      <c r="J985" s="1" t="s">
        <v>40</v>
      </c>
      <c r="K985" s="1" t="s">
        <v>18</v>
      </c>
      <c r="L985" s="1" t="s">
        <v>19</v>
      </c>
      <c r="Q985" s="21"/>
    </row>
    <row r="986" spans="1:18" x14ac:dyDescent="0.15">
      <c r="A986" s="1">
        <v>173654</v>
      </c>
      <c r="B986" s="1">
        <v>0</v>
      </c>
      <c r="C986" s="1" t="s">
        <v>26</v>
      </c>
      <c r="D986" s="1" t="s">
        <v>27</v>
      </c>
      <c r="E986" s="1" t="s">
        <v>2671</v>
      </c>
      <c r="F986" s="1" t="s">
        <v>1043</v>
      </c>
      <c r="G986" s="1" t="s">
        <v>23</v>
      </c>
      <c r="I986" s="18">
        <v>41306.682314814818</v>
      </c>
      <c r="J986" s="1" t="s">
        <v>40</v>
      </c>
      <c r="K986" s="1" t="s">
        <v>18</v>
      </c>
      <c r="L986" s="1" t="s">
        <v>19</v>
      </c>
      <c r="Q986" s="21"/>
    </row>
    <row r="987" spans="1:18" x14ac:dyDescent="0.15">
      <c r="A987" s="1">
        <v>173402</v>
      </c>
      <c r="B987" s="1">
        <v>0</v>
      </c>
      <c r="C987" s="1" t="s">
        <v>26</v>
      </c>
      <c r="D987" s="1" t="s">
        <v>27</v>
      </c>
      <c r="E987" s="1" t="s">
        <v>2767</v>
      </c>
      <c r="F987" s="1" t="s">
        <v>2768</v>
      </c>
      <c r="G987" s="1" t="s">
        <v>23</v>
      </c>
      <c r="I987" s="18">
        <v>41305.705995370372</v>
      </c>
      <c r="J987" s="1" t="s">
        <v>40</v>
      </c>
      <c r="K987" s="1" t="s">
        <v>18</v>
      </c>
      <c r="L987" s="1" t="s">
        <v>19</v>
      </c>
      <c r="Q987" s="21"/>
    </row>
    <row r="988" spans="1:18" x14ac:dyDescent="0.15">
      <c r="A988" s="1">
        <v>173399</v>
      </c>
      <c r="B988" s="1">
        <v>0</v>
      </c>
      <c r="C988" s="1" t="s">
        <v>26</v>
      </c>
      <c r="D988" s="1" t="s">
        <v>27</v>
      </c>
      <c r="E988" s="1" t="s">
        <v>1128</v>
      </c>
      <c r="F988" s="1" t="s">
        <v>1129</v>
      </c>
      <c r="G988" s="1" t="s">
        <v>23</v>
      </c>
      <c r="I988" s="18">
        <v>41305.696793981479</v>
      </c>
      <c r="J988" s="1" t="s">
        <v>40</v>
      </c>
      <c r="K988" s="1" t="s">
        <v>18</v>
      </c>
      <c r="L988" s="1" t="s">
        <v>19</v>
      </c>
      <c r="Q988" s="21"/>
    </row>
    <row r="989" spans="1:18" x14ac:dyDescent="0.15">
      <c r="A989" s="1">
        <v>172926</v>
      </c>
      <c r="B989" s="1">
        <v>0</v>
      </c>
      <c r="C989" s="1" t="s">
        <v>2262</v>
      </c>
      <c r="D989" s="1" t="s">
        <v>27</v>
      </c>
      <c r="E989" s="1" t="s">
        <v>2263</v>
      </c>
      <c r="F989" s="1" t="s">
        <v>976</v>
      </c>
      <c r="G989" s="1" t="s">
        <v>23</v>
      </c>
      <c r="I989" s="18">
        <v>41303.826180555552</v>
      </c>
      <c r="J989" s="1" t="s">
        <v>408</v>
      </c>
      <c r="K989" s="1" t="s">
        <v>18</v>
      </c>
      <c r="L989" s="1" t="s">
        <v>19</v>
      </c>
      <c r="Q989" s="21"/>
    </row>
    <row r="990" spans="1:18" x14ac:dyDescent="0.15">
      <c r="A990" s="1">
        <v>172814</v>
      </c>
      <c r="B990" s="1">
        <v>0</v>
      </c>
      <c r="C990" s="1" t="s">
        <v>26</v>
      </c>
      <c r="D990" s="1" t="s">
        <v>27</v>
      </c>
      <c r="E990" s="1" t="s">
        <v>2381</v>
      </c>
      <c r="F990" s="1" t="s">
        <v>395</v>
      </c>
      <c r="G990" s="1" t="s">
        <v>23</v>
      </c>
      <c r="I990" s="18">
        <v>41303.249884259261</v>
      </c>
      <c r="J990" s="1" t="s">
        <v>40</v>
      </c>
      <c r="K990" s="1" t="s">
        <v>18</v>
      </c>
      <c r="L990" s="1" t="s">
        <v>19</v>
      </c>
      <c r="Q990" s="21"/>
    </row>
    <row r="991" spans="1:18" x14ac:dyDescent="0.15">
      <c r="A991" s="1">
        <v>172342</v>
      </c>
      <c r="B991" s="1">
        <v>1</v>
      </c>
      <c r="C991" s="1" t="s">
        <v>26</v>
      </c>
      <c r="D991" s="1" t="s">
        <v>27</v>
      </c>
      <c r="E991" s="1" t="s">
        <v>438</v>
      </c>
      <c r="F991" s="1" t="s">
        <v>439</v>
      </c>
      <c r="G991" s="1" t="s">
        <v>23</v>
      </c>
      <c r="I991" s="18">
        <v>41299.886967592596</v>
      </c>
      <c r="J991" s="1" t="s">
        <v>408</v>
      </c>
      <c r="K991" s="1" t="s">
        <v>18</v>
      </c>
      <c r="L991" s="1" t="s">
        <v>19</v>
      </c>
      <c r="M991" s="1">
        <v>175197</v>
      </c>
      <c r="N991" s="1" t="s">
        <v>440</v>
      </c>
      <c r="O991" s="18">
        <v>41313.830937500003</v>
      </c>
      <c r="P991" s="1" t="s">
        <v>441</v>
      </c>
      <c r="Q991" s="21">
        <f t="shared" si="16"/>
        <v>13.943969907406427</v>
      </c>
      <c r="R991" s="1"/>
    </row>
    <row r="992" spans="1:18" x14ac:dyDescent="0.15">
      <c r="A992" s="1">
        <v>172331</v>
      </c>
      <c r="B992" s="1">
        <v>0</v>
      </c>
      <c r="C992" s="1" t="s">
        <v>26</v>
      </c>
      <c r="D992" s="1" t="s">
        <v>27</v>
      </c>
      <c r="E992" s="1" t="s">
        <v>975</v>
      </c>
      <c r="F992" s="1" t="s">
        <v>976</v>
      </c>
      <c r="G992" s="1" t="s">
        <v>23</v>
      </c>
      <c r="I992" s="18">
        <v>41299.876226851855</v>
      </c>
      <c r="J992" s="1" t="s">
        <v>408</v>
      </c>
      <c r="K992" s="1" t="s">
        <v>18</v>
      </c>
      <c r="L992" s="1" t="s">
        <v>19</v>
      </c>
      <c r="Q992" s="21"/>
    </row>
    <row r="993" spans="1:18" x14ac:dyDescent="0.15">
      <c r="A993" s="1">
        <v>172264</v>
      </c>
      <c r="B993" s="1">
        <v>0</v>
      </c>
      <c r="C993" s="1" t="s">
        <v>1764</v>
      </c>
      <c r="D993" s="1" t="s">
        <v>27</v>
      </c>
      <c r="E993" s="1" t="s">
        <v>1765</v>
      </c>
      <c r="F993" s="1" t="s">
        <v>1766</v>
      </c>
      <c r="G993" s="1" t="s">
        <v>23</v>
      </c>
      <c r="I993" s="18">
        <v>41299.717627314814</v>
      </c>
      <c r="J993" s="1" t="s">
        <v>193</v>
      </c>
      <c r="K993" s="1" t="s">
        <v>18</v>
      </c>
      <c r="L993" s="1" t="s">
        <v>19</v>
      </c>
      <c r="Q993" s="21"/>
    </row>
    <row r="994" spans="1:18" x14ac:dyDescent="0.15">
      <c r="A994" s="1">
        <v>172243</v>
      </c>
      <c r="B994" s="1">
        <v>0</v>
      </c>
      <c r="C994" s="1" t="s">
        <v>1034</v>
      </c>
      <c r="D994" s="1" t="s">
        <v>27</v>
      </c>
      <c r="E994" s="1" t="s">
        <v>3406</v>
      </c>
      <c r="F994" s="1" t="s">
        <v>3407</v>
      </c>
      <c r="G994" s="1"/>
      <c r="H994" s="1"/>
      <c r="I994" s="18">
        <v>41299.625856481478</v>
      </c>
      <c r="J994" s="1" t="s">
        <v>408</v>
      </c>
      <c r="K994" s="1" t="s">
        <v>18</v>
      </c>
      <c r="L994" s="1" t="s">
        <v>19</v>
      </c>
      <c r="Q994" s="21"/>
    </row>
    <row r="995" spans="1:18" x14ac:dyDescent="0.15">
      <c r="A995" s="1">
        <v>172240</v>
      </c>
      <c r="B995" s="1">
        <v>1</v>
      </c>
      <c r="C995" s="1" t="s">
        <v>4067</v>
      </c>
      <c r="D995" s="1" t="s">
        <v>3911</v>
      </c>
      <c r="E995" s="1" t="s">
        <v>4068</v>
      </c>
      <c r="F995" s="1" t="s">
        <v>4069</v>
      </c>
      <c r="G995" s="1" t="s">
        <v>23</v>
      </c>
      <c r="I995" s="18">
        <v>41299.617418981485</v>
      </c>
      <c r="J995" s="1" t="s">
        <v>860</v>
      </c>
      <c r="K995" s="1" t="s">
        <v>18</v>
      </c>
      <c r="L995" s="1" t="s">
        <v>19</v>
      </c>
      <c r="M995" s="1">
        <v>176046</v>
      </c>
      <c r="N995" s="1" t="s">
        <v>4070</v>
      </c>
      <c r="O995" s="18">
        <v>41318.774131944447</v>
      </c>
      <c r="P995" s="1" t="s">
        <v>4071</v>
      </c>
      <c r="Q995" s="21">
        <f t="shared" si="16"/>
        <v>19.156712962962047</v>
      </c>
      <c r="R995" s="1"/>
    </row>
    <row r="996" spans="1:18" x14ac:dyDescent="0.15">
      <c r="A996" s="1">
        <v>171951</v>
      </c>
      <c r="B996" s="1">
        <v>0</v>
      </c>
      <c r="C996" s="1" t="s">
        <v>26</v>
      </c>
      <c r="D996" s="1" t="s">
        <v>27</v>
      </c>
      <c r="E996" s="1" t="s">
        <v>3509</v>
      </c>
      <c r="F996" s="1" t="s">
        <v>3510</v>
      </c>
      <c r="G996" s="1"/>
      <c r="H996" s="1"/>
      <c r="I996" s="18">
        <v>41298.671412037038</v>
      </c>
      <c r="J996" s="1" t="s">
        <v>76</v>
      </c>
      <c r="K996" s="1" t="s">
        <v>18</v>
      </c>
      <c r="L996" s="1" t="s">
        <v>19</v>
      </c>
      <c r="Q996" s="21"/>
    </row>
    <row r="997" spans="1:18" x14ac:dyDescent="0.15">
      <c r="A997" s="1">
        <v>171557</v>
      </c>
      <c r="B997" s="1">
        <v>0</v>
      </c>
      <c r="C997" s="1" t="s">
        <v>26</v>
      </c>
      <c r="D997" s="1" t="s">
        <v>27</v>
      </c>
      <c r="E997" s="1" t="s">
        <v>1726</v>
      </c>
      <c r="F997" s="1" t="s">
        <v>1727</v>
      </c>
      <c r="G997" s="1" t="s">
        <v>23</v>
      </c>
      <c r="I997" s="18">
        <v>41296.99690972222</v>
      </c>
      <c r="J997" s="1" t="s">
        <v>40</v>
      </c>
      <c r="K997" s="1" t="s">
        <v>18</v>
      </c>
      <c r="L997" s="1" t="s">
        <v>19</v>
      </c>
      <c r="Q997" s="21"/>
    </row>
    <row r="998" spans="1:18" x14ac:dyDescent="0.15">
      <c r="A998" s="1">
        <v>170715</v>
      </c>
      <c r="B998" s="1">
        <v>0</v>
      </c>
      <c r="C998" s="1" t="s">
        <v>1248</v>
      </c>
      <c r="D998" s="1" t="s">
        <v>27</v>
      </c>
      <c r="E998" s="1" t="s">
        <v>1249</v>
      </c>
      <c r="F998" s="1" t="s">
        <v>1250</v>
      </c>
      <c r="G998" s="1" t="s">
        <v>23</v>
      </c>
      <c r="I998" s="18">
        <v>41291.828912037039</v>
      </c>
      <c r="J998" s="1" t="s">
        <v>1251</v>
      </c>
      <c r="K998" s="1" t="s">
        <v>18</v>
      </c>
      <c r="L998" s="1" t="s">
        <v>19</v>
      </c>
      <c r="Q998" s="21"/>
    </row>
    <row r="999" spans="1:18" x14ac:dyDescent="0.15">
      <c r="A999" s="1">
        <v>170679</v>
      </c>
      <c r="B999" s="1">
        <v>0</v>
      </c>
      <c r="C999" s="1" t="s">
        <v>26</v>
      </c>
      <c r="D999" s="1" t="s">
        <v>27</v>
      </c>
      <c r="E999" s="1" t="s">
        <v>1776</v>
      </c>
      <c r="F999" s="1" t="s">
        <v>1129</v>
      </c>
      <c r="G999" s="1" t="s">
        <v>23</v>
      </c>
      <c r="I999" s="18">
        <v>41291.739444444444</v>
      </c>
      <c r="J999" s="1" t="s">
        <v>40</v>
      </c>
      <c r="K999" s="1" t="s">
        <v>18</v>
      </c>
      <c r="L999" s="1" t="s">
        <v>19</v>
      </c>
      <c r="Q999" s="21"/>
    </row>
    <row r="1000" spans="1:18" x14ac:dyDescent="0.15">
      <c r="A1000" s="1">
        <v>169973</v>
      </c>
      <c r="B1000" s="1">
        <v>0</v>
      </c>
      <c r="C1000" s="1" t="s">
        <v>1502</v>
      </c>
      <c r="D1000" s="1" t="s">
        <v>27</v>
      </c>
      <c r="E1000" s="1" t="s">
        <v>1655</v>
      </c>
      <c r="F1000" s="1" t="s">
        <v>1656</v>
      </c>
      <c r="G1000" s="1" t="s">
        <v>16</v>
      </c>
      <c r="I1000" s="18">
        <v>41289.097245370373</v>
      </c>
      <c r="J1000" s="1" t="s">
        <v>151</v>
      </c>
      <c r="K1000" s="1" t="s">
        <v>18</v>
      </c>
      <c r="L1000" s="1" t="s">
        <v>19</v>
      </c>
      <c r="Q1000" s="21"/>
    </row>
    <row r="1001" spans="1:18" x14ac:dyDescent="0.15">
      <c r="A1001" s="1">
        <v>169966</v>
      </c>
      <c r="B1001" s="1">
        <v>0</v>
      </c>
      <c r="D1001" s="1" t="s">
        <v>27</v>
      </c>
      <c r="E1001" s="1" t="s">
        <v>1006</v>
      </c>
      <c r="F1001" s="1" t="s">
        <v>1007</v>
      </c>
      <c r="G1001" s="1" t="s">
        <v>16</v>
      </c>
      <c r="I1001" s="18">
        <v>41289.067395833335</v>
      </c>
      <c r="J1001" s="1" t="s">
        <v>151</v>
      </c>
      <c r="K1001" s="1" t="s">
        <v>18</v>
      </c>
      <c r="L1001" s="1" t="s">
        <v>19</v>
      </c>
      <c r="Q1001" s="21"/>
    </row>
    <row r="1002" spans="1:18" x14ac:dyDescent="0.15">
      <c r="A1002" s="1">
        <v>169770</v>
      </c>
      <c r="B1002" s="1">
        <v>0</v>
      </c>
      <c r="C1002" s="1" t="s">
        <v>170</v>
      </c>
      <c r="D1002" s="1" t="s">
        <v>27</v>
      </c>
      <c r="E1002" s="1" t="s">
        <v>3184</v>
      </c>
      <c r="F1002" s="1" t="s">
        <v>3185</v>
      </c>
      <c r="G1002" s="1" t="s">
        <v>23</v>
      </c>
      <c r="I1002" s="18">
        <v>41288.339224537034</v>
      </c>
      <c r="J1002" s="1" t="s">
        <v>151</v>
      </c>
      <c r="K1002" s="1" t="s">
        <v>18</v>
      </c>
      <c r="L1002" s="1" t="s">
        <v>19</v>
      </c>
      <c r="Q1002" s="21"/>
    </row>
    <row r="1003" spans="1:18" x14ac:dyDescent="0.15">
      <c r="A1003" s="1">
        <v>169685</v>
      </c>
      <c r="B1003" s="1">
        <v>0</v>
      </c>
      <c r="C1003" s="1" t="s">
        <v>170</v>
      </c>
      <c r="D1003" s="1" t="s">
        <v>27</v>
      </c>
      <c r="E1003" s="1" t="s">
        <v>3296</v>
      </c>
      <c r="F1003" s="1" t="s">
        <v>3297</v>
      </c>
      <c r="G1003" s="1" t="s">
        <v>23</v>
      </c>
      <c r="I1003" s="18">
        <v>41286.735185185185</v>
      </c>
      <c r="J1003" s="1" t="s">
        <v>193</v>
      </c>
      <c r="K1003" s="1" t="s">
        <v>18</v>
      </c>
      <c r="L1003" s="1" t="s">
        <v>19</v>
      </c>
      <c r="Q1003" s="21"/>
    </row>
    <row r="1004" spans="1:18" x14ac:dyDescent="0.15">
      <c r="A1004" s="1">
        <v>169398</v>
      </c>
      <c r="B1004" s="1">
        <v>0</v>
      </c>
      <c r="C1004" s="1" t="s">
        <v>26</v>
      </c>
      <c r="D1004" s="1" t="s">
        <v>27</v>
      </c>
      <c r="E1004" s="1" t="s">
        <v>1138</v>
      </c>
      <c r="F1004" s="1" t="s">
        <v>1129</v>
      </c>
      <c r="G1004" s="1" t="s">
        <v>23</v>
      </c>
      <c r="I1004" s="18">
        <v>41285.12841435185</v>
      </c>
      <c r="J1004" s="1" t="s">
        <v>155</v>
      </c>
      <c r="K1004" s="1" t="s">
        <v>18</v>
      </c>
      <c r="L1004" s="1" t="s">
        <v>19</v>
      </c>
      <c r="Q1004" s="21"/>
    </row>
    <row r="1005" spans="1:18" x14ac:dyDescent="0.15">
      <c r="A1005" s="1">
        <v>169054</v>
      </c>
      <c r="B1005" s="1">
        <v>1</v>
      </c>
      <c r="C1005" s="1" t="s">
        <v>414</v>
      </c>
      <c r="D1005" s="1" t="s">
        <v>3714</v>
      </c>
      <c r="E1005" s="1" t="s">
        <v>3892</v>
      </c>
      <c r="F1005" s="1" t="s">
        <v>3893</v>
      </c>
      <c r="G1005" s="1" t="s">
        <v>3821</v>
      </c>
      <c r="I1005" s="18">
        <v>41283.818124999998</v>
      </c>
      <c r="J1005" s="1" t="s">
        <v>44</v>
      </c>
      <c r="K1005" s="1" t="s">
        <v>3586</v>
      </c>
      <c r="L1005" s="1" t="s">
        <v>19</v>
      </c>
      <c r="M1005" s="1">
        <v>231390</v>
      </c>
      <c r="N1005" s="1" t="s">
        <v>3894</v>
      </c>
      <c r="O1005" s="18">
        <v>41379.661400462966</v>
      </c>
      <c r="P1005" s="1" t="s">
        <v>2872</v>
      </c>
      <c r="Q1005" s="21">
        <f t="shared" si="16"/>
        <v>95.84327546296845</v>
      </c>
      <c r="R1005" s="1"/>
    </row>
    <row r="1006" spans="1:18" x14ac:dyDescent="0.15">
      <c r="A1006" s="1">
        <v>168982</v>
      </c>
      <c r="B1006" s="1">
        <v>0</v>
      </c>
      <c r="C1006" s="1" t="s">
        <v>26</v>
      </c>
      <c r="D1006" s="1" t="s">
        <v>27</v>
      </c>
      <c r="E1006" s="1" t="s">
        <v>3501</v>
      </c>
      <c r="F1006" s="1" t="s">
        <v>3502</v>
      </c>
      <c r="G1006" s="1" t="s">
        <v>23</v>
      </c>
      <c r="I1006" s="18">
        <v>41283.403437499997</v>
      </c>
      <c r="J1006" s="1" t="s">
        <v>408</v>
      </c>
      <c r="K1006" s="1" t="s">
        <v>18</v>
      </c>
      <c r="L1006" s="1" t="s">
        <v>19</v>
      </c>
      <c r="Q1006" s="21"/>
    </row>
    <row r="1007" spans="1:18" x14ac:dyDescent="0.15">
      <c r="A1007" s="1">
        <v>168473</v>
      </c>
      <c r="B1007" s="1">
        <v>0</v>
      </c>
      <c r="C1007" s="1" t="s">
        <v>170</v>
      </c>
      <c r="D1007" s="1" t="s">
        <v>27</v>
      </c>
      <c r="E1007" s="1" t="s">
        <v>1177</v>
      </c>
      <c r="F1007" s="1" t="s">
        <v>1178</v>
      </c>
      <c r="G1007" s="1" t="s">
        <v>23</v>
      </c>
      <c r="I1007" s="18">
        <v>41279.838252314818</v>
      </c>
      <c r="J1007" s="1" t="s">
        <v>40</v>
      </c>
      <c r="K1007" s="1" t="s">
        <v>18</v>
      </c>
      <c r="L1007" s="1" t="s">
        <v>19</v>
      </c>
      <c r="Q1007" s="21"/>
    </row>
    <row r="1008" spans="1:18" x14ac:dyDescent="0.15">
      <c r="A1008" s="1">
        <v>167924</v>
      </c>
      <c r="B1008" s="1">
        <v>1</v>
      </c>
      <c r="C1008" s="1" t="s">
        <v>527</v>
      </c>
      <c r="D1008" s="1" t="s">
        <v>27</v>
      </c>
      <c r="E1008" s="1" t="s">
        <v>512</v>
      </c>
      <c r="F1008" s="1" t="s">
        <v>772</v>
      </c>
      <c r="G1008" s="1" t="s">
        <v>23</v>
      </c>
      <c r="I1008" s="18">
        <v>41275.115682870368</v>
      </c>
      <c r="J1008" s="1" t="s">
        <v>40</v>
      </c>
      <c r="K1008" s="1" t="s">
        <v>18</v>
      </c>
      <c r="L1008" s="1" t="s">
        <v>19</v>
      </c>
      <c r="M1008" s="1">
        <v>241123</v>
      </c>
      <c r="N1008" s="1" t="s">
        <v>773</v>
      </c>
      <c r="O1008" s="18">
        <v>41409.728090277778</v>
      </c>
      <c r="P1008" s="1" t="s">
        <v>44</v>
      </c>
      <c r="Q1008" s="21">
        <f t="shared" si="16"/>
        <v>134.6124074074105</v>
      </c>
      <c r="R1008" s="1"/>
    </row>
    <row r="1009" spans="1:18" x14ac:dyDescent="0.15">
      <c r="A1009" s="1">
        <v>167840</v>
      </c>
      <c r="B1009" s="1">
        <v>0</v>
      </c>
      <c r="C1009" s="1" t="s">
        <v>170</v>
      </c>
      <c r="D1009" s="1" t="s">
        <v>3714</v>
      </c>
      <c r="E1009" s="1" t="s">
        <v>3758</v>
      </c>
      <c r="F1009" s="1" t="s">
        <v>3759</v>
      </c>
      <c r="G1009" s="1" t="s">
        <v>3760</v>
      </c>
      <c r="H1009" s="1"/>
      <c r="I1009" s="18">
        <v>41272.709791666668</v>
      </c>
      <c r="J1009" s="1" t="s">
        <v>193</v>
      </c>
      <c r="K1009" s="1" t="s">
        <v>18</v>
      </c>
      <c r="L1009" s="1" t="s">
        <v>19</v>
      </c>
      <c r="Q1009" s="21"/>
    </row>
    <row r="1010" spans="1:18" x14ac:dyDescent="0.15">
      <c r="A1010" s="1">
        <v>167827</v>
      </c>
      <c r="B1010" s="1">
        <v>0</v>
      </c>
      <c r="C1010" s="1" t="s">
        <v>26</v>
      </c>
      <c r="D1010" s="1" t="s">
        <v>27</v>
      </c>
      <c r="E1010" s="1" t="s">
        <v>1167</v>
      </c>
      <c r="F1010" s="1" t="s">
        <v>581</v>
      </c>
      <c r="G1010" s="1" t="s">
        <v>23</v>
      </c>
      <c r="I1010" s="18">
        <v>41272.130243055559</v>
      </c>
      <c r="J1010" s="1" t="s">
        <v>40</v>
      </c>
      <c r="K1010" s="1" t="s">
        <v>18</v>
      </c>
      <c r="L1010" s="1" t="s">
        <v>19</v>
      </c>
      <c r="Q1010" s="21"/>
    </row>
    <row r="1011" spans="1:18" x14ac:dyDescent="0.15">
      <c r="A1011" s="1">
        <v>167780</v>
      </c>
      <c r="B1011" s="1">
        <v>0</v>
      </c>
      <c r="C1011" s="1" t="s">
        <v>26</v>
      </c>
      <c r="D1011" s="1" t="s">
        <v>27</v>
      </c>
      <c r="E1011" s="1" t="s">
        <v>1247</v>
      </c>
      <c r="F1011" s="1" t="s">
        <v>395</v>
      </c>
      <c r="G1011" s="1" t="s">
        <v>23</v>
      </c>
      <c r="I1011" s="18">
        <v>41271.776516203703</v>
      </c>
      <c r="J1011" s="1" t="s">
        <v>40</v>
      </c>
      <c r="K1011" s="1" t="s">
        <v>18</v>
      </c>
      <c r="L1011" s="1" t="s">
        <v>19</v>
      </c>
      <c r="Q1011" s="21"/>
    </row>
    <row r="1012" spans="1:18" x14ac:dyDescent="0.15">
      <c r="A1012" s="1">
        <v>167728</v>
      </c>
      <c r="B1012" s="1">
        <v>0</v>
      </c>
      <c r="C1012" s="1" t="s">
        <v>41</v>
      </c>
      <c r="D1012" s="1" t="s">
        <v>27</v>
      </c>
      <c r="E1012" s="1" t="s">
        <v>1745</v>
      </c>
      <c r="F1012" s="1" t="s">
        <v>1746</v>
      </c>
      <c r="G1012" s="1" t="s">
        <v>23</v>
      </c>
      <c r="I1012" s="18">
        <v>41271.063530092593</v>
      </c>
      <c r="J1012" s="1" t="s">
        <v>40</v>
      </c>
      <c r="K1012" s="1" t="s">
        <v>18</v>
      </c>
      <c r="L1012" s="1" t="s">
        <v>19</v>
      </c>
      <c r="Q1012" s="21"/>
    </row>
    <row r="1013" spans="1:18" x14ac:dyDescent="0.15">
      <c r="A1013" s="1">
        <v>167147</v>
      </c>
      <c r="B1013" s="1">
        <v>0</v>
      </c>
      <c r="C1013" s="1" t="s">
        <v>26</v>
      </c>
      <c r="D1013" s="1" t="s">
        <v>27</v>
      </c>
      <c r="E1013" s="1" t="s">
        <v>965</v>
      </c>
      <c r="F1013" s="1" t="s">
        <v>581</v>
      </c>
      <c r="G1013" s="1" t="s">
        <v>23</v>
      </c>
      <c r="I1013" s="18">
        <v>41263.900752314818</v>
      </c>
      <c r="J1013" s="1" t="s">
        <v>40</v>
      </c>
      <c r="K1013" s="1" t="s">
        <v>18</v>
      </c>
      <c r="L1013" s="1" t="s">
        <v>19</v>
      </c>
      <c r="Q1013" s="21"/>
    </row>
    <row r="1014" spans="1:18" x14ac:dyDescent="0.15">
      <c r="A1014" s="1">
        <v>166795</v>
      </c>
      <c r="B1014" s="1">
        <v>0</v>
      </c>
      <c r="C1014" s="1" t="s">
        <v>967</v>
      </c>
      <c r="D1014" s="1" t="s">
        <v>27</v>
      </c>
      <c r="E1014" s="1" t="s">
        <v>2322</v>
      </c>
      <c r="F1014" s="1" t="s">
        <v>2323</v>
      </c>
      <c r="G1014" s="1" t="s">
        <v>23</v>
      </c>
      <c r="I1014" s="18">
        <v>41262.094594907408</v>
      </c>
      <c r="J1014" s="1" t="s">
        <v>151</v>
      </c>
      <c r="K1014" s="1" t="s">
        <v>18</v>
      </c>
      <c r="L1014" s="1" t="s">
        <v>19</v>
      </c>
      <c r="Q1014" s="21"/>
    </row>
    <row r="1015" spans="1:18" x14ac:dyDescent="0.15">
      <c r="A1015" s="1">
        <v>166708</v>
      </c>
      <c r="B1015" s="1">
        <v>0</v>
      </c>
      <c r="C1015" s="1" t="s">
        <v>1168</v>
      </c>
      <c r="D1015" s="1" t="s">
        <v>27</v>
      </c>
      <c r="E1015" s="1" t="s">
        <v>1169</v>
      </c>
      <c r="F1015" s="1" t="s">
        <v>1170</v>
      </c>
      <c r="G1015" s="1" t="s">
        <v>23</v>
      </c>
      <c r="I1015" s="18">
        <v>41261.878229166665</v>
      </c>
      <c r="J1015" s="1" t="s">
        <v>1171</v>
      </c>
      <c r="K1015" s="1" t="s">
        <v>18</v>
      </c>
      <c r="L1015" s="1" t="s">
        <v>19</v>
      </c>
      <c r="Q1015" s="21"/>
    </row>
    <row r="1016" spans="1:18" x14ac:dyDescent="0.15">
      <c r="A1016" s="1">
        <v>166523</v>
      </c>
      <c r="B1016" s="1">
        <v>0</v>
      </c>
      <c r="C1016" s="1" t="s">
        <v>3874</v>
      </c>
      <c r="D1016" s="1" t="s">
        <v>3714</v>
      </c>
      <c r="E1016" s="1" t="s">
        <v>3875</v>
      </c>
      <c r="F1016" s="1" t="s">
        <v>3876</v>
      </c>
      <c r="G1016" s="1" t="s">
        <v>540</v>
      </c>
      <c r="I1016" s="18">
        <v>41260.96298611111</v>
      </c>
      <c r="J1016" s="1" t="s">
        <v>3877</v>
      </c>
      <c r="K1016" s="1" t="s">
        <v>18</v>
      </c>
      <c r="L1016" s="1" t="s">
        <v>19</v>
      </c>
      <c r="Q1016" s="21"/>
    </row>
    <row r="1017" spans="1:18" x14ac:dyDescent="0.15">
      <c r="A1017" s="1">
        <v>166324</v>
      </c>
      <c r="B1017" s="1">
        <v>0</v>
      </c>
      <c r="C1017" s="1" t="s">
        <v>527</v>
      </c>
      <c r="D1017" s="1" t="s">
        <v>27</v>
      </c>
      <c r="E1017" s="1" t="s">
        <v>1471</v>
      </c>
      <c r="F1017" s="1" t="s">
        <v>581</v>
      </c>
      <c r="G1017" s="1" t="s">
        <v>23</v>
      </c>
      <c r="I1017" s="18">
        <v>41258.752881944441</v>
      </c>
      <c r="J1017" s="1" t="s">
        <v>40</v>
      </c>
      <c r="K1017" s="1" t="s">
        <v>18</v>
      </c>
      <c r="L1017" s="1" t="s">
        <v>19</v>
      </c>
      <c r="Q1017" s="21"/>
    </row>
    <row r="1018" spans="1:18" x14ac:dyDescent="0.15">
      <c r="A1018" s="1">
        <v>165864</v>
      </c>
      <c r="B1018" s="1">
        <v>0</v>
      </c>
      <c r="D1018" s="1" t="s">
        <v>27</v>
      </c>
      <c r="E1018" s="1" t="s">
        <v>69</v>
      </c>
      <c r="F1018" s="1" t="s">
        <v>70</v>
      </c>
      <c r="G1018" s="1" t="s">
        <v>71</v>
      </c>
      <c r="I1018" s="18">
        <v>41256.230104166665</v>
      </c>
      <c r="J1018" s="1" t="s">
        <v>72</v>
      </c>
      <c r="K1018" s="1" t="s">
        <v>18</v>
      </c>
      <c r="L1018" s="1" t="s">
        <v>19</v>
      </c>
      <c r="Q1018" s="21"/>
    </row>
    <row r="1019" spans="1:18" x14ac:dyDescent="0.15">
      <c r="A1019" s="1">
        <v>165601</v>
      </c>
      <c r="B1019" s="1">
        <v>0</v>
      </c>
      <c r="C1019" s="1" t="s">
        <v>170</v>
      </c>
      <c r="D1019" s="1" t="s">
        <v>27</v>
      </c>
      <c r="E1019" s="1" t="s">
        <v>2487</v>
      </c>
      <c r="F1019" s="1" t="s">
        <v>2488</v>
      </c>
      <c r="G1019" s="1" t="s">
        <v>23</v>
      </c>
      <c r="I1019" s="18">
        <v>41255.091678240744</v>
      </c>
      <c r="J1019" s="1" t="s">
        <v>40</v>
      </c>
      <c r="K1019" s="1" t="s">
        <v>18</v>
      </c>
      <c r="L1019" s="1" t="s">
        <v>19</v>
      </c>
      <c r="Q1019" s="21"/>
    </row>
    <row r="1020" spans="1:18" x14ac:dyDescent="0.15">
      <c r="A1020" s="1">
        <v>165538</v>
      </c>
      <c r="B1020" s="1">
        <v>0</v>
      </c>
      <c r="C1020" s="1" t="s">
        <v>194</v>
      </c>
      <c r="D1020" s="1" t="s">
        <v>27</v>
      </c>
      <c r="E1020" s="1" t="s">
        <v>3197</v>
      </c>
      <c r="F1020" s="1" t="s">
        <v>3198</v>
      </c>
      <c r="G1020" s="1" t="s">
        <v>23</v>
      </c>
      <c r="I1020" s="18">
        <v>41254.874247685184</v>
      </c>
      <c r="J1020" s="1" t="s">
        <v>151</v>
      </c>
      <c r="K1020" s="1" t="s">
        <v>18</v>
      </c>
      <c r="L1020" s="1" t="s">
        <v>19</v>
      </c>
      <c r="Q1020" s="21"/>
    </row>
    <row r="1021" spans="1:18" x14ac:dyDescent="0.15">
      <c r="A1021" s="1">
        <v>165432</v>
      </c>
      <c r="B1021" s="1">
        <v>0</v>
      </c>
      <c r="C1021" s="1" t="s">
        <v>26</v>
      </c>
      <c r="D1021" s="1" t="s">
        <v>27</v>
      </c>
      <c r="E1021" s="1" t="s">
        <v>703</v>
      </c>
      <c r="F1021" s="1" t="s">
        <v>704</v>
      </c>
      <c r="G1021" s="1" t="s">
        <v>23</v>
      </c>
      <c r="I1021" s="18">
        <v>41254.510648148149</v>
      </c>
      <c r="J1021" s="1" t="s">
        <v>705</v>
      </c>
      <c r="K1021" s="1" t="s">
        <v>18</v>
      </c>
      <c r="L1021" s="1" t="s">
        <v>19</v>
      </c>
      <c r="Q1021" s="21"/>
    </row>
    <row r="1022" spans="1:18" x14ac:dyDescent="0.15">
      <c r="A1022" s="1">
        <v>164682</v>
      </c>
      <c r="B1022" s="1">
        <v>1</v>
      </c>
      <c r="C1022" s="1" t="s">
        <v>682</v>
      </c>
      <c r="D1022" s="1" t="s">
        <v>27</v>
      </c>
      <c r="E1022" s="1" t="s">
        <v>1642</v>
      </c>
      <c r="F1022" s="1" t="s">
        <v>1643</v>
      </c>
      <c r="G1022" s="1" t="s">
        <v>23</v>
      </c>
      <c r="I1022" s="18">
        <v>41249.883912037039</v>
      </c>
      <c r="J1022" s="1" t="s">
        <v>1171</v>
      </c>
      <c r="K1022" s="1" t="s">
        <v>18</v>
      </c>
      <c r="L1022" s="1" t="s">
        <v>19</v>
      </c>
      <c r="M1022" s="1">
        <v>164634</v>
      </c>
      <c r="N1022" s="1" t="s">
        <v>1644</v>
      </c>
      <c r="O1022" s="18">
        <v>41249.790208333332</v>
      </c>
      <c r="P1022" s="1" t="s">
        <v>1645</v>
      </c>
      <c r="Q1022" s="21">
        <f t="shared" si="16"/>
        <v>9.3703703707433306E-2</v>
      </c>
      <c r="R1022" s="1"/>
    </row>
    <row r="1023" spans="1:18" x14ac:dyDescent="0.15">
      <c r="A1023" s="1">
        <v>164643</v>
      </c>
      <c r="B1023" s="1">
        <v>0</v>
      </c>
      <c r="C1023" s="1" t="s">
        <v>1804</v>
      </c>
      <c r="D1023" s="1" t="s">
        <v>27</v>
      </c>
      <c r="E1023" s="1" t="s">
        <v>2422</v>
      </c>
      <c r="F1023" s="1" t="s">
        <v>2423</v>
      </c>
      <c r="G1023" s="1" t="s">
        <v>23</v>
      </c>
      <c r="I1023" s="18">
        <v>41249.81454861111</v>
      </c>
      <c r="J1023" s="1" t="s">
        <v>2424</v>
      </c>
      <c r="K1023" s="1" t="s">
        <v>18</v>
      </c>
      <c r="L1023" s="1" t="s">
        <v>19</v>
      </c>
      <c r="Q1023" s="21"/>
    </row>
    <row r="1024" spans="1:18" x14ac:dyDescent="0.15">
      <c r="A1024" s="1">
        <v>164582</v>
      </c>
      <c r="B1024" s="1">
        <v>0</v>
      </c>
      <c r="C1024" s="1" t="s">
        <v>26</v>
      </c>
      <c r="D1024" s="1" t="s">
        <v>27</v>
      </c>
      <c r="E1024" s="1" t="s">
        <v>117</v>
      </c>
      <c r="F1024" s="1" t="s">
        <v>118</v>
      </c>
      <c r="G1024" s="1" t="s">
        <v>23</v>
      </c>
      <c r="I1024" s="18">
        <v>41249.589016203703</v>
      </c>
      <c r="J1024" s="1" t="s">
        <v>40</v>
      </c>
      <c r="K1024" s="1" t="s">
        <v>18</v>
      </c>
      <c r="L1024" s="1" t="s">
        <v>19</v>
      </c>
      <c r="Q1024" s="21"/>
    </row>
    <row r="1025" spans="1:22" x14ac:dyDescent="0.15">
      <c r="A1025" s="1">
        <v>164581</v>
      </c>
      <c r="B1025" s="1">
        <v>1</v>
      </c>
      <c r="C1025" s="1" t="s">
        <v>26</v>
      </c>
      <c r="D1025" s="1" t="s">
        <v>27</v>
      </c>
      <c r="E1025" s="1" t="s">
        <v>480</v>
      </c>
      <c r="F1025" s="1" t="s">
        <v>395</v>
      </c>
      <c r="G1025" s="1" t="s">
        <v>23</v>
      </c>
      <c r="I1025" s="18">
        <v>41249.588541666664</v>
      </c>
      <c r="J1025" s="1" t="s">
        <v>40</v>
      </c>
      <c r="K1025" s="1" t="s">
        <v>18</v>
      </c>
      <c r="L1025" s="1" t="s">
        <v>19</v>
      </c>
      <c r="M1025" s="1">
        <v>166378</v>
      </c>
      <c r="N1025" s="1" t="s">
        <v>481</v>
      </c>
      <c r="O1025" s="18">
        <v>41260.23060185185</v>
      </c>
      <c r="P1025" s="1" t="s">
        <v>76</v>
      </c>
      <c r="Q1025" s="21">
        <f t="shared" si="16"/>
        <v>10.642060185185983</v>
      </c>
      <c r="R1025" s="1"/>
    </row>
    <row r="1026" spans="1:22" x14ac:dyDescent="0.15">
      <c r="A1026" s="1">
        <v>164565</v>
      </c>
      <c r="B1026" s="1">
        <v>0</v>
      </c>
      <c r="C1026" s="1" t="s">
        <v>26</v>
      </c>
      <c r="D1026" s="1" t="s">
        <v>27</v>
      </c>
      <c r="E1026" s="1" t="s">
        <v>3239</v>
      </c>
      <c r="F1026" s="1" t="s">
        <v>3240</v>
      </c>
      <c r="G1026" s="1" t="s">
        <v>23</v>
      </c>
      <c r="I1026" s="18">
        <v>41249.456400462965</v>
      </c>
      <c r="J1026" s="1" t="s">
        <v>3241</v>
      </c>
      <c r="K1026" s="1" t="s">
        <v>18</v>
      </c>
      <c r="L1026" s="1" t="s">
        <v>19</v>
      </c>
      <c r="Q1026" s="21"/>
    </row>
    <row r="1027" spans="1:22" x14ac:dyDescent="0.15">
      <c r="A1027" s="1">
        <v>164263</v>
      </c>
      <c r="B1027" s="1">
        <v>0</v>
      </c>
      <c r="C1027" s="1" t="s">
        <v>527</v>
      </c>
      <c r="D1027" s="1" t="s">
        <v>27</v>
      </c>
      <c r="E1027" s="1" t="s">
        <v>1028</v>
      </c>
      <c r="F1027" s="1" t="s">
        <v>1029</v>
      </c>
      <c r="G1027" s="1" t="s">
        <v>23</v>
      </c>
      <c r="I1027" s="18">
        <v>41247.954606481479</v>
      </c>
      <c r="J1027" s="1" t="s">
        <v>40</v>
      </c>
      <c r="K1027" s="1" t="s">
        <v>18</v>
      </c>
      <c r="L1027" s="1" t="s">
        <v>19</v>
      </c>
      <c r="Q1027" s="21"/>
    </row>
    <row r="1028" spans="1:22" x14ac:dyDescent="0.15">
      <c r="A1028" s="1">
        <v>163994</v>
      </c>
      <c r="B1028" s="1">
        <v>0</v>
      </c>
      <c r="C1028" s="1" t="s">
        <v>26</v>
      </c>
      <c r="D1028" s="1" t="s">
        <v>27</v>
      </c>
      <c r="E1028" s="1" t="s">
        <v>1599</v>
      </c>
      <c r="F1028" s="1" t="s">
        <v>707</v>
      </c>
      <c r="G1028" s="1" t="s">
        <v>23</v>
      </c>
      <c r="I1028" s="18">
        <v>41246.866319444445</v>
      </c>
      <c r="J1028" s="1" t="s">
        <v>40</v>
      </c>
      <c r="K1028" s="1" t="s">
        <v>18</v>
      </c>
      <c r="L1028" s="1" t="s">
        <v>19</v>
      </c>
      <c r="Q1028" s="21"/>
    </row>
    <row r="1029" spans="1:22" x14ac:dyDescent="0.15">
      <c r="A1029" s="1">
        <v>163593</v>
      </c>
      <c r="B1029" s="1">
        <v>0</v>
      </c>
      <c r="C1029" s="1" t="s">
        <v>26</v>
      </c>
      <c r="D1029" s="1" t="s">
        <v>27</v>
      </c>
      <c r="E1029" s="1" t="s">
        <v>2568</v>
      </c>
      <c r="F1029" s="1" t="s">
        <v>2569</v>
      </c>
      <c r="G1029" s="1" t="s">
        <v>23</v>
      </c>
      <c r="I1029" s="18">
        <v>41243.631296296298</v>
      </c>
      <c r="J1029" s="1" t="s">
        <v>155</v>
      </c>
      <c r="K1029" s="1" t="s">
        <v>18</v>
      </c>
      <c r="L1029" s="1" t="s">
        <v>19</v>
      </c>
      <c r="Q1029" s="21"/>
    </row>
    <row r="1030" spans="1:22" x14ac:dyDescent="0.15">
      <c r="A1030" s="1">
        <v>163218</v>
      </c>
      <c r="B1030" s="1">
        <v>0</v>
      </c>
      <c r="C1030" s="1" t="s">
        <v>26</v>
      </c>
      <c r="D1030" s="1" t="s">
        <v>27</v>
      </c>
      <c r="E1030" s="1" t="s">
        <v>394</v>
      </c>
      <c r="F1030" s="1" t="s">
        <v>395</v>
      </c>
      <c r="G1030" s="1" t="s">
        <v>23</v>
      </c>
      <c r="I1030" s="18">
        <v>41241.949131944442</v>
      </c>
      <c r="J1030" s="1" t="s">
        <v>40</v>
      </c>
      <c r="K1030" s="1" t="s">
        <v>18</v>
      </c>
      <c r="L1030" s="1" t="s">
        <v>19</v>
      </c>
      <c r="Q1030" s="21"/>
    </row>
    <row r="1031" spans="1:22" x14ac:dyDescent="0.15">
      <c r="A1031" s="1">
        <v>163110</v>
      </c>
      <c r="B1031" s="1">
        <v>0</v>
      </c>
      <c r="C1031" s="1" t="s">
        <v>26</v>
      </c>
      <c r="D1031" s="1" t="s">
        <v>27</v>
      </c>
      <c r="E1031" s="1" t="s">
        <v>2894</v>
      </c>
      <c r="F1031" s="1" t="s">
        <v>707</v>
      </c>
      <c r="G1031" s="1" t="s">
        <v>23</v>
      </c>
      <c r="I1031" s="18">
        <v>41241.572557870371</v>
      </c>
      <c r="J1031" s="1" t="s">
        <v>40</v>
      </c>
      <c r="K1031" s="1" t="s">
        <v>18</v>
      </c>
      <c r="L1031" s="1" t="s">
        <v>19</v>
      </c>
      <c r="Q1031" s="21"/>
    </row>
    <row r="1032" spans="1:22" x14ac:dyDescent="0.15">
      <c r="A1032" s="1">
        <v>162896</v>
      </c>
      <c r="B1032" s="1">
        <v>0</v>
      </c>
      <c r="C1032" s="1" t="s">
        <v>26</v>
      </c>
      <c r="D1032" s="1" t="s">
        <v>27</v>
      </c>
      <c r="E1032" s="1" t="s">
        <v>3187</v>
      </c>
      <c r="F1032" s="1" t="s">
        <v>3188</v>
      </c>
      <c r="G1032" s="1" t="s">
        <v>23</v>
      </c>
      <c r="I1032" s="18">
        <v>41240.687592592592</v>
      </c>
      <c r="J1032" s="1" t="s">
        <v>40</v>
      </c>
      <c r="K1032" s="1" t="s">
        <v>18</v>
      </c>
      <c r="L1032" s="1" t="s">
        <v>19</v>
      </c>
      <c r="Q1032" s="21"/>
    </row>
    <row r="1033" spans="1:22" x14ac:dyDescent="0.15">
      <c r="A1033" s="1">
        <v>162835</v>
      </c>
      <c r="B1033" s="1">
        <v>0</v>
      </c>
      <c r="C1033" s="1" t="s">
        <v>200</v>
      </c>
      <c r="D1033" s="1" t="s">
        <v>27</v>
      </c>
      <c r="E1033" s="1" t="s">
        <v>201</v>
      </c>
      <c r="F1033" s="1" t="s">
        <v>202</v>
      </c>
      <c r="G1033" s="1" t="s">
        <v>23</v>
      </c>
      <c r="I1033" s="18">
        <v>41240.513715277775</v>
      </c>
      <c r="J1033" s="1" t="s">
        <v>151</v>
      </c>
      <c r="K1033" s="1" t="s">
        <v>18</v>
      </c>
      <c r="L1033" s="1" t="s">
        <v>19</v>
      </c>
      <c r="Q1033" s="21"/>
    </row>
    <row r="1034" spans="1:22" x14ac:dyDescent="0.15">
      <c r="A1034" s="1">
        <v>162778</v>
      </c>
      <c r="B1034" s="1">
        <v>0</v>
      </c>
      <c r="C1034" s="1" t="s">
        <v>477</v>
      </c>
      <c r="D1034" s="1" t="s">
        <v>27</v>
      </c>
      <c r="E1034" s="1" t="s">
        <v>1770</v>
      </c>
      <c r="F1034" s="1" t="s">
        <v>1771</v>
      </c>
      <c r="G1034" s="1" t="s">
        <v>23</v>
      </c>
      <c r="I1034" s="18">
        <v>41240.152696759258</v>
      </c>
      <c r="J1034" s="1" t="s">
        <v>151</v>
      </c>
      <c r="K1034" s="1" t="s">
        <v>18</v>
      </c>
      <c r="L1034" s="1" t="s">
        <v>19</v>
      </c>
      <c r="Q1034" s="21"/>
    </row>
    <row r="1035" spans="1:22" x14ac:dyDescent="0.15">
      <c r="A1035" s="1">
        <v>162653</v>
      </c>
      <c r="B1035" s="1">
        <v>0</v>
      </c>
      <c r="C1035" s="1" t="s">
        <v>26</v>
      </c>
      <c r="D1035" s="1" t="s">
        <v>3911</v>
      </c>
      <c r="E1035" s="1" t="s">
        <v>3972</v>
      </c>
      <c r="F1035" s="1" t="s">
        <v>3973</v>
      </c>
      <c r="G1035" s="1" t="s">
        <v>23</v>
      </c>
      <c r="I1035" s="18">
        <v>41239.754340277781</v>
      </c>
      <c r="J1035" s="1" t="s">
        <v>40</v>
      </c>
      <c r="K1035" s="1" t="s">
        <v>18</v>
      </c>
      <c r="L1035" s="1" t="s">
        <v>19</v>
      </c>
      <c r="Q1035" s="21"/>
    </row>
    <row r="1036" spans="1:22" x14ac:dyDescent="0.15">
      <c r="A1036" s="1">
        <v>162622</v>
      </c>
      <c r="B1036" s="1">
        <v>2</v>
      </c>
      <c r="C1036" s="1" t="s">
        <v>527</v>
      </c>
      <c r="D1036" s="1" t="s">
        <v>27</v>
      </c>
      <c r="E1036" s="1" t="s">
        <v>1138</v>
      </c>
      <c r="F1036" s="1" t="s">
        <v>395</v>
      </c>
      <c r="G1036" s="1" t="s">
        <v>23</v>
      </c>
      <c r="I1036" s="18">
        <v>41239.556388888886</v>
      </c>
      <c r="J1036" s="1" t="s">
        <v>40</v>
      </c>
      <c r="K1036" s="1" t="s">
        <v>18</v>
      </c>
      <c r="L1036" s="1" t="s">
        <v>19</v>
      </c>
      <c r="M1036" s="1">
        <v>167423</v>
      </c>
      <c r="N1036" s="1" t="s">
        <v>1139</v>
      </c>
      <c r="O1036" s="18">
        <v>41265.438946759263</v>
      </c>
      <c r="P1036" s="1" t="s">
        <v>44</v>
      </c>
      <c r="Q1036" s="21">
        <f t="shared" ref="Q1036:Q1084" si="17">ABS(O1036-I1036)</f>
        <v>25.882557870376331</v>
      </c>
      <c r="R1036" s="1">
        <v>166043</v>
      </c>
      <c r="S1036" s="1" t="s">
        <v>1139</v>
      </c>
      <c r="T1036" s="2" t="s">
        <v>4153</v>
      </c>
      <c r="U1036" s="1" t="s">
        <v>408</v>
      </c>
      <c r="V1036" s="1"/>
    </row>
    <row r="1037" spans="1:22" x14ac:dyDescent="0.15">
      <c r="A1037" s="1">
        <v>162620</v>
      </c>
      <c r="B1037" s="1">
        <v>0</v>
      </c>
      <c r="C1037" s="1" t="s">
        <v>26</v>
      </c>
      <c r="D1037" s="1" t="s">
        <v>27</v>
      </c>
      <c r="E1037" s="1" t="s">
        <v>1137</v>
      </c>
      <c r="F1037" s="1" t="s">
        <v>707</v>
      </c>
      <c r="G1037" s="1" t="s">
        <v>23</v>
      </c>
      <c r="I1037" s="18">
        <v>41239.552025462966</v>
      </c>
      <c r="J1037" s="1" t="s">
        <v>40</v>
      </c>
      <c r="K1037" s="1" t="s">
        <v>18</v>
      </c>
      <c r="L1037" s="1" t="s">
        <v>19</v>
      </c>
      <c r="Q1037" s="21"/>
    </row>
    <row r="1038" spans="1:22" x14ac:dyDescent="0.15">
      <c r="A1038" s="1">
        <v>162494</v>
      </c>
      <c r="B1038" s="1">
        <v>0</v>
      </c>
      <c r="C1038" s="1" t="s">
        <v>41</v>
      </c>
      <c r="D1038" s="1" t="s">
        <v>27</v>
      </c>
      <c r="E1038" s="1" t="s">
        <v>3230</v>
      </c>
      <c r="F1038" s="1" t="s">
        <v>3231</v>
      </c>
      <c r="G1038" s="1" t="s">
        <v>23</v>
      </c>
      <c r="I1038" s="18">
        <v>41236.814108796294</v>
      </c>
      <c r="J1038" s="1" t="s">
        <v>408</v>
      </c>
      <c r="K1038" s="1" t="s">
        <v>18</v>
      </c>
      <c r="L1038" s="1" t="s">
        <v>19</v>
      </c>
      <c r="Q1038" s="21"/>
    </row>
    <row r="1039" spans="1:22" x14ac:dyDescent="0.15">
      <c r="A1039" s="1">
        <v>162153</v>
      </c>
      <c r="B1039" s="1">
        <v>0</v>
      </c>
      <c r="C1039" s="1" t="s">
        <v>477</v>
      </c>
      <c r="D1039" s="1" t="s">
        <v>27</v>
      </c>
      <c r="E1039" s="1" t="s">
        <v>2544</v>
      </c>
      <c r="F1039" s="1" t="s">
        <v>2545</v>
      </c>
      <c r="G1039" s="1" t="s">
        <v>23</v>
      </c>
      <c r="I1039" s="18">
        <v>41234.050370370373</v>
      </c>
      <c r="J1039" s="1" t="s">
        <v>151</v>
      </c>
      <c r="K1039" s="1" t="s">
        <v>18</v>
      </c>
      <c r="L1039" s="1" t="s">
        <v>19</v>
      </c>
      <c r="Q1039" s="21"/>
    </row>
    <row r="1040" spans="1:22" x14ac:dyDescent="0.15">
      <c r="A1040" s="1">
        <v>162114</v>
      </c>
      <c r="B1040" s="1">
        <v>0</v>
      </c>
      <c r="C1040" s="1" t="s">
        <v>170</v>
      </c>
      <c r="D1040" s="1" t="s">
        <v>27</v>
      </c>
      <c r="E1040" s="1" t="s">
        <v>1631</v>
      </c>
      <c r="F1040" s="1" t="s">
        <v>1632</v>
      </c>
      <c r="G1040" s="1"/>
      <c r="H1040" s="1"/>
      <c r="I1040" s="18">
        <v>41233.899930555555</v>
      </c>
      <c r="J1040" s="1" t="s">
        <v>193</v>
      </c>
      <c r="K1040" s="1" t="s">
        <v>18</v>
      </c>
      <c r="L1040" s="1" t="s">
        <v>19</v>
      </c>
      <c r="Q1040" s="21"/>
    </row>
    <row r="1041" spans="1:18" x14ac:dyDescent="0.15">
      <c r="A1041" s="1">
        <v>161690</v>
      </c>
      <c r="B1041" s="1">
        <v>0</v>
      </c>
      <c r="C1041" s="1" t="s">
        <v>26</v>
      </c>
      <c r="D1041" s="1" t="s">
        <v>27</v>
      </c>
      <c r="E1041" s="1" t="s">
        <v>119</v>
      </c>
      <c r="F1041" s="1" t="s">
        <v>120</v>
      </c>
      <c r="G1041" s="1" t="s">
        <v>23</v>
      </c>
      <c r="I1041" s="18">
        <v>41231.89340277778</v>
      </c>
      <c r="J1041" s="1" t="s">
        <v>40</v>
      </c>
      <c r="K1041" s="1" t="s">
        <v>18</v>
      </c>
      <c r="L1041" s="1" t="s">
        <v>19</v>
      </c>
      <c r="Q1041" s="21"/>
    </row>
    <row r="1042" spans="1:18" x14ac:dyDescent="0.15">
      <c r="A1042" s="1">
        <v>161639</v>
      </c>
      <c r="B1042" s="1">
        <v>0</v>
      </c>
      <c r="C1042" s="1" t="s">
        <v>340</v>
      </c>
      <c r="D1042" s="1" t="s">
        <v>27</v>
      </c>
      <c r="E1042" s="1" t="s">
        <v>534</v>
      </c>
      <c r="F1042" s="1" t="s">
        <v>535</v>
      </c>
      <c r="G1042" s="1"/>
      <c r="H1042" s="1"/>
      <c r="I1042" s="18">
        <v>41230.884722222225</v>
      </c>
      <c r="J1042" s="1" t="s">
        <v>536</v>
      </c>
      <c r="K1042" s="1" t="s">
        <v>18</v>
      </c>
      <c r="L1042" s="1" t="s">
        <v>19</v>
      </c>
      <c r="Q1042" s="21"/>
    </row>
    <row r="1043" spans="1:18" x14ac:dyDescent="0.15">
      <c r="A1043" s="1">
        <v>161564</v>
      </c>
      <c r="B1043" s="1">
        <v>0</v>
      </c>
      <c r="C1043" s="1" t="s">
        <v>170</v>
      </c>
      <c r="D1043" s="1" t="s">
        <v>27</v>
      </c>
      <c r="E1043" s="1" t="s">
        <v>1938</v>
      </c>
      <c r="F1043" s="1" t="s">
        <v>1939</v>
      </c>
      <c r="G1043" s="1" t="s">
        <v>23</v>
      </c>
      <c r="I1043" s="18">
        <v>41229.948113425926</v>
      </c>
      <c r="J1043" s="1" t="s">
        <v>193</v>
      </c>
      <c r="K1043" s="1" t="s">
        <v>18</v>
      </c>
      <c r="L1043" s="1" t="s">
        <v>19</v>
      </c>
      <c r="Q1043" s="21"/>
    </row>
    <row r="1044" spans="1:18" x14ac:dyDescent="0.15">
      <c r="A1044" s="1">
        <v>161077</v>
      </c>
      <c r="B1044" s="1">
        <v>0</v>
      </c>
      <c r="C1044" s="1" t="s">
        <v>414</v>
      </c>
      <c r="D1044" s="1" t="s">
        <v>27</v>
      </c>
      <c r="E1044" s="1" t="s">
        <v>415</v>
      </c>
      <c r="F1044" s="1" t="s">
        <v>416</v>
      </c>
      <c r="G1044" s="1" t="s">
        <v>23</v>
      </c>
      <c r="I1044" s="18">
        <v>41227.883067129631</v>
      </c>
      <c r="J1044" s="1" t="s">
        <v>408</v>
      </c>
      <c r="K1044" s="1" t="s">
        <v>18</v>
      </c>
      <c r="L1044" s="1" t="s">
        <v>19</v>
      </c>
      <c r="Q1044" s="21"/>
    </row>
    <row r="1045" spans="1:18" x14ac:dyDescent="0.15">
      <c r="A1045" s="1">
        <v>160803</v>
      </c>
      <c r="B1045" s="1">
        <v>0</v>
      </c>
      <c r="C1045" s="1" t="s">
        <v>170</v>
      </c>
      <c r="D1045" s="1" t="s">
        <v>27</v>
      </c>
      <c r="E1045" s="1" t="s">
        <v>3640</v>
      </c>
      <c r="F1045" s="1" t="s">
        <v>3641</v>
      </c>
      <c r="G1045" s="1" t="s">
        <v>23</v>
      </c>
      <c r="I1045" s="18">
        <v>41226.891828703701</v>
      </c>
      <c r="J1045" s="1" t="s">
        <v>106</v>
      </c>
      <c r="K1045" s="1" t="s">
        <v>3586</v>
      </c>
      <c r="L1045" s="1" t="s">
        <v>19</v>
      </c>
      <c r="Q1045" s="21"/>
    </row>
    <row r="1046" spans="1:18" x14ac:dyDescent="0.15">
      <c r="A1046" s="1">
        <v>160068</v>
      </c>
      <c r="B1046" s="1">
        <v>0</v>
      </c>
      <c r="C1046" s="1" t="s">
        <v>26</v>
      </c>
      <c r="D1046" s="1" t="s">
        <v>27</v>
      </c>
      <c r="E1046" s="1" t="s">
        <v>3156</v>
      </c>
      <c r="F1046" s="1" t="s">
        <v>3157</v>
      </c>
      <c r="G1046" s="1" t="s">
        <v>23</v>
      </c>
      <c r="I1046" s="18">
        <v>41221.742303240739</v>
      </c>
      <c r="J1046" s="1" t="s">
        <v>40</v>
      </c>
      <c r="K1046" s="1" t="s">
        <v>18</v>
      </c>
      <c r="L1046" s="1" t="s">
        <v>19</v>
      </c>
      <c r="Q1046" s="21"/>
    </row>
    <row r="1047" spans="1:18" x14ac:dyDescent="0.15">
      <c r="A1047" s="1">
        <v>159429</v>
      </c>
      <c r="B1047" s="1">
        <v>0</v>
      </c>
      <c r="C1047" s="1" t="s">
        <v>194</v>
      </c>
      <c r="D1047" s="1" t="s">
        <v>27</v>
      </c>
      <c r="E1047" s="1" t="s">
        <v>195</v>
      </c>
      <c r="F1047" s="1" t="s">
        <v>196</v>
      </c>
      <c r="G1047" s="1" t="s">
        <v>23</v>
      </c>
      <c r="I1047" s="18">
        <v>41218.698761574073</v>
      </c>
      <c r="J1047" s="1" t="s">
        <v>76</v>
      </c>
      <c r="K1047" s="1" t="s">
        <v>18</v>
      </c>
      <c r="L1047" s="1" t="s">
        <v>19</v>
      </c>
      <c r="Q1047" s="21"/>
    </row>
    <row r="1048" spans="1:18" x14ac:dyDescent="0.15">
      <c r="A1048" s="1">
        <v>159098</v>
      </c>
      <c r="B1048" s="1">
        <v>0</v>
      </c>
      <c r="C1048" s="1" t="s">
        <v>26</v>
      </c>
      <c r="D1048" s="1" t="s">
        <v>27</v>
      </c>
      <c r="E1048" s="1" t="s">
        <v>1262</v>
      </c>
      <c r="F1048" s="1" t="s">
        <v>120</v>
      </c>
      <c r="G1048" s="1" t="s">
        <v>23</v>
      </c>
      <c r="I1048" s="18">
        <v>41215.254305555558</v>
      </c>
      <c r="J1048" s="1" t="s">
        <v>40</v>
      </c>
      <c r="K1048" s="1" t="s">
        <v>18</v>
      </c>
      <c r="L1048" s="1" t="s">
        <v>19</v>
      </c>
      <c r="Q1048" s="21"/>
    </row>
    <row r="1049" spans="1:18" x14ac:dyDescent="0.15">
      <c r="A1049" s="1">
        <v>158898</v>
      </c>
      <c r="B1049" s="1">
        <v>0</v>
      </c>
      <c r="C1049" s="1" t="s">
        <v>26</v>
      </c>
      <c r="D1049" s="1" t="s">
        <v>27</v>
      </c>
      <c r="E1049" s="1" t="s">
        <v>1725</v>
      </c>
      <c r="F1049" s="1" t="s">
        <v>120</v>
      </c>
      <c r="G1049" s="1" t="s">
        <v>23</v>
      </c>
      <c r="I1049" s="18">
        <v>41214.240706018521</v>
      </c>
      <c r="J1049" s="1" t="s">
        <v>155</v>
      </c>
      <c r="K1049" s="1" t="s">
        <v>18</v>
      </c>
      <c r="L1049" s="1" t="s">
        <v>19</v>
      </c>
      <c r="Q1049" s="21"/>
    </row>
    <row r="1050" spans="1:18" x14ac:dyDescent="0.15">
      <c r="A1050" s="1">
        <v>158897</v>
      </c>
      <c r="B1050" s="1">
        <v>1</v>
      </c>
      <c r="C1050" s="1" t="s">
        <v>527</v>
      </c>
      <c r="D1050" s="1" t="s">
        <v>27</v>
      </c>
      <c r="E1050" s="1" t="s">
        <v>1776</v>
      </c>
      <c r="F1050" s="1" t="s">
        <v>395</v>
      </c>
      <c r="G1050" s="1" t="s">
        <v>23</v>
      </c>
      <c r="I1050" s="18">
        <v>41214.239247685182</v>
      </c>
      <c r="J1050" s="1" t="s">
        <v>40</v>
      </c>
      <c r="K1050" s="1" t="s">
        <v>18</v>
      </c>
      <c r="L1050" s="1" t="s">
        <v>19</v>
      </c>
      <c r="M1050" s="1">
        <v>164285</v>
      </c>
      <c r="N1050" s="1" t="s">
        <v>2481</v>
      </c>
      <c r="O1050" s="18">
        <v>41247.997164351851</v>
      </c>
      <c r="P1050" s="1" t="s">
        <v>408</v>
      </c>
      <c r="Q1050" s="21">
        <f t="shared" si="17"/>
        <v>33.757916666669189</v>
      </c>
      <c r="R1050" s="1"/>
    </row>
    <row r="1051" spans="1:18" x14ac:dyDescent="0.15">
      <c r="A1051" s="1">
        <v>158693</v>
      </c>
      <c r="B1051" s="1">
        <v>0</v>
      </c>
      <c r="C1051" s="1" t="s">
        <v>26</v>
      </c>
      <c r="D1051" s="1" t="s">
        <v>27</v>
      </c>
      <c r="E1051" s="1" t="s">
        <v>512</v>
      </c>
      <c r="F1051" s="1" t="s">
        <v>3434</v>
      </c>
      <c r="G1051" s="1" t="s">
        <v>23</v>
      </c>
      <c r="I1051" s="18">
        <v>41213.060185185182</v>
      </c>
      <c r="J1051" s="1" t="s">
        <v>40</v>
      </c>
      <c r="K1051" s="1" t="s">
        <v>18</v>
      </c>
      <c r="L1051" s="1" t="s">
        <v>19</v>
      </c>
      <c r="Q1051" s="21"/>
    </row>
    <row r="1052" spans="1:18" x14ac:dyDescent="0.15">
      <c r="A1052" s="1">
        <v>158547</v>
      </c>
      <c r="B1052" s="1">
        <v>0</v>
      </c>
      <c r="C1052" s="1" t="s">
        <v>26</v>
      </c>
      <c r="D1052" s="1" t="s">
        <v>27</v>
      </c>
      <c r="E1052" s="1" t="s">
        <v>2168</v>
      </c>
      <c r="F1052" s="1" t="s">
        <v>120</v>
      </c>
      <c r="G1052" s="1" t="s">
        <v>23</v>
      </c>
      <c r="I1052" s="18">
        <v>41212.722326388888</v>
      </c>
      <c r="J1052" s="1" t="s">
        <v>155</v>
      </c>
      <c r="K1052" s="1" t="s">
        <v>18</v>
      </c>
      <c r="L1052" s="1" t="s">
        <v>19</v>
      </c>
      <c r="Q1052" s="21"/>
    </row>
    <row r="1053" spans="1:18" x14ac:dyDescent="0.15">
      <c r="A1053" s="1">
        <v>158249</v>
      </c>
      <c r="B1053" s="1">
        <v>0</v>
      </c>
      <c r="C1053" s="1" t="s">
        <v>170</v>
      </c>
      <c r="D1053" s="1" t="s">
        <v>27</v>
      </c>
      <c r="E1053" s="1" t="s">
        <v>873</v>
      </c>
      <c r="F1053" s="1" t="s">
        <v>874</v>
      </c>
      <c r="G1053" s="1"/>
      <c r="H1053" s="1"/>
      <c r="I1053" s="18">
        <v>41211.084560185183</v>
      </c>
      <c r="J1053" s="1" t="s">
        <v>193</v>
      </c>
      <c r="K1053" s="1" t="s">
        <v>18</v>
      </c>
      <c r="L1053" s="1" t="s">
        <v>19</v>
      </c>
      <c r="Q1053" s="21"/>
    </row>
    <row r="1054" spans="1:18" x14ac:dyDescent="0.15">
      <c r="A1054" s="1">
        <v>158204</v>
      </c>
      <c r="B1054" s="1">
        <v>0</v>
      </c>
      <c r="C1054" s="1" t="s">
        <v>26</v>
      </c>
      <c r="D1054" s="1" t="s">
        <v>27</v>
      </c>
      <c r="E1054" s="1" t="s">
        <v>1821</v>
      </c>
      <c r="F1054" s="1" t="s">
        <v>1822</v>
      </c>
      <c r="G1054" s="1" t="s">
        <v>23</v>
      </c>
      <c r="I1054" s="18">
        <v>41210.158819444441</v>
      </c>
      <c r="J1054" s="1" t="s">
        <v>76</v>
      </c>
      <c r="K1054" s="1" t="s">
        <v>18</v>
      </c>
      <c r="L1054" s="1" t="s">
        <v>19</v>
      </c>
      <c r="Q1054" s="21"/>
    </row>
    <row r="1055" spans="1:18" x14ac:dyDescent="0.15">
      <c r="A1055" s="1">
        <v>158199</v>
      </c>
      <c r="B1055" s="1">
        <v>0</v>
      </c>
      <c r="C1055" s="1" t="s">
        <v>26</v>
      </c>
      <c r="D1055" s="1" t="s">
        <v>27</v>
      </c>
      <c r="E1055" s="1" t="s">
        <v>2253</v>
      </c>
      <c r="F1055" s="1" t="s">
        <v>707</v>
      </c>
      <c r="G1055" s="1" t="s">
        <v>23</v>
      </c>
      <c r="I1055" s="18">
        <v>41210.110324074078</v>
      </c>
      <c r="J1055" s="1" t="s">
        <v>40</v>
      </c>
      <c r="K1055" s="1" t="s">
        <v>18</v>
      </c>
      <c r="L1055" s="1" t="s">
        <v>19</v>
      </c>
      <c r="Q1055" s="21"/>
    </row>
    <row r="1056" spans="1:18" x14ac:dyDescent="0.15">
      <c r="A1056" s="1">
        <v>158060</v>
      </c>
      <c r="B1056" s="1">
        <v>0</v>
      </c>
      <c r="C1056" s="1" t="s">
        <v>26</v>
      </c>
      <c r="D1056" s="1" t="s">
        <v>27</v>
      </c>
      <c r="E1056" s="1" t="s">
        <v>1599</v>
      </c>
      <c r="F1056" s="1" t="s">
        <v>707</v>
      </c>
      <c r="G1056" s="1" t="s">
        <v>23</v>
      </c>
      <c r="I1056" s="18">
        <v>41208.664097222223</v>
      </c>
      <c r="J1056" s="1" t="s">
        <v>40</v>
      </c>
      <c r="K1056" s="1" t="s">
        <v>18</v>
      </c>
      <c r="L1056" s="1" t="s">
        <v>19</v>
      </c>
      <c r="Q1056" s="21"/>
    </row>
    <row r="1057" spans="1:38" x14ac:dyDescent="0.15">
      <c r="A1057" s="1">
        <v>157124</v>
      </c>
      <c r="B1057" s="1">
        <v>0</v>
      </c>
      <c r="C1057" s="1" t="s">
        <v>26</v>
      </c>
      <c r="D1057" s="1" t="s">
        <v>27</v>
      </c>
      <c r="E1057" s="1" t="s">
        <v>2841</v>
      </c>
      <c r="F1057" s="1" t="s">
        <v>120</v>
      </c>
      <c r="G1057" s="1" t="s">
        <v>23</v>
      </c>
      <c r="I1057" s="18">
        <v>41204.493738425925</v>
      </c>
      <c r="J1057" s="1" t="s">
        <v>1323</v>
      </c>
      <c r="K1057" s="1" t="s">
        <v>18</v>
      </c>
      <c r="L1057" s="1" t="s">
        <v>19</v>
      </c>
      <c r="Q1057" s="21"/>
    </row>
    <row r="1058" spans="1:38" x14ac:dyDescent="0.15">
      <c r="A1058" s="1">
        <v>156906</v>
      </c>
      <c r="B1058" s="1">
        <v>0</v>
      </c>
      <c r="C1058" s="1" t="s">
        <v>26</v>
      </c>
      <c r="D1058" s="1" t="s">
        <v>27</v>
      </c>
      <c r="E1058" s="1" t="s">
        <v>949</v>
      </c>
      <c r="F1058" s="1" t="s">
        <v>581</v>
      </c>
      <c r="G1058" s="1" t="s">
        <v>23</v>
      </c>
      <c r="I1058" s="18">
        <v>41201.851145833331</v>
      </c>
      <c r="J1058" s="1" t="s">
        <v>40</v>
      </c>
      <c r="K1058" s="1" t="s">
        <v>18</v>
      </c>
      <c r="L1058" s="1" t="s">
        <v>19</v>
      </c>
      <c r="Q1058" s="21"/>
    </row>
    <row r="1059" spans="1:38" x14ac:dyDescent="0.15">
      <c r="A1059" s="1">
        <v>156619</v>
      </c>
      <c r="B1059" s="1">
        <v>0</v>
      </c>
      <c r="C1059" s="1" t="s">
        <v>26</v>
      </c>
      <c r="D1059" s="1" t="s">
        <v>27</v>
      </c>
      <c r="E1059" s="1" t="s">
        <v>2743</v>
      </c>
      <c r="F1059" s="1" t="s">
        <v>120</v>
      </c>
      <c r="G1059" s="1" t="s">
        <v>23</v>
      </c>
      <c r="I1059" s="18">
        <v>41200.691620370373</v>
      </c>
      <c r="J1059" s="1" t="s">
        <v>40</v>
      </c>
      <c r="K1059" s="1" t="s">
        <v>18</v>
      </c>
      <c r="L1059" s="1" t="s">
        <v>19</v>
      </c>
      <c r="Q1059" s="21"/>
    </row>
    <row r="1060" spans="1:38" x14ac:dyDescent="0.15">
      <c r="A1060" s="1">
        <v>156567</v>
      </c>
      <c r="B1060" s="1">
        <v>0</v>
      </c>
      <c r="C1060" s="1" t="s">
        <v>41</v>
      </c>
      <c r="D1060" s="1" t="s">
        <v>27</v>
      </c>
      <c r="E1060" s="1" t="s">
        <v>1559</v>
      </c>
      <c r="F1060" s="1" t="s">
        <v>1560</v>
      </c>
      <c r="G1060" s="1"/>
      <c r="H1060" s="1"/>
      <c r="I1060" s="18">
        <v>41200.272951388892</v>
      </c>
      <c r="J1060" s="1" t="s">
        <v>44</v>
      </c>
      <c r="K1060" s="1" t="s">
        <v>18</v>
      </c>
      <c r="L1060" s="1" t="s">
        <v>19</v>
      </c>
      <c r="Q1060" s="21"/>
    </row>
    <row r="1061" spans="1:38" x14ac:dyDescent="0.15">
      <c r="A1061" s="1">
        <v>156383</v>
      </c>
      <c r="B1061" s="1">
        <v>0</v>
      </c>
      <c r="C1061" s="1" t="s">
        <v>2740</v>
      </c>
      <c r="D1061" s="1" t="s">
        <v>27</v>
      </c>
      <c r="E1061" s="1" t="s">
        <v>2741</v>
      </c>
      <c r="F1061" s="1" t="s">
        <v>2742</v>
      </c>
      <c r="G1061" s="1" t="s">
        <v>1577</v>
      </c>
      <c r="I1061" s="18">
        <v>41199.725162037037</v>
      </c>
      <c r="J1061" s="1" t="s">
        <v>1064</v>
      </c>
      <c r="K1061" s="1" t="s">
        <v>18</v>
      </c>
      <c r="L1061" s="1" t="s">
        <v>19</v>
      </c>
      <c r="Q1061" s="21"/>
    </row>
    <row r="1062" spans="1:38" x14ac:dyDescent="0.15">
      <c r="A1062" s="1">
        <v>155323</v>
      </c>
      <c r="B1062" s="1">
        <v>0</v>
      </c>
      <c r="C1062" s="1" t="s">
        <v>414</v>
      </c>
      <c r="D1062" s="1" t="s">
        <v>27</v>
      </c>
      <c r="E1062" s="1" t="s">
        <v>3393</v>
      </c>
      <c r="F1062" s="1" t="s">
        <v>3394</v>
      </c>
      <c r="G1062" s="1" t="s">
        <v>23</v>
      </c>
      <c r="I1062" s="18">
        <v>41193.780543981484</v>
      </c>
      <c r="J1062" s="1" t="s">
        <v>3395</v>
      </c>
      <c r="K1062" s="1" t="s">
        <v>18</v>
      </c>
      <c r="L1062" s="1" t="s">
        <v>19</v>
      </c>
      <c r="Q1062" s="21"/>
    </row>
    <row r="1063" spans="1:38" x14ac:dyDescent="0.15">
      <c r="A1063" s="1">
        <v>154987</v>
      </c>
      <c r="B1063" s="1">
        <v>0</v>
      </c>
      <c r="C1063" s="1" t="s">
        <v>41</v>
      </c>
      <c r="D1063" s="1" t="s">
        <v>27</v>
      </c>
      <c r="E1063" s="1" t="s">
        <v>605</v>
      </c>
      <c r="F1063" s="1" t="s">
        <v>606</v>
      </c>
      <c r="G1063" s="1"/>
      <c r="H1063" s="1"/>
      <c r="I1063" s="18">
        <v>41192.175034722219</v>
      </c>
      <c r="J1063" s="1" t="s">
        <v>398</v>
      </c>
      <c r="K1063" s="1" t="s">
        <v>18</v>
      </c>
      <c r="L1063" s="1" t="s">
        <v>19</v>
      </c>
      <c r="Q1063" s="21"/>
    </row>
    <row r="1064" spans="1:38" x14ac:dyDescent="0.15">
      <c r="A1064" s="1">
        <v>154983</v>
      </c>
      <c r="B1064" s="1">
        <v>0</v>
      </c>
      <c r="D1064" s="1" t="s">
        <v>27</v>
      </c>
      <c r="E1064" s="1" t="s">
        <v>607</v>
      </c>
      <c r="F1064" s="1" t="s">
        <v>608</v>
      </c>
      <c r="G1064" s="1"/>
      <c r="H1064" s="1"/>
      <c r="I1064" s="18">
        <v>41192.154629629629</v>
      </c>
      <c r="J1064" s="1" t="s">
        <v>609</v>
      </c>
      <c r="K1064" s="1" t="s">
        <v>18</v>
      </c>
      <c r="L1064" s="1" t="s">
        <v>19</v>
      </c>
      <c r="Q1064" s="21"/>
    </row>
    <row r="1065" spans="1:38" x14ac:dyDescent="0.15">
      <c r="A1065" s="1">
        <v>154617</v>
      </c>
      <c r="B1065" s="1">
        <v>0</v>
      </c>
      <c r="C1065" s="1" t="s">
        <v>26</v>
      </c>
      <c r="D1065" s="1" t="s">
        <v>27</v>
      </c>
      <c r="E1065" s="1" t="s">
        <v>633</v>
      </c>
      <c r="F1065" s="1" t="s">
        <v>120</v>
      </c>
      <c r="G1065" s="1" t="s">
        <v>23</v>
      </c>
      <c r="I1065" s="18">
        <v>41190.748865740738</v>
      </c>
      <c r="J1065" s="1" t="s">
        <v>40</v>
      </c>
      <c r="K1065" s="1" t="s">
        <v>18</v>
      </c>
      <c r="L1065" s="1" t="s">
        <v>19</v>
      </c>
      <c r="Q1065" s="21"/>
    </row>
    <row r="1066" spans="1:38" x14ac:dyDescent="0.15">
      <c r="A1066" s="1">
        <v>154488</v>
      </c>
      <c r="B1066" s="1">
        <v>0</v>
      </c>
      <c r="C1066" s="1" t="s">
        <v>26</v>
      </c>
      <c r="D1066" s="1" t="s">
        <v>27</v>
      </c>
      <c r="E1066" s="1" t="s">
        <v>646</v>
      </c>
      <c r="F1066" s="1" t="s">
        <v>120</v>
      </c>
      <c r="G1066" s="1" t="s">
        <v>23</v>
      </c>
      <c r="I1066" s="18">
        <v>41189.26934027778</v>
      </c>
      <c r="J1066" s="1" t="s">
        <v>40</v>
      </c>
      <c r="K1066" s="1" t="s">
        <v>18</v>
      </c>
      <c r="L1066" s="1" t="s">
        <v>19</v>
      </c>
      <c r="Q1066" s="21"/>
    </row>
    <row r="1067" spans="1:38" x14ac:dyDescent="0.15">
      <c r="A1067" s="1">
        <v>154284</v>
      </c>
      <c r="B1067" s="1">
        <v>0</v>
      </c>
      <c r="C1067" s="1" t="s">
        <v>26</v>
      </c>
      <c r="D1067" s="1" t="s">
        <v>27</v>
      </c>
      <c r="E1067" s="1" t="s">
        <v>1204</v>
      </c>
      <c r="F1067" s="1" t="s">
        <v>1205</v>
      </c>
      <c r="G1067" s="1" t="s">
        <v>23</v>
      </c>
      <c r="I1067" s="18">
        <v>41187.483263888891</v>
      </c>
      <c r="J1067" s="1" t="s">
        <v>40</v>
      </c>
      <c r="K1067" s="1" t="s">
        <v>18</v>
      </c>
      <c r="L1067" s="1" t="s">
        <v>19</v>
      </c>
      <c r="Q1067" s="21"/>
    </row>
    <row r="1068" spans="1:38" x14ac:dyDescent="0.15">
      <c r="A1068" s="1">
        <v>154055</v>
      </c>
      <c r="B1068" s="1">
        <v>1</v>
      </c>
      <c r="C1068" s="1" t="s">
        <v>2398</v>
      </c>
      <c r="D1068" s="1" t="s">
        <v>27</v>
      </c>
      <c r="E1068" s="1" t="s">
        <v>2399</v>
      </c>
      <c r="F1068" s="1" t="s">
        <v>2400</v>
      </c>
      <c r="G1068" s="1" t="s">
        <v>23</v>
      </c>
      <c r="I1068" s="18">
        <v>41186.705520833333</v>
      </c>
      <c r="J1068" s="1" t="s">
        <v>408</v>
      </c>
      <c r="K1068" s="1" t="s">
        <v>18</v>
      </c>
      <c r="L1068" s="1" t="s">
        <v>19</v>
      </c>
      <c r="M1068" s="1">
        <v>154348</v>
      </c>
      <c r="N1068" s="1" t="s">
        <v>2401</v>
      </c>
      <c r="O1068" s="18">
        <v>41187.802743055552</v>
      </c>
      <c r="P1068" s="1" t="s">
        <v>2402</v>
      </c>
      <c r="Q1068" s="21">
        <f t="shared" si="17"/>
        <v>1.0972222222189885</v>
      </c>
      <c r="R1068" s="1"/>
    </row>
    <row r="1069" spans="1:38" x14ac:dyDescent="0.15">
      <c r="A1069" s="1">
        <v>153793</v>
      </c>
      <c r="B1069" s="1">
        <v>0</v>
      </c>
      <c r="C1069" s="1" t="s">
        <v>26</v>
      </c>
      <c r="D1069" s="1" t="s">
        <v>27</v>
      </c>
      <c r="E1069" s="1" t="s">
        <v>1098</v>
      </c>
      <c r="F1069" s="1" t="s">
        <v>2436</v>
      </c>
      <c r="G1069" s="1" t="s">
        <v>23</v>
      </c>
      <c r="I1069" s="18">
        <v>41185.666006944448</v>
      </c>
      <c r="J1069" s="1" t="s">
        <v>40</v>
      </c>
      <c r="K1069" s="1" t="s">
        <v>18</v>
      </c>
      <c r="L1069" s="1" t="s">
        <v>19</v>
      </c>
      <c r="Q1069" s="21"/>
    </row>
    <row r="1070" spans="1:38" x14ac:dyDescent="0.15">
      <c r="A1070" s="1">
        <v>153592</v>
      </c>
      <c r="B1070" s="1">
        <v>0</v>
      </c>
      <c r="C1070" s="1" t="s">
        <v>26</v>
      </c>
      <c r="D1070" s="1" t="s">
        <v>27</v>
      </c>
      <c r="E1070" s="1" t="s">
        <v>1828</v>
      </c>
      <c r="F1070" s="1" t="s">
        <v>707</v>
      </c>
      <c r="G1070" s="1" t="s">
        <v>23</v>
      </c>
      <c r="I1070" s="18">
        <v>41184.752442129633</v>
      </c>
      <c r="J1070" s="1" t="s">
        <v>40</v>
      </c>
      <c r="K1070" s="1" t="s">
        <v>18</v>
      </c>
      <c r="L1070" s="1" t="s">
        <v>19</v>
      </c>
      <c r="Q1070" s="21"/>
    </row>
    <row r="1071" spans="1:38" x14ac:dyDescent="0.15">
      <c r="A1071" s="1">
        <v>153566</v>
      </c>
      <c r="B1071" s="1">
        <v>0</v>
      </c>
      <c r="C1071" s="1" t="s">
        <v>26</v>
      </c>
      <c r="D1071" s="1" t="s">
        <v>27</v>
      </c>
      <c r="E1071" s="1" t="s">
        <v>706</v>
      </c>
      <c r="F1071" s="1" t="s">
        <v>707</v>
      </c>
      <c r="G1071" s="1" t="s">
        <v>23</v>
      </c>
      <c r="I1071" s="18">
        <v>41184.683587962965</v>
      </c>
      <c r="J1071" s="1" t="s">
        <v>40</v>
      </c>
      <c r="K1071" s="1" t="s">
        <v>18</v>
      </c>
      <c r="L1071" s="1" t="s">
        <v>19</v>
      </c>
      <c r="Q1071" s="21"/>
    </row>
    <row r="1072" spans="1:38" x14ac:dyDescent="0.15">
      <c r="A1072" s="1">
        <v>153184</v>
      </c>
      <c r="B1072" s="1">
        <v>6</v>
      </c>
      <c r="C1072" s="1" t="s">
        <v>26</v>
      </c>
      <c r="D1072" s="1" t="s">
        <v>27</v>
      </c>
      <c r="E1072" s="1" t="s">
        <v>1963</v>
      </c>
      <c r="F1072" s="1" t="s">
        <v>581</v>
      </c>
      <c r="G1072" s="1" t="s">
        <v>23</v>
      </c>
      <c r="I1072" s="18">
        <v>41182.255578703705</v>
      </c>
      <c r="J1072" s="1" t="s">
        <v>40</v>
      </c>
      <c r="K1072" s="1" t="s">
        <v>18</v>
      </c>
      <c r="L1072" s="1" t="s">
        <v>19</v>
      </c>
      <c r="M1072" s="1">
        <v>168504</v>
      </c>
      <c r="N1072" s="1" t="s">
        <v>1964</v>
      </c>
      <c r="O1072" s="18">
        <v>41280.697812500002</v>
      </c>
      <c r="P1072" s="1" t="s">
        <v>261</v>
      </c>
      <c r="Q1072" s="21">
        <f t="shared" si="17"/>
        <v>98.442233796296932</v>
      </c>
      <c r="R1072" s="1">
        <v>167463</v>
      </c>
      <c r="S1072" s="1" t="s">
        <v>1964</v>
      </c>
      <c r="T1072" s="2" t="s">
        <v>4161</v>
      </c>
      <c r="U1072" s="1" t="s">
        <v>1965</v>
      </c>
      <c r="V1072" s="1">
        <v>154881</v>
      </c>
      <c r="W1072" s="1" t="s">
        <v>1964</v>
      </c>
      <c r="X1072" s="4" t="s">
        <v>4162</v>
      </c>
      <c r="Y1072" s="1" t="s">
        <v>44</v>
      </c>
      <c r="Z1072" s="1">
        <v>154487</v>
      </c>
      <c r="AA1072" s="1" t="s">
        <v>1964</v>
      </c>
      <c r="AB1072" s="4" t="s">
        <v>4163</v>
      </c>
      <c r="AC1072" s="1" t="s">
        <v>408</v>
      </c>
      <c r="AD1072" s="1">
        <v>154385</v>
      </c>
      <c r="AE1072" s="1" t="s">
        <v>1964</v>
      </c>
      <c r="AF1072" s="4" t="s">
        <v>4164</v>
      </c>
      <c r="AG1072" s="1" t="s">
        <v>155</v>
      </c>
      <c r="AH1072" s="1">
        <v>155708</v>
      </c>
      <c r="AI1072" s="1" t="s">
        <v>1966</v>
      </c>
      <c r="AJ1072" s="2" t="s">
        <v>4165</v>
      </c>
      <c r="AK1072" s="1" t="s">
        <v>544</v>
      </c>
      <c r="AL1072" s="1"/>
    </row>
    <row r="1073" spans="1:26" x14ac:dyDescent="0.15">
      <c r="A1073" s="1">
        <v>152707</v>
      </c>
      <c r="B1073" s="1">
        <v>1</v>
      </c>
      <c r="C1073" s="1" t="s">
        <v>514</v>
      </c>
      <c r="D1073" s="1" t="s">
        <v>27</v>
      </c>
      <c r="E1073" s="1" t="s">
        <v>2802</v>
      </c>
      <c r="F1073" s="1" t="s">
        <v>2803</v>
      </c>
      <c r="G1073" s="1"/>
      <c r="H1073" s="1"/>
      <c r="I1073" s="18">
        <v>41179.709837962961</v>
      </c>
      <c r="J1073" s="1" t="s">
        <v>408</v>
      </c>
      <c r="K1073" s="1" t="s">
        <v>18</v>
      </c>
      <c r="L1073" s="1" t="s">
        <v>19</v>
      </c>
      <c r="M1073" s="1">
        <v>153243</v>
      </c>
      <c r="N1073" s="1" t="s">
        <v>2804</v>
      </c>
      <c r="O1073" s="18">
        <v>41183.296736111108</v>
      </c>
      <c r="P1073" s="1" t="s">
        <v>44</v>
      </c>
      <c r="Q1073" s="21">
        <f t="shared" si="17"/>
        <v>3.5868981481471565</v>
      </c>
      <c r="R1073" s="1"/>
    </row>
    <row r="1074" spans="1:26" x14ac:dyDescent="0.15">
      <c r="A1074" s="1">
        <v>152691</v>
      </c>
      <c r="B1074" s="1">
        <v>0</v>
      </c>
      <c r="C1074" s="1" t="s">
        <v>373</v>
      </c>
      <c r="D1074" s="1" t="s">
        <v>27</v>
      </c>
      <c r="E1074" s="1" t="s">
        <v>3430</v>
      </c>
      <c r="F1074" s="1" t="s">
        <v>3431</v>
      </c>
      <c r="G1074" s="1" t="s">
        <v>23</v>
      </c>
      <c r="I1074" s="18">
        <v>41179.638483796298</v>
      </c>
      <c r="J1074" s="1" t="s">
        <v>261</v>
      </c>
      <c r="K1074" s="1" t="s">
        <v>18</v>
      </c>
      <c r="L1074" s="1" t="s">
        <v>19</v>
      </c>
      <c r="Q1074" s="21"/>
    </row>
    <row r="1075" spans="1:26" x14ac:dyDescent="0.15">
      <c r="A1075" s="1">
        <v>152585</v>
      </c>
      <c r="B1075" s="1">
        <v>0</v>
      </c>
      <c r="C1075" s="1" t="s">
        <v>26</v>
      </c>
      <c r="D1075" s="1" t="s">
        <v>27</v>
      </c>
      <c r="E1075" s="1" t="s">
        <v>154</v>
      </c>
      <c r="F1075" s="1" t="s">
        <v>120</v>
      </c>
      <c r="G1075" s="1" t="s">
        <v>23</v>
      </c>
      <c r="I1075" s="18">
        <v>41179.043622685182</v>
      </c>
      <c r="J1075" s="1" t="s">
        <v>155</v>
      </c>
      <c r="K1075" s="1" t="s">
        <v>18</v>
      </c>
      <c r="L1075" s="1" t="s">
        <v>19</v>
      </c>
      <c r="Q1075" s="21"/>
    </row>
    <row r="1076" spans="1:26" x14ac:dyDescent="0.15">
      <c r="A1076" s="1">
        <v>152354</v>
      </c>
      <c r="B1076" s="1">
        <v>0</v>
      </c>
      <c r="C1076" s="1" t="s">
        <v>26</v>
      </c>
      <c r="D1076" s="1" t="s">
        <v>27</v>
      </c>
      <c r="E1076" s="1" t="s">
        <v>2452</v>
      </c>
      <c r="F1076" s="1" t="s">
        <v>2453</v>
      </c>
      <c r="G1076" s="1"/>
      <c r="H1076" s="1"/>
      <c r="I1076" s="18">
        <v>41178.094618055555</v>
      </c>
      <c r="J1076" s="1" t="s">
        <v>40</v>
      </c>
      <c r="K1076" s="1" t="s">
        <v>18</v>
      </c>
      <c r="L1076" s="1" t="s">
        <v>19</v>
      </c>
      <c r="Q1076" s="21"/>
    </row>
    <row r="1077" spans="1:26" x14ac:dyDescent="0.15">
      <c r="A1077" s="1">
        <v>151888</v>
      </c>
      <c r="B1077" s="1">
        <v>0</v>
      </c>
      <c r="C1077" s="1" t="s">
        <v>843</v>
      </c>
      <c r="D1077" s="1" t="s">
        <v>27</v>
      </c>
      <c r="E1077" s="1" t="s">
        <v>844</v>
      </c>
      <c r="F1077" s="1" t="s">
        <v>845</v>
      </c>
      <c r="G1077" s="1"/>
      <c r="H1077" s="1"/>
      <c r="I1077" s="18">
        <v>41176.318749999999</v>
      </c>
      <c r="J1077" s="1" t="s">
        <v>408</v>
      </c>
      <c r="K1077" s="1" t="s">
        <v>18</v>
      </c>
      <c r="L1077" s="1" t="s">
        <v>19</v>
      </c>
      <c r="Q1077" s="21"/>
    </row>
    <row r="1078" spans="1:26" x14ac:dyDescent="0.15">
      <c r="A1078" s="1">
        <v>151424</v>
      </c>
      <c r="B1078" s="1">
        <v>0</v>
      </c>
      <c r="D1078" s="1" t="s">
        <v>27</v>
      </c>
      <c r="E1078" s="1" t="s">
        <v>2813</v>
      </c>
      <c r="F1078" s="1" t="s">
        <v>2814</v>
      </c>
      <c r="G1078" s="1"/>
      <c r="H1078" s="1"/>
      <c r="I1078" s="18">
        <v>41172.936516203707</v>
      </c>
      <c r="J1078" s="1" t="s">
        <v>779</v>
      </c>
      <c r="K1078" s="1" t="s">
        <v>18</v>
      </c>
      <c r="L1078" s="1" t="s">
        <v>19</v>
      </c>
      <c r="Q1078" s="21"/>
    </row>
    <row r="1079" spans="1:26" x14ac:dyDescent="0.15">
      <c r="A1079" s="1">
        <v>151008</v>
      </c>
      <c r="B1079" s="1">
        <v>0</v>
      </c>
      <c r="C1079" s="1" t="s">
        <v>26</v>
      </c>
      <c r="D1079" s="1" t="s">
        <v>27</v>
      </c>
      <c r="E1079" s="1" t="s">
        <v>3105</v>
      </c>
      <c r="F1079" s="1" t="s">
        <v>3106</v>
      </c>
      <c r="G1079" s="1" t="s">
        <v>23</v>
      </c>
      <c r="I1079" s="18">
        <v>41172.516875000001</v>
      </c>
      <c r="J1079" s="1" t="s">
        <v>408</v>
      </c>
      <c r="K1079" s="1" t="s">
        <v>18</v>
      </c>
      <c r="L1079" s="1" t="s">
        <v>19</v>
      </c>
      <c r="M1079" s="50"/>
      <c r="Q1079" s="21"/>
    </row>
    <row r="1080" spans="1:26" x14ac:dyDescent="0.15">
      <c r="A1080" s="1">
        <v>150966</v>
      </c>
      <c r="B1080" s="1">
        <v>0</v>
      </c>
      <c r="C1080" s="1" t="s">
        <v>26</v>
      </c>
      <c r="D1080" s="1" t="s">
        <v>27</v>
      </c>
      <c r="E1080" s="1" t="s">
        <v>633</v>
      </c>
      <c r="F1080" s="1" t="s">
        <v>634</v>
      </c>
      <c r="G1080" s="1" t="s">
        <v>23</v>
      </c>
      <c r="I1080" s="18">
        <v>41172.200914351852</v>
      </c>
      <c r="J1080" s="1" t="s">
        <v>40</v>
      </c>
      <c r="K1080" s="1" t="s">
        <v>18</v>
      </c>
      <c r="L1080" s="1" t="s">
        <v>19</v>
      </c>
      <c r="Q1080" s="21"/>
    </row>
    <row r="1081" spans="1:26" x14ac:dyDescent="0.15">
      <c r="A1081" s="1">
        <v>150737</v>
      </c>
      <c r="B1081" s="1">
        <v>3</v>
      </c>
      <c r="C1081" s="1" t="s">
        <v>1278</v>
      </c>
      <c r="D1081" s="1" t="s">
        <v>27</v>
      </c>
      <c r="E1081" s="1" t="s">
        <v>1279</v>
      </c>
      <c r="F1081" s="1" t="s">
        <v>1280</v>
      </c>
      <c r="G1081" s="1" t="s">
        <v>23</v>
      </c>
      <c r="I1081" s="18">
        <v>41171.34611111111</v>
      </c>
      <c r="J1081" s="1" t="s">
        <v>40</v>
      </c>
      <c r="K1081" s="1" t="s">
        <v>18</v>
      </c>
      <c r="L1081" s="1" t="s">
        <v>19</v>
      </c>
      <c r="M1081" s="1">
        <v>165671</v>
      </c>
      <c r="N1081" s="1" t="s">
        <v>1281</v>
      </c>
      <c r="O1081" s="18">
        <v>41255.668854166666</v>
      </c>
      <c r="P1081" s="1" t="s">
        <v>1282</v>
      </c>
      <c r="Q1081" s="21">
        <f t="shared" si="17"/>
        <v>84.322743055556202</v>
      </c>
      <c r="R1081" s="1">
        <v>151744</v>
      </c>
      <c r="S1081" s="1" t="s">
        <v>1281</v>
      </c>
      <c r="T1081" s="2" t="s">
        <v>4154</v>
      </c>
      <c r="U1081" s="1" t="s">
        <v>641</v>
      </c>
      <c r="V1081" s="1">
        <v>159158</v>
      </c>
      <c r="W1081" s="1" t="s">
        <v>1283</v>
      </c>
      <c r="X1081" s="4" t="s">
        <v>4155</v>
      </c>
      <c r="Y1081" s="1" t="s">
        <v>692</v>
      </c>
      <c r="Z1081" s="1"/>
    </row>
    <row r="1082" spans="1:26" x14ac:dyDescent="0.15">
      <c r="A1082" s="1">
        <v>150545</v>
      </c>
      <c r="B1082" s="1">
        <v>0</v>
      </c>
      <c r="C1082" s="1" t="s">
        <v>26</v>
      </c>
      <c r="D1082" s="1" t="s">
        <v>27</v>
      </c>
      <c r="E1082" s="1" t="s">
        <v>1321</v>
      </c>
      <c r="F1082" s="1" t="s">
        <v>1322</v>
      </c>
      <c r="G1082" s="1" t="s">
        <v>23</v>
      </c>
      <c r="I1082" s="18">
        <v>41170.543912037036</v>
      </c>
      <c r="J1082" s="1" t="s">
        <v>1323</v>
      </c>
      <c r="K1082" s="1" t="s">
        <v>18</v>
      </c>
      <c r="L1082" s="1" t="s">
        <v>19</v>
      </c>
      <c r="Q1082" s="21"/>
    </row>
    <row r="1083" spans="1:26" x14ac:dyDescent="0.15">
      <c r="A1083" s="1">
        <v>149904</v>
      </c>
      <c r="B1083" s="1">
        <v>0</v>
      </c>
      <c r="C1083" s="1" t="s">
        <v>537</v>
      </c>
      <c r="D1083" s="1" t="s">
        <v>27</v>
      </c>
      <c r="E1083" s="1" t="s">
        <v>538</v>
      </c>
      <c r="F1083" s="1" t="s">
        <v>539</v>
      </c>
      <c r="G1083" s="1" t="s">
        <v>540</v>
      </c>
      <c r="I1083" s="18">
        <v>41169.428587962961</v>
      </c>
      <c r="J1083" s="1" t="s">
        <v>44</v>
      </c>
      <c r="K1083" s="1" t="s">
        <v>18</v>
      </c>
      <c r="L1083" s="1" t="s">
        <v>19</v>
      </c>
      <c r="Q1083" s="21"/>
    </row>
    <row r="1084" spans="1:26" x14ac:dyDescent="0.15">
      <c r="A1084" s="1">
        <v>149717</v>
      </c>
      <c r="B1084" s="1">
        <v>1</v>
      </c>
      <c r="C1084" s="1" t="s">
        <v>414</v>
      </c>
      <c r="D1084" s="1" t="s">
        <v>27</v>
      </c>
      <c r="E1084" s="1" t="s">
        <v>2307</v>
      </c>
      <c r="F1084" s="1" t="s">
        <v>2308</v>
      </c>
      <c r="G1084" s="1" t="s">
        <v>540</v>
      </c>
      <c r="I1084" s="18">
        <v>41166.823634259257</v>
      </c>
      <c r="J1084" s="1" t="s">
        <v>44</v>
      </c>
      <c r="K1084" s="1" t="s">
        <v>18</v>
      </c>
      <c r="L1084" s="1" t="s">
        <v>19</v>
      </c>
      <c r="M1084" s="1">
        <v>153037</v>
      </c>
      <c r="N1084" s="1" t="s">
        <v>2309</v>
      </c>
      <c r="O1084" s="18">
        <v>41180.838425925926</v>
      </c>
      <c r="P1084" s="1" t="s">
        <v>151</v>
      </c>
      <c r="Q1084" s="21">
        <f t="shared" si="17"/>
        <v>14.014791666668316</v>
      </c>
      <c r="R1084" s="1"/>
    </row>
    <row r="1085" spans="1:26" x14ac:dyDescent="0.15">
      <c r="A1085" s="1">
        <v>147700</v>
      </c>
      <c r="B1085" s="1">
        <v>0</v>
      </c>
      <c r="C1085" s="1" t="s">
        <v>26</v>
      </c>
      <c r="D1085" s="1" t="s">
        <v>27</v>
      </c>
      <c r="E1085" s="1" t="s">
        <v>3396</v>
      </c>
      <c r="F1085" s="1" t="s">
        <v>634</v>
      </c>
      <c r="G1085" s="1" t="s">
        <v>23</v>
      </c>
      <c r="I1085" s="18">
        <v>41163.005706018521</v>
      </c>
      <c r="J1085" s="1" t="s">
        <v>40</v>
      </c>
      <c r="K1085" s="1" t="s">
        <v>18</v>
      </c>
      <c r="L1085" s="1" t="s">
        <v>19</v>
      </c>
      <c r="Q1085" s="21"/>
    </row>
    <row r="1086" spans="1:26" x14ac:dyDescent="0.15">
      <c r="A1086" s="1">
        <v>147625</v>
      </c>
      <c r="B1086" s="1">
        <v>0</v>
      </c>
      <c r="C1086" s="1" t="s">
        <v>170</v>
      </c>
      <c r="D1086" s="1" t="s">
        <v>27</v>
      </c>
      <c r="E1086" s="1" t="s">
        <v>1575</v>
      </c>
      <c r="F1086" s="1" t="s">
        <v>1576</v>
      </c>
      <c r="G1086" s="1" t="s">
        <v>1577</v>
      </c>
      <c r="I1086" s="18">
        <v>41162.776712962965</v>
      </c>
      <c r="J1086" s="1" t="s">
        <v>1277</v>
      </c>
      <c r="K1086" s="1" t="s">
        <v>18</v>
      </c>
      <c r="L1086" s="1" t="s">
        <v>19</v>
      </c>
      <c r="Q1086" s="21"/>
    </row>
    <row r="1087" spans="1:26" x14ac:dyDescent="0.15">
      <c r="A1087" s="1">
        <v>147592</v>
      </c>
      <c r="B1087" s="1">
        <v>0</v>
      </c>
      <c r="C1087" s="1" t="s">
        <v>3310</v>
      </c>
      <c r="D1087" s="1" t="s">
        <v>27</v>
      </c>
      <c r="E1087" s="1" t="s">
        <v>3311</v>
      </c>
      <c r="F1087" s="1" t="s">
        <v>3312</v>
      </c>
      <c r="G1087" s="1" t="s">
        <v>23</v>
      </c>
      <c r="I1087" s="18">
        <v>41162.710601851853</v>
      </c>
      <c r="J1087" s="1" t="s">
        <v>1251</v>
      </c>
      <c r="K1087" s="1" t="s">
        <v>18</v>
      </c>
      <c r="L1087" s="1" t="s">
        <v>19</v>
      </c>
      <c r="Q1087" s="21"/>
    </row>
    <row r="1088" spans="1:26" x14ac:dyDescent="0.15">
      <c r="A1088" s="1">
        <v>147499</v>
      </c>
      <c r="B1088" s="1">
        <v>0</v>
      </c>
      <c r="C1088" s="1" t="s">
        <v>3644</v>
      </c>
      <c r="D1088" s="1" t="s">
        <v>27</v>
      </c>
      <c r="E1088" s="1" t="s">
        <v>3645</v>
      </c>
      <c r="F1088" s="1" t="s">
        <v>3646</v>
      </c>
      <c r="G1088" s="1" t="s">
        <v>23</v>
      </c>
      <c r="I1088" s="18">
        <v>41161.884930555556</v>
      </c>
      <c r="J1088" s="1" t="s">
        <v>408</v>
      </c>
      <c r="K1088" s="1" t="s">
        <v>3586</v>
      </c>
      <c r="L1088" s="1" t="s">
        <v>19</v>
      </c>
      <c r="Q1088" s="21"/>
    </row>
    <row r="1089" spans="1:17" x14ac:dyDescent="0.15">
      <c r="A1089" s="1">
        <v>147475</v>
      </c>
      <c r="B1089" s="1">
        <v>0</v>
      </c>
      <c r="C1089" s="1" t="s">
        <v>843</v>
      </c>
      <c r="D1089" s="1" t="s">
        <v>27</v>
      </c>
      <c r="E1089" s="1" t="s">
        <v>3086</v>
      </c>
      <c r="F1089" s="1" t="s">
        <v>3087</v>
      </c>
      <c r="G1089" s="1" t="s">
        <v>23</v>
      </c>
      <c r="I1089" s="18">
        <v>41161.637800925928</v>
      </c>
      <c r="J1089" s="1" t="s">
        <v>40</v>
      </c>
      <c r="K1089" s="1" t="s">
        <v>18</v>
      </c>
      <c r="L1089" s="1" t="s">
        <v>19</v>
      </c>
      <c r="Q1089" s="21"/>
    </row>
    <row r="1090" spans="1:17" x14ac:dyDescent="0.15">
      <c r="A1090" s="1">
        <v>147435</v>
      </c>
      <c r="B1090" s="1">
        <v>0</v>
      </c>
      <c r="C1090" s="1" t="s">
        <v>26</v>
      </c>
      <c r="D1090" s="1" t="s">
        <v>27</v>
      </c>
      <c r="E1090" s="1" t="s">
        <v>1105</v>
      </c>
      <c r="F1090" s="1" t="s">
        <v>1106</v>
      </c>
      <c r="G1090" s="1" t="s">
        <v>23</v>
      </c>
      <c r="I1090" s="18">
        <v>41160.736678240741</v>
      </c>
      <c r="J1090" s="1" t="s">
        <v>40</v>
      </c>
      <c r="K1090" s="1" t="s">
        <v>18</v>
      </c>
      <c r="L1090" s="1" t="s">
        <v>19</v>
      </c>
      <c r="Q1090" s="21"/>
    </row>
    <row r="1091" spans="1:17" x14ac:dyDescent="0.15">
      <c r="A1091" s="1">
        <v>146882</v>
      </c>
      <c r="B1091" s="1">
        <v>0</v>
      </c>
      <c r="C1091" s="1" t="s">
        <v>26</v>
      </c>
      <c r="D1091" s="1" t="s">
        <v>27</v>
      </c>
      <c r="E1091" s="1" t="s">
        <v>3371</v>
      </c>
      <c r="F1091" s="1" t="s">
        <v>707</v>
      </c>
      <c r="G1091" s="1" t="s">
        <v>23</v>
      </c>
      <c r="I1091" s="18">
        <v>41158.838020833333</v>
      </c>
      <c r="J1091" s="1" t="s">
        <v>40</v>
      </c>
      <c r="K1091" s="1" t="s">
        <v>18</v>
      </c>
      <c r="L1091" s="1" t="s">
        <v>19</v>
      </c>
      <c r="Q1091" s="21"/>
    </row>
    <row r="1092" spans="1:17" x14ac:dyDescent="0.15">
      <c r="A1092" s="1">
        <v>146145</v>
      </c>
      <c r="B1092" s="1">
        <v>0</v>
      </c>
      <c r="C1092" s="1" t="s">
        <v>527</v>
      </c>
      <c r="D1092" s="1" t="s">
        <v>27</v>
      </c>
      <c r="E1092" s="1" t="s">
        <v>580</v>
      </c>
      <c r="F1092" s="1" t="s">
        <v>581</v>
      </c>
      <c r="G1092" s="1" t="s">
        <v>23</v>
      </c>
      <c r="I1092" s="18">
        <v>41153.624432870369</v>
      </c>
      <c r="J1092" s="1" t="s">
        <v>40</v>
      </c>
      <c r="K1092" s="1" t="s">
        <v>18</v>
      </c>
      <c r="L1092" s="1" t="s">
        <v>19</v>
      </c>
      <c r="Q1092" s="21"/>
    </row>
    <row r="1093" spans="1:17" x14ac:dyDescent="0.15">
      <c r="A1093" s="1">
        <v>145544</v>
      </c>
      <c r="B1093" s="1">
        <v>0</v>
      </c>
      <c r="C1093" s="1" t="s">
        <v>1682</v>
      </c>
      <c r="D1093" s="1" t="s">
        <v>27</v>
      </c>
      <c r="E1093" s="1" t="s">
        <v>1683</v>
      </c>
      <c r="F1093" s="1" t="s">
        <v>1684</v>
      </c>
      <c r="G1093" s="1" t="s">
        <v>23</v>
      </c>
      <c r="I1093" s="18">
        <v>41150.812268518515</v>
      </c>
      <c r="J1093" s="1" t="s">
        <v>44</v>
      </c>
      <c r="K1093" s="1" t="s">
        <v>18</v>
      </c>
      <c r="L1093" s="1" t="s">
        <v>19</v>
      </c>
      <c r="Q1093" s="21"/>
    </row>
    <row r="1094" spans="1:17" x14ac:dyDescent="0.15">
      <c r="A1094" s="1">
        <v>145531</v>
      </c>
      <c r="B1094" s="1">
        <v>0</v>
      </c>
      <c r="C1094" s="1" t="s">
        <v>129</v>
      </c>
      <c r="D1094" s="1" t="s">
        <v>3911</v>
      </c>
      <c r="E1094" s="1" t="s">
        <v>4021</v>
      </c>
      <c r="F1094" s="1" t="s">
        <v>4022</v>
      </c>
      <c r="G1094" s="1" t="s">
        <v>23</v>
      </c>
      <c r="I1094" s="18">
        <v>41150.768020833333</v>
      </c>
      <c r="J1094" s="1" t="s">
        <v>44</v>
      </c>
      <c r="K1094" s="1" t="s">
        <v>18</v>
      </c>
      <c r="L1094" s="1" t="s">
        <v>19</v>
      </c>
      <c r="Q1094" s="21"/>
    </row>
    <row r="1095" spans="1:17" x14ac:dyDescent="0.15">
      <c r="A1095" s="1">
        <v>144899</v>
      </c>
      <c r="B1095" s="1">
        <v>0</v>
      </c>
      <c r="C1095" s="1" t="s">
        <v>514</v>
      </c>
      <c r="D1095" s="1" t="s">
        <v>27</v>
      </c>
      <c r="E1095" s="1" t="s">
        <v>515</v>
      </c>
      <c r="F1095" s="1" t="s">
        <v>516</v>
      </c>
      <c r="G1095" s="1" t="s">
        <v>23</v>
      </c>
      <c r="I1095" s="18">
        <v>41147.974270833336</v>
      </c>
      <c r="J1095" s="1" t="s">
        <v>261</v>
      </c>
      <c r="K1095" s="1" t="s">
        <v>18</v>
      </c>
      <c r="L1095" s="1" t="s">
        <v>19</v>
      </c>
      <c r="Q1095" s="21"/>
    </row>
    <row r="1096" spans="1:17" x14ac:dyDescent="0.15">
      <c r="A1096" s="1">
        <v>144799</v>
      </c>
      <c r="B1096" s="1">
        <v>0</v>
      </c>
      <c r="C1096" s="1" t="s">
        <v>26</v>
      </c>
      <c r="D1096" s="1" t="s">
        <v>27</v>
      </c>
      <c r="E1096" s="1" t="s">
        <v>2811</v>
      </c>
      <c r="F1096" s="1" t="s">
        <v>2812</v>
      </c>
      <c r="G1096" s="1" t="s">
        <v>23</v>
      </c>
      <c r="I1096" s="18">
        <v>41146.276724537034</v>
      </c>
      <c r="J1096" s="1" t="s">
        <v>155</v>
      </c>
      <c r="K1096" s="1" t="s">
        <v>18</v>
      </c>
      <c r="L1096" s="1" t="s">
        <v>19</v>
      </c>
      <c r="Q1096" s="21"/>
    </row>
    <row r="1097" spans="1:17" x14ac:dyDescent="0.15">
      <c r="A1097" s="1">
        <v>144671</v>
      </c>
      <c r="B1097" s="1">
        <v>0</v>
      </c>
      <c r="C1097" s="1" t="s">
        <v>26</v>
      </c>
      <c r="D1097" s="1" t="s">
        <v>27</v>
      </c>
      <c r="E1097" s="1" t="s">
        <v>3348</v>
      </c>
      <c r="F1097" s="1" t="s">
        <v>3349</v>
      </c>
      <c r="G1097" s="1" t="s">
        <v>23</v>
      </c>
      <c r="I1097" s="18">
        <v>41145.732233796298</v>
      </c>
      <c r="J1097" s="1" t="s">
        <v>40</v>
      </c>
      <c r="K1097" s="1" t="s">
        <v>18</v>
      </c>
      <c r="L1097" s="1" t="s">
        <v>19</v>
      </c>
      <c r="Q1097" s="21"/>
    </row>
    <row r="1098" spans="1:17" x14ac:dyDescent="0.15">
      <c r="A1098" s="1">
        <v>143761</v>
      </c>
      <c r="B1098" s="1">
        <v>0</v>
      </c>
      <c r="C1098" s="1" t="s">
        <v>41</v>
      </c>
      <c r="D1098" s="1" t="s">
        <v>27</v>
      </c>
      <c r="E1098" s="1" t="s">
        <v>42</v>
      </c>
      <c r="F1098" s="1" t="s">
        <v>3048</v>
      </c>
      <c r="G1098" s="1" t="s">
        <v>23</v>
      </c>
      <c r="I1098" s="18">
        <v>41141.810277777775</v>
      </c>
      <c r="J1098" s="1" t="s">
        <v>44</v>
      </c>
      <c r="K1098" s="1" t="s">
        <v>18</v>
      </c>
      <c r="L1098" s="1" t="s">
        <v>19</v>
      </c>
      <c r="Q1098" s="21"/>
    </row>
    <row r="1099" spans="1:17" x14ac:dyDescent="0.15">
      <c r="A1099" s="1">
        <v>143656</v>
      </c>
      <c r="B1099" s="1">
        <v>0</v>
      </c>
      <c r="C1099" s="1" t="s">
        <v>26</v>
      </c>
      <c r="D1099" s="1" t="s">
        <v>27</v>
      </c>
      <c r="E1099" s="1" t="s">
        <v>2976</v>
      </c>
      <c r="F1099" s="1" t="s">
        <v>2977</v>
      </c>
      <c r="G1099" s="1" t="s">
        <v>23</v>
      </c>
      <c r="I1099" s="18">
        <v>41141.336226851854</v>
      </c>
      <c r="J1099" s="1" t="s">
        <v>44</v>
      </c>
      <c r="K1099" s="1" t="s">
        <v>18</v>
      </c>
      <c r="L1099" s="1" t="s">
        <v>19</v>
      </c>
      <c r="Q1099" s="21"/>
    </row>
    <row r="1100" spans="1:17" x14ac:dyDescent="0.15">
      <c r="A1100" s="1">
        <v>143648</v>
      </c>
      <c r="B1100" s="1">
        <v>0</v>
      </c>
      <c r="C1100" s="1" t="s">
        <v>26</v>
      </c>
      <c r="D1100" s="1" t="s">
        <v>27</v>
      </c>
      <c r="E1100" s="1" t="s">
        <v>1242</v>
      </c>
      <c r="F1100" s="1" t="s">
        <v>1243</v>
      </c>
      <c r="G1100" s="1" t="s">
        <v>23</v>
      </c>
      <c r="I1100" s="18">
        <v>41141.028171296297</v>
      </c>
      <c r="J1100" s="1" t="s">
        <v>40</v>
      </c>
      <c r="K1100" s="1" t="s">
        <v>18</v>
      </c>
      <c r="L1100" s="1" t="s">
        <v>19</v>
      </c>
      <c r="Q1100" s="21"/>
    </row>
    <row r="1101" spans="1:17" x14ac:dyDescent="0.15">
      <c r="A1101" s="1">
        <v>143609</v>
      </c>
      <c r="B1101" s="1">
        <v>0</v>
      </c>
      <c r="C1101" s="1" t="s">
        <v>145</v>
      </c>
      <c r="D1101" s="1" t="s">
        <v>27</v>
      </c>
      <c r="E1101" s="1" t="s">
        <v>2127</v>
      </c>
      <c r="F1101" s="1" t="s">
        <v>2128</v>
      </c>
      <c r="G1101" s="1" t="s">
        <v>23</v>
      </c>
      <c r="I1101" s="18">
        <v>41140.315023148149</v>
      </c>
      <c r="J1101" s="1" t="s">
        <v>408</v>
      </c>
      <c r="K1101" s="1" t="s">
        <v>18</v>
      </c>
      <c r="L1101" s="1" t="s">
        <v>19</v>
      </c>
      <c r="Q1101" s="21"/>
    </row>
    <row r="1102" spans="1:17" x14ac:dyDescent="0.15">
      <c r="A1102" s="1">
        <v>143604</v>
      </c>
      <c r="B1102" s="1">
        <v>0</v>
      </c>
      <c r="C1102" s="1" t="s">
        <v>26</v>
      </c>
      <c r="D1102" s="1" t="s">
        <v>27</v>
      </c>
      <c r="E1102" s="1" t="s">
        <v>2126</v>
      </c>
      <c r="F1102" s="1" t="s">
        <v>162</v>
      </c>
      <c r="G1102" s="1" t="s">
        <v>23</v>
      </c>
      <c r="I1102" s="18">
        <v>41140.21471064815</v>
      </c>
      <c r="J1102" s="1" t="s">
        <v>40</v>
      </c>
      <c r="K1102" s="1" t="s">
        <v>18</v>
      </c>
      <c r="L1102" s="1" t="s">
        <v>19</v>
      </c>
      <c r="Q1102" s="21"/>
    </row>
    <row r="1103" spans="1:17" x14ac:dyDescent="0.15">
      <c r="A1103" s="1">
        <v>143551</v>
      </c>
      <c r="B1103" s="1">
        <v>0</v>
      </c>
      <c r="C1103" s="1" t="s">
        <v>26</v>
      </c>
      <c r="D1103" s="1" t="s">
        <v>27</v>
      </c>
      <c r="E1103" s="1" t="s">
        <v>3222</v>
      </c>
      <c r="F1103" s="1" t="s">
        <v>162</v>
      </c>
      <c r="G1103" s="1" t="s">
        <v>23</v>
      </c>
      <c r="I1103" s="18">
        <v>41139.306018518517</v>
      </c>
      <c r="J1103" s="1" t="s">
        <v>40</v>
      </c>
      <c r="K1103" s="1" t="s">
        <v>18</v>
      </c>
      <c r="L1103" s="1" t="s">
        <v>19</v>
      </c>
      <c r="Q1103" s="21"/>
    </row>
    <row r="1104" spans="1:17" x14ac:dyDescent="0.15">
      <c r="A1104" s="1">
        <v>142746</v>
      </c>
      <c r="B1104" s="1">
        <v>0</v>
      </c>
      <c r="C1104" s="1" t="s">
        <v>514</v>
      </c>
      <c r="D1104" s="1" t="s">
        <v>27</v>
      </c>
      <c r="E1104" s="1" t="s">
        <v>3372</v>
      </c>
      <c r="F1104" s="1" t="s">
        <v>3373</v>
      </c>
      <c r="G1104" s="1" t="s">
        <v>23</v>
      </c>
      <c r="I1104" s="18">
        <v>41135.926747685182</v>
      </c>
      <c r="J1104" s="1" t="s">
        <v>3374</v>
      </c>
      <c r="K1104" s="1" t="s">
        <v>18</v>
      </c>
      <c r="L1104" s="1" t="s">
        <v>19</v>
      </c>
      <c r="Q1104" s="21"/>
    </row>
    <row r="1105" spans="1:18" x14ac:dyDescent="0.15">
      <c r="A1105" s="1">
        <v>141901</v>
      </c>
      <c r="B1105" s="1">
        <v>0</v>
      </c>
      <c r="C1105" s="1" t="s">
        <v>3256</v>
      </c>
      <c r="D1105" s="1" t="s">
        <v>3714</v>
      </c>
      <c r="E1105" s="1" t="s">
        <v>3884</v>
      </c>
      <c r="F1105" s="1" t="s">
        <v>3885</v>
      </c>
      <c r="G1105" s="1" t="s">
        <v>1056</v>
      </c>
      <c r="I1105" s="18">
        <v>41131.756967592592</v>
      </c>
      <c r="J1105" s="1" t="s">
        <v>44</v>
      </c>
      <c r="K1105" s="1" t="s">
        <v>3586</v>
      </c>
      <c r="L1105" s="1" t="s">
        <v>19</v>
      </c>
      <c r="Q1105" s="21"/>
    </row>
    <row r="1106" spans="1:18" x14ac:dyDescent="0.15">
      <c r="A1106" s="1">
        <v>140803</v>
      </c>
      <c r="B1106" s="1">
        <v>0</v>
      </c>
      <c r="C1106" s="1" t="s">
        <v>514</v>
      </c>
      <c r="D1106" s="1" t="s">
        <v>27</v>
      </c>
      <c r="E1106" s="1" t="s">
        <v>2111</v>
      </c>
      <c r="F1106" s="1" t="s">
        <v>2112</v>
      </c>
      <c r="G1106" s="1" t="s">
        <v>23</v>
      </c>
      <c r="I1106" s="18">
        <v>41127.683252314811</v>
      </c>
      <c r="J1106" s="1" t="s">
        <v>408</v>
      </c>
      <c r="K1106" s="1" t="s">
        <v>18</v>
      </c>
      <c r="L1106" s="1" t="s">
        <v>19</v>
      </c>
      <c r="Q1106" s="21"/>
    </row>
    <row r="1107" spans="1:18" x14ac:dyDescent="0.15">
      <c r="A1107" s="1">
        <v>140647</v>
      </c>
      <c r="B1107" s="1">
        <v>0</v>
      </c>
      <c r="C1107" s="1" t="s">
        <v>26</v>
      </c>
      <c r="D1107" s="1" t="s">
        <v>27</v>
      </c>
      <c r="E1107" s="1" t="s">
        <v>591</v>
      </c>
      <c r="F1107" s="1" t="s">
        <v>592</v>
      </c>
      <c r="G1107" s="1" t="s">
        <v>23</v>
      </c>
      <c r="I1107" s="18">
        <v>41125.637881944444</v>
      </c>
      <c r="J1107" s="1" t="s">
        <v>40</v>
      </c>
      <c r="K1107" s="1" t="s">
        <v>18</v>
      </c>
      <c r="L1107" s="1" t="s">
        <v>19</v>
      </c>
      <c r="Q1107" s="21"/>
    </row>
    <row r="1108" spans="1:18" x14ac:dyDescent="0.15">
      <c r="A1108" s="1">
        <v>140484</v>
      </c>
      <c r="B1108" s="1">
        <v>0</v>
      </c>
      <c r="C1108" s="1" t="s">
        <v>26</v>
      </c>
      <c r="D1108" s="1" t="s">
        <v>27</v>
      </c>
      <c r="E1108" s="1" t="s">
        <v>58</v>
      </c>
      <c r="F1108" s="1" t="s">
        <v>162</v>
      </c>
      <c r="G1108" s="1" t="s">
        <v>23</v>
      </c>
      <c r="I1108" s="18">
        <v>41124.644479166665</v>
      </c>
      <c r="J1108" s="1" t="s">
        <v>40</v>
      </c>
      <c r="K1108" s="1" t="s">
        <v>18</v>
      </c>
      <c r="L1108" s="1" t="s">
        <v>19</v>
      </c>
      <c r="Q1108" s="21"/>
    </row>
    <row r="1109" spans="1:18" x14ac:dyDescent="0.15">
      <c r="A1109" s="1">
        <v>139961</v>
      </c>
      <c r="B1109" s="1">
        <v>0</v>
      </c>
      <c r="C1109" s="1" t="s">
        <v>41</v>
      </c>
      <c r="D1109" s="1" t="s">
        <v>27</v>
      </c>
      <c r="E1109" s="1" t="s">
        <v>693</v>
      </c>
      <c r="F1109" s="1" t="s">
        <v>694</v>
      </c>
      <c r="G1109" s="1" t="s">
        <v>23</v>
      </c>
      <c r="I1109" s="18">
        <v>41122.234953703701</v>
      </c>
      <c r="J1109" s="1" t="s">
        <v>40</v>
      </c>
      <c r="K1109" s="1" t="s">
        <v>18</v>
      </c>
      <c r="L1109" s="1" t="s">
        <v>19</v>
      </c>
      <c r="Q1109" s="21"/>
    </row>
    <row r="1110" spans="1:18" x14ac:dyDescent="0.15">
      <c r="A1110" s="1">
        <v>139814</v>
      </c>
      <c r="B1110" s="1">
        <v>1</v>
      </c>
      <c r="C1110" s="1" t="s">
        <v>26</v>
      </c>
      <c r="D1110" s="1" t="s">
        <v>27</v>
      </c>
      <c r="E1110" s="1" t="s">
        <v>1505</v>
      </c>
      <c r="F1110" s="1" t="s">
        <v>1506</v>
      </c>
      <c r="G1110" s="1" t="s">
        <v>23</v>
      </c>
      <c r="I1110" s="18">
        <v>41121.683645833335</v>
      </c>
      <c r="J1110" s="1" t="s">
        <v>76</v>
      </c>
      <c r="K1110" s="1" t="s">
        <v>18</v>
      </c>
      <c r="L1110" s="1" t="s">
        <v>19</v>
      </c>
      <c r="M1110" s="1">
        <v>136840</v>
      </c>
      <c r="N1110" s="1" t="s">
        <v>1507</v>
      </c>
      <c r="O1110" s="18">
        <v>41101.723576388889</v>
      </c>
      <c r="P1110" s="1" t="s">
        <v>1508</v>
      </c>
      <c r="Q1110" s="21">
        <f t="shared" ref="Q1110:Q1152" si="18">ABS(O1110-I1110)</f>
        <v>19.960069444445253</v>
      </c>
      <c r="R1110" s="1"/>
    </row>
    <row r="1111" spans="1:18" x14ac:dyDescent="0.15">
      <c r="A1111" s="1">
        <v>139690</v>
      </c>
      <c r="B1111" s="1">
        <v>0</v>
      </c>
      <c r="C1111" s="1" t="s">
        <v>26</v>
      </c>
      <c r="D1111" s="1" t="s">
        <v>27</v>
      </c>
      <c r="E1111" s="1" t="s">
        <v>3283</v>
      </c>
      <c r="F1111" s="1" t="s">
        <v>162</v>
      </c>
      <c r="G1111" s="1" t="s">
        <v>23</v>
      </c>
      <c r="I1111" s="18">
        <v>41120.853402777779</v>
      </c>
      <c r="J1111" s="1" t="s">
        <v>40</v>
      </c>
      <c r="K1111" s="1" t="s">
        <v>18</v>
      </c>
      <c r="L1111" s="1" t="s">
        <v>19</v>
      </c>
      <c r="Q1111" s="21"/>
    </row>
    <row r="1112" spans="1:18" x14ac:dyDescent="0.15">
      <c r="A1112" s="1">
        <v>139679</v>
      </c>
      <c r="B1112" s="1">
        <v>0</v>
      </c>
      <c r="C1112" s="1" t="s">
        <v>26</v>
      </c>
      <c r="D1112" s="1" t="s">
        <v>27</v>
      </c>
      <c r="E1112" s="1" t="s">
        <v>3259</v>
      </c>
      <c r="F1112" s="1" t="s">
        <v>592</v>
      </c>
      <c r="G1112" s="1" t="s">
        <v>23</v>
      </c>
      <c r="I1112" s="18">
        <v>41120.833935185183</v>
      </c>
      <c r="J1112" s="1" t="s">
        <v>40</v>
      </c>
      <c r="K1112" s="1" t="s">
        <v>18</v>
      </c>
      <c r="L1112" s="1" t="s">
        <v>19</v>
      </c>
      <c r="Q1112" s="21"/>
    </row>
    <row r="1113" spans="1:18" x14ac:dyDescent="0.15">
      <c r="A1113" s="1">
        <v>139646</v>
      </c>
      <c r="B1113" s="1">
        <v>1</v>
      </c>
      <c r="C1113" s="1" t="s">
        <v>26</v>
      </c>
      <c r="D1113" s="1" t="s">
        <v>27</v>
      </c>
      <c r="E1113" s="1" t="s">
        <v>601</v>
      </c>
      <c r="F1113" s="1" t="s">
        <v>602</v>
      </c>
      <c r="G1113" s="1" t="s">
        <v>23</v>
      </c>
      <c r="I1113" s="18">
        <v>41120.760798611111</v>
      </c>
      <c r="J1113" s="1" t="s">
        <v>40</v>
      </c>
      <c r="K1113" s="1" t="s">
        <v>18</v>
      </c>
      <c r="L1113" s="1" t="s">
        <v>19</v>
      </c>
      <c r="M1113" s="1">
        <v>141075</v>
      </c>
      <c r="N1113" s="1" t="s">
        <v>603</v>
      </c>
      <c r="O1113" s="18">
        <v>41128.451296296298</v>
      </c>
      <c r="P1113" s="1" t="s">
        <v>604</v>
      </c>
      <c r="Q1113" s="21">
        <f t="shared" si="18"/>
        <v>7.690497685187438</v>
      </c>
      <c r="R1113" s="1"/>
    </row>
    <row r="1114" spans="1:18" x14ac:dyDescent="0.15">
      <c r="A1114" s="1">
        <v>139530</v>
      </c>
      <c r="B1114" s="1">
        <v>0</v>
      </c>
      <c r="C1114" s="1" t="s">
        <v>26</v>
      </c>
      <c r="D1114" s="1" t="s">
        <v>27</v>
      </c>
      <c r="E1114" s="1" t="s">
        <v>633</v>
      </c>
      <c r="F1114" s="1" t="s">
        <v>162</v>
      </c>
      <c r="G1114" s="1" t="s">
        <v>23</v>
      </c>
      <c r="I1114" s="18">
        <v>41119.561608796299</v>
      </c>
      <c r="J1114" s="1" t="s">
        <v>40</v>
      </c>
      <c r="K1114" s="1" t="s">
        <v>18</v>
      </c>
      <c r="L1114" s="1" t="s">
        <v>19</v>
      </c>
      <c r="Q1114" s="21"/>
    </row>
    <row r="1115" spans="1:18" x14ac:dyDescent="0.15">
      <c r="A1115" s="1">
        <v>139475</v>
      </c>
      <c r="B1115" s="1">
        <v>0</v>
      </c>
      <c r="C1115" s="1" t="s">
        <v>41</v>
      </c>
      <c r="D1115" s="1" t="s">
        <v>27</v>
      </c>
      <c r="E1115" s="1" t="s">
        <v>1789</v>
      </c>
      <c r="F1115" s="1" t="s">
        <v>694</v>
      </c>
      <c r="G1115" s="1" t="s">
        <v>23</v>
      </c>
      <c r="I1115" s="18">
        <v>41118.228576388887</v>
      </c>
      <c r="J1115" s="1" t="s">
        <v>40</v>
      </c>
      <c r="K1115" s="1" t="s">
        <v>18</v>
      </c>
      <c r="L1115" s="1" t="s">
        <v>19</v>
      </c>
      <c r="Q1115" s="21"/>
    </row>
    <row r="1116" spans="1:18" x14ac:dyDescent="0.15">
      <c r="A1116" s="1">
        <v>139464</v>
      </c>
      <c r="B1116" s="1">
        <v>0</v>
      </c>
      <c r="C1116" s="1" t="s">
        <v>26</v>
      </c>
      <c r="D1116" s="1" t="s">
        <v>27</v>
      </c>
      <c r="E1116" s="1" t="s">
        <v>1126</v>
      </c>
      <c r="F1116" s="1" t="s">
        <v>1127</v>
      </c>
      <c r="G1116" s="1" t="s">
        <v>23</v>
      </c>
      <c r="I1116" s="18">
        <v>41118.133668981478</v>
      </c>
      <c r="J1116" s="1" t="s">
        <v>40</v>
      </c>
      <c r="K1116" s="1" t="s">
        <v>18</v>
      </c>
      <c r="L1116" s="1" t="s">
        <v>19</v>
      </c>
      <c r="Q1116" s="21"/>
    </row>
    <row r="1117" spans="1:18" x14ac:dyDescent="0.15">
      <c r="A1117" s="1">
        <v>139402</v>
      </c>
      <c r="B1117" s="1">
        <v>0</v>
      </c>
      <c r="C1117" s="1" t="s">
        <v>3315</v>
      </c>
      <c r="D1117" s="1" t="s">
        <v>27</v>
      </c>
      <c r="E1117" s="1" t="s">
        <v>3316</v>
      </c>
      <c r="F1117" s="1" t="s">
        <v>3317</v>
      </c>
      <c r="G1117" s="1" t="s">
        <v>23</v>
      </c>
      <c r="I1117" s="18">
        <v>41117.892280092594</v>
      </c>
      <c r="J1117" s="1" t="s">
        <v>40</v>
      </c>
      <c r="K1117" s="1" t="s">
        <v>18</v>
      </c>
      <c r="L1117" s="1" t="s">
        <v>19</v>
      </c>
      <c r="Q1117" s="21"/>
    </row>
    <row r="1118" spans="1:18" x14ac:dyDescent="0.15">
      <c r="A1118" s="1">
        <v>139321</v>
      </c>
      <c r="B1118" s="1">
        <v>1</v>
      </c>
      <c r="C1118" s="1" t="s">
        <v>26</v>
      </c>
      <c r="D1118" s="1" t="s">
        <v>27</v>
      </c>
      <c r="E1118" s="1" t="s">
        <v>3291</v>
      </c>
      <c r="F1118" s="1" t="s">
        <v>3292</v>
      </c>
      <c r="G1118" s="1" t="s">
        <v>23</v>
      </c>
      <c r="I1118" s="18">
        <v>41117.540717592594</v>
      </c>
      <c r="J1118" s="1" t="s">
        <v>155</v>
      </c>
      <c r="K1118" s="1" t="s">
        <v>18</v>
      </c>
      <c r="L1118" s="1" t="s">
        <v>19</v>
      </c>
      <c r="M1118" s="1">
        <v>138389</v>
      </c>
      <c r="N1118" s="1" t="s">
        <v>3293</v>
      </c>
      <c r="O1118" s="18">
        <v>41111.294039351851</v>
      </c>
      <c r="P1118" s="1" t="s">
        <v>40</v>
      </c>
      <c r="Q1118" s="21">
        <f t="shared" si="18"/>
        <v>6.2466782407427672</v>
      </c>
      <c r="R1118" s="1"/>
    </row>
    <row r="1119" spans="1:18" x14ac:dyDescent="0.15">
      <c r="A1119" s="1">
        <v>139240</v>
      </c>
      <c r="B1119" s="1">
        <v>0</v>
      </c>
      <c r="C1119" s="1" t="s">
        <v>26</v>
      </c>
      <c r="D1119" s="1" t="s">
        <v>27</v>
      </c>
      <c r="E1119" s="1" t="s">
        <v>1262</v>
      </c>
      <c r="F1119" s="1" t="s">
        <v>1263</v>
      </c>
      <c r="G1119" s="1" t="s">
        <v>23</v>
      </c>
      <c r="I1119" s="18">
        <v>41116.992303240739</v>
      </c>
      <c r="J1119" s="1" t="s">
        <v>40</v>
      </c>
      <c r="K1119" s="1" t="s">
        <v>18</v>
      </c>
      <c r="L1119" s="1" t="s">
        <v>19</v>
      </c>
      <c r="Q1119" s="21"/>
    </row>
    <row r="1120" spans="1:18" x14ac:dyDescent="0.15">
      <c r="A1120" s="1">
        <v>138990</v>
      </c>
      <c r="B1120" s="1">
        <v>0</v>
      </c>
      <c r="C1120" s="1" t="s">
        <v>41</v>
      </c>
      <c r="D1120" s="1" t="s">
        <v>27</v>
      </c>
      <c r="E1120" s="1" t="s">
        <v>3345</v>
      </c>
      <c r="F1120" s="1" t="s">
        <v>3346</v>
      </c>
      <c r="G1120" s="1" t="s">
        <v>23</v>
      </c>
      <c r="I1120" s="18">
        <v>41115.757951388892</v>
      </c>
      <c r="J1120" s="1" t="s">
        <v>155</v>
      </c>
      <c r="K1120" s="1" t="s">
        <v>18</v>
      </c>
      <c r="L1120" s="1" t="s">
        <v>19</v>
      </c>
      <c r="Q1120" s="21"/>
    </row>
    <row r="1121" spans="1:18" x14ac:dyDescent="0.15">
      <c r="A1121" s="1">
        <v>138915</v>
      </c>
      <c r="B1121" s="1">
        <v>0</v>
      </c>
      <c r="C1121" s="1" t="s">
        <v>26</v>
      </c>
      <c r="D1121" s="1" t="s">
        <v>27</v>
      </c>
      <c r="E1121" s="1" t="s">
        <v>161</v>
      </c>
      <c r="F1121" s="1" t="s">
        <v>162</v>
      </c>
      <c r="G1121" s="1" t="s">
        <v>23</v>
      </c>
      <c r="I1121" s="18">
        <v>41115.296759259261</v>
      </c>
      <c r="J1121" s="1" t="s">
        <v>40</v>
      </c>
      <c r="K1121" s="1" t="s">
        <v>18</v>
      </c>
      <c r="L1121" s="1" t="s">
        <v>19</v>
      </c>
      <c r="Q1121" s="21"/>
    </row>
    <row r="1122" spans="1:18" x14ac:dyDescent="0.15">
      <c r="A1122" s="1">
        <v>138673</v>
      </c>
      <c r="B1122" s="1">
        <v>0</v>
      </c>
      <c r="C1122" s="1" t="s">
        <v>170</v>
      </c>
      <c r="D1122" s="1" t="s">
        <v>27</v>
      </c>
      <c r="E1122" s="1" t="s">
        <v>1109</v>
      </c>
      <c r="F1122" s="1" t="s">
        <v>1110</v>
      </c>
      <c r="G1122" s="1" t="s">
        <v>23</v>
      </c>
      <c r="I1122" s="18">
        <v>41114.163530092592</v>
      </c>
      <c r="J1122" s="1" t="s">
        <v>1111</v>
      </c>
      <c r="K1122" s="1" t="s">
        <v>18</v>
      </c>
      <c r="L1122" s="1" t="s">
        <v>19</v>
      </c>
      <c r="Q1122" s="21"/>
    </row>
    <row r="1123" spans="1:18" x14ac:dyDescent="0.15">
      <c r="A1123" s="1">
        <v>138302</v>
      </c>
      <c r="B1123" s="1">
        <v>0</v>
      </c>
      <c r="C1123" s="1" t="s">
        <v>26</v>
      </c>
      <c r="D1123" s="1" t="s">
        <v>27</v>
      </c>
      <c r="E1123" s="1" t="s">
        <v>3290</v>
      </c>
      <c r="F1123" s="1" t="s">
        <v>592</v>
      </c>
      <c r="G1123" s="1" t="s">
        <v>23</v>
      </c>
      <c r="I1123" s="18">
        <v>41110.831990740742</v>
      </c>
      <c r="J1123" s="1" t="s">
        <v>40</v>
      </c>
      <c r="K1123" s="1" t="s">
        <v>18</v>
      </c>
      <c r="L1123" s="1" t="s">
        <v>19</v>
      </c>
      <c r="Q1123" s="21"/>
    </row>
    <row r="1124" spans="1:18" x14ac:dyDescent="0.15">
      <c r="A1124" s="1">
        <v>138208</v>
      </c>
      <c r="B1124" s="1">
        <v>1</v>
      </c>
      <c r="C1124" s="1" t="s">
        <v>514</v>
      </c>
      <c r="D1124" s="1" t="s">
        <v>27</v>
      </c>
      <c r="E1124" s="1" t="s">
        <v>1143</v>
      </c>
      <c r="F1124" s="1" t="s">
        <v>1144</v>
      </c>
      <c r="G1124" s="1" t="s">
        <v>23</v>
      </c>
      <c r="I1124" s="18">
        <v>41110.307106481479</v>
      </c>
      <c r="J1124" s="1" t="s">
        <v>408</v>
      </c>
      <c r="K1124" s="1" t="s">
        <v>18</v>
      </c>
      <c r="L1124" s="1" t="s">
        <v>19</v>
      </c>
      <c r="M1124" s="1">
        <v>144441</v>
      </c>
      <c r="N1124" s="1" t="s">
        <v>1145</v>
      </c>
      <c r="O1124" s="18">
        <v>41144.751828703702</v>
      </c>
      <c r="P1124" s="1" t="s">
        <v>44</v>
      </c>
      <c r="Q1124" s="21">
        <f t="shared" si="18"/>
        <v>34.444722222222481</v>
      </c>
      <c r="R1124" s="1"/>
    </row>
    <row r="1125" spans="1:18" x14ac:dyDescent="0.15">
      <c r="A1125" s="1">
        <v>137852</v>
      </c>
      <c r="B1125" s="1">
        <v>0</v>
      </c>
      <c r="C1125" s="1" t="s">
        <v>2506</v>
      </c>
      <c r="D1125" s="1" t="s">
        <v>27</v>
      </c>
      <c r="E1125" s="1" t="s">
        <v>2507</v>
      </c>
      <c r="F1125" s="1" t="s">
        <v>162</v>
      </c>
      <c r="G1125" s="1" t="s">
        <v>23</v>
      </c>
      <c r="I1125" s="18">
        <v>41108.618692129632</v>
      </c>
      <c r="J1125" s="1" t="s">
        <v>40</v>
      </c>
      <c r="K1125" s="1" t="s">
        <v>18</v>
      </c>
      <c r="L1125" s="1" t="s">
        <v>19</v>
      </c>
      <c r="Q1125" s="21"/>
    </row>
    <row r="1126" spans="1:18" x14ac:dyDescent="0.15">
      <c r="A1126" s="1">
        <v>137541</v>
      </c>
      <c r="B1126" s="1">
        <v>0</v>
      </c>
      <c r="C1126" s="1" t="s">
        <v>3493</v>
      </c>
      <c r="D1126" s="1" t="s">
        <v>27</v>
      </c>
      <c r="E1126" s="1" t="s">
        <v>3703</v>
      </c>
      <c r="F1126" s="1" t="s">
        <v>3704</v>
      </c>
      <c r="G1126" s="1" t="s">
        <v>16</v>
      </c>
      <c r="I1126" s="18">
        <v>41106.79346064815</v>
      </c>
      <c r="J1126" s="1" t="s">
        <v>3705</v>
      </c>
      <c r="K1126" s="1" t="s">
        <v>3586</v>
      </c>
      <c r="L1126" s="1" t="s">
        <v>19</v>
      </c>
      <c r="Q1126" s="21"/>
    </row>
    <row r="1127" spans="1:18" x14ac:dyDescent="0.15">
      <c r="A1127" s="1">
        <v>137409</v>
      </c>
      <c r="B1127" s="1">
        <v>0</v>
      </c>
      <c r="C1127" s="1" t="s">
        <v>26</v>
      </c>
      <c r="D1127" s="1" t="s">
        <v>27</v>
      </c>
      <c r="E1127" s="1" t="s">
        <v>300</v>
      </c>
      <c r="F1127" s="1" t="s">
        <v>301</v>
      </c>
      <c r="G1127" s="1" t="s">
        <v>23</v>
      </c>
      <c r="I1127" s="18">
        <v>41105.06591435185</v>
      </c>
      <c r="J1127" s="1" t="s">
        <v>40</v>
      </c>
      <c r="K1127" s="1" t="s">
        <v>18</v>
      </c>
      <c r="L1127" s="1" t="s">
        <v>19</v>
      </c>
      <c r="Q1127" s="21"/>
    </row>
    <row r="1128" spans="1:18" x14ac:dyDescent="0.15">
      <c r="A1128" s="1">
        <v>137147</v>
      </c>
      <c r="B1128" s="1">
        <v>0</v>
      </c>
      <c r="C1128" s="1" t="s">
        <v>527</v>
      </c>
      <c r="D1128" s="1" t="s">
        <v>27</v>
      </c>
      <c r="E1128" s="1" t="s">
        <v>1004</v>
      </c>
      <c r="F1128" s="1" t="s">
        <v>1005</v>
      </c>
      <c r="G1128" s="1" t="s">
        <v>23</v>
      </c>
      <c r="I1128" s="18">
        <v>41102.941932870373</v>
      </c>
      <c r="J1128" s="1" t="s">
        <v>40</v>
      </c>
      <c r="K1128" s="1" t="s">
        <v>18</v>
      </c>
      <c r="L1128" s="1" t="s">
        <v>19</v>
      </c>
      <c r="Q1128" s="21"/>
    </row>
    <row r="1129" spans="1:18" x14ac:dyDescent="0.15">
      <c r="A1129" s="1">
        <v>137052</v>
      </c>
      <c r="B1129" s="1">
        <v>0</v>
      </c>
      <c r="C1129" s="1" t="s">
        <v>26</v>
      </c>
      <c r="D1129" s="1" t="s">
        <v>27</v>
      </c>
      <c r="E1129" s="1" t="s">
        <v>2225</v>
      </c>
      <c r="F1129" s="1" t="s">
        <v>2226</v>
      </c>
      <c r="G1129" s="1" t="s">
        <v>23</v>
      </c>
      <c r="I1129" s="18">
        <v>41102.677858796298</v>
      </c>
      <c r="J1129" s="1" t="s">
        <v>40</v>
      </c>
      <c r="K1129" s="1" t="s">
        <v>18</v>
      </c>
      <c r="L1129" s="1" t="s">
        <v>19</v>
      </c>
      <c r="Q1129" s="21"/>
    </row>
    <row r="1130" spans="1:18" x14ac:dyDescent="0.15">
      <c r="A1130" s="1">
        <v>136894</v>
      </c>
      <c r="B1130" s="1">
        <v>0</v>
      </c>
      <c r="C1130" s="1" t="s">
        <v>1738</v>
      </c>
      <c r="D1130" s="1" t="s">
        <v>27</v>
      </c>
      <c r="E1130" s="1" t="s">
        <v>1739</v>
      </c>
      <c r="F1130" s="1" t="s">
        <v>1740</v>
      </c>
      <c r="G1130" s="1" t="s">
        <v>23</v>
      </c>
      <c r="I1130" s="18">
        <v>41101.880104166667</v>
      </c>
      <c r="J1130" s="1" t="s">
        <v>376</v>
      </c>
      <c r="K1130" s="1" t="s">
        <v>18</v>
      </c>
      <c r="L1130" s="1" t="s">
        <v>19</v>
      </c>
      <c r="Q1130" s="21"/>
    </row>
    <row r="1131" spans="1:18" x14ac:dyDescent="0.15">
      <c r="A1131" s="1">
        <v>136673</v>
      </c>
      <c r="B1131" s="1">
        <v>0</v>
      </c>
      <c r="C1131" s="1" t="s">
        <v>41</v>
      </c>
      <c r="D1131" s="1" t="s">
        <v>3911</v>
      </c>
      <c r="E1131" s="1" t="s">
        <v>4041</v>
      </c>
      <c r="F1131" s="1" t="s">
        <v>4042</v>
      </c>
      <c r="G1131" s="1" t="s">
        <v>23</v>
      </c>
      <c r="I1131" s="18">
        <v>41101.36509259259</v>
      </c>
      <c r="J1131" s="1" t="s">
        <v>155</v>
      </c>
      <c r="K1131" s="1" t="s">
        <v>18</v>
      </c>
      <c r="L1131" s="1" t="s">
        <v>19</v>
      </c>
      <c r="Q1131" s="21"/>
    </row>
    <row r="1132" spans="1:18" x14ac:dyDescent="0.15">
      <c r="A1132" s="1">
        <v>136344</v>
      </c>
      <c r="B1132" s="1">
        <v>0</v>
      </c>
      <c r="C1132" s="1" t="s">
        <v>26</v>
      </c>
      <c r="D1132" s="1" t="s">
        <v>27</v>
      </c>
      <c r="E1132" s="1" t="s">
        <v>1903</v>
      </c>
      <c r="F1132" s="1" t="s">
        <v>1904</v>
      </c>
      <c r="G1132" s="1" t="s">
        <v>23</v>
      </c>
      <c r="I1132" s="18">
        <v>41099.570231481484</v>
      </c>
      <c r="J1132" s="1" t="s">
        <v>40</v>
      </c>
      <c r="K1132" s="1" t="s">
        <v>18</v>
      </c>
      <c r="L1132" s="1" t="s">
        <v>19</v>
      </c>
      <c r="Q1132" s="21"/>
    </row>
    <row r="1133" spans="1:18" x14ac:dyDescent="0.15">
      <c r="A1133" s="1">
        <v>136296</v>
      </c>
      <c r="B1133" s="1">
        <v>0</v>
      </c>
      <c r="C1133" s="1" t="s">
        <v>41</v>
      </c>
      <c r="D1133" s="1" t="s">
        <v>27</v>
      </c>
      <c r="E1133" s="1" t="s">
        <v>1191</v>
      </c>
      <c r="F1133" s="1" t="s">
        <v>1192</v>
      </c>
      <c r="G1133" s="1" t="s">
        <v>23</v>
      </c>
      <c r="I1133" s="18">
        <v>41099.089722222219</v>
      </c>
      <c r="J1133" s="1" t="s">
        <v>40</v>
      </c>
      <c r="K1133" s="1" t="s">
        <v>18</v>
      </c>
      <c r="L1133" s="1" t="s">
        <v>19</v>
      </c>
      <c r="Q1133" s="21"/>
    </row>
    <row r="1134" spans="1:18" x14ac:dyDescent="0.15">
      <c r="A1134" s="1">
        <v>136235</v>
      </c>
      <c r="B1134" s="1">
        <v>0</v>
      </c>
      <c r="C1134" s="1" t="s">
        <v>26</v>
      </c>
      <c r="D1134" s="1" t="s">
        <v>27</v>
      </c>
      <c r="E1134" s="1" t="s">
        <v>1578</v>
      </c>
      <c r="F1134" s="1" t="s">
        <v>1579</v>
      </c>
      <c r="G1134" s="1" t="s">
        <v>23</v>
      </c>
      <c r="I1134" s="18">
        <v>41097.720011574071</v>
      </c>
      <c r="J1134" s="1" t="s">
        <v>544</v>
      </c>
      <c r="K1134" s="1" t="s">
        <v>18</v>
      </c>
      <c r="L1134" s="1" t="s">
        <v>19</v>
      </c>
      <c r="Q1134" s="21"/>
    </row>
    <row r="1135" spans="1:18" x14ac:dyDescent="0.15">
      <c r="A1135" s="1">
        <v>136226</v>
      </c>
      <c r="B1135" s="1">
        <v>0</v>
      </c>
      <c r="C1135" s="1" t="s">
        <v>527</v>
      </c>
      <c r="D1135" s="1" t="s">
        <v>27</v>
      </c>
      <c r="E1135" s="1" t="s">
        <v>473</v>
      </c>
      <c r="F1135" s="1" t="s">
        <v>2224</v>
      </c>
      <c r="G1135" s="1" t="s">
        <v>23</v>
      </c>
      <c r="I1135" s="18">
        <v>41097.584872685184</v>
      </c>
      <c r="J1135" s="1" t="s">
        <v>40</v>
      </c>
      <c r="K1135" s="1" t="s">
        <v>18</v>
      </c>
      <c r="L1135" s="1" t="s">
        <v>19</v>
      </c>
      <c r="Q1135" s="21"/>
    </row>
    <row r="1136" spans="1:18" x14ac:dyDescent="0.15">
      <c r="A1136" s="1">
        <v>136182</v>
      </c>
      <c r="B1136" s="1">
        <v>0</v>
      </c>
      <c r="C1136" s="1" t="s">
        <v>26</v>
      </c>
      <c r="D1136" s="1" t="s">
        <v>27</v>
      </c>
      <c r="E1136" s="1" t="s">
        <v>3313</v>
      </c>
      <c r="F1136" s="1" t="s">
        <v>3314</v>
      </c>
      <c r="G1136" s="1" t="s">
        <v>23</v>
      </c>
      <c r="I1136" s="18">
        <v>41096.726805555554</v>
      </c>
      <c r="J1136" s="1" t="s">
        <v>40</v>
      </c>
      <c r="K1136" s="1" t="s">
        <v>18</v>
      </c>
      <c r="L1136" s="1" t="s">
        <v>19</v>
      </c>
      <c r="Q1136" s="21"/>
    </row>
    <row r="1137" spans="1:22" x14ac:dyDescent="0.15">
      <c r="A1137" s="1">
        <v>136116</v>
      </c>
      <c r="B1137" s="1">
        <v>0</v>
      </c>
      <c r="C1137" s="1" t="s">
        <v>26</v>
      </c>
      <c r="D1137" s="1" t="s">
        <v>27</v>
      </c>
      <c r="E1137" s="1" t="s">
        <v>3391</v>
      </c>
      <c r="F1137" s="1" t="s">
        <v>3392</v>
      </c>
      <c r="G1137" s="1" t="s">
        <v>23</v>
      </c>
      <c r="I1137" s="18">
        <v>41095.819490740738</v>
      </c>
      <c r="J1137" s="1" t="s">
        <v>40</v>
      </c>
      <c r="K1137" s="1" t="s">
        <v>18</v>
      </c>
      <c r="L1137" s="1" t="s">
        <v>19</v>
      </c>
      <c r="Q1137" s="21"/>
    </row>
    <row r="1138" spans="1:22" x14ac:dyDescent="0.15">
      <c r="A1138" s="1">
        <v>135698</v>
      </c>
      <c r="B1138" s="1">
        <v>0</v>
      </c>
      <c r="C1138" s="1" t="s">
        <v>26</v>
      </c>
      <c r="D1138" s="1" t="s">
        <v>27</v>
      </c>
      <c r="E1138" s="1" t="s">
        <v>3150</v>
      </c>
      <c r="F1138" s="1" t="s">
        <v>3151</v>
      </c>
      <c r="G1138" s="1" t="s">
        <v>23</v>
      </c>
      <c r="I1138" s="18">
        <v>41094.130046296297</v>
      </c>
      <c r="J1138" s="1" t="s">
        <v>40</v>
      </c>
      <c r="K1138" s="1" t="s">
        <v>18</v>
      </c>
      <c r="L1138" s="1" t="s">
        <v>19</v>
      </c>
      <c r="Q1138" s="21"/>
    </row>
    <row r="1139" spans="1:22" x14ac:dyDescent="0.15">
      <c r="A1139" s="1">
        <v>135697</v>
      </c>
      <c r="B1139" s="1">
        <v>1</v>
      </c>
      <c r="C1139" s="1" t="s">
        <v>26</v>
      </c>
      <c r="D1139" s="1" t="s">
        <v>27</v>
      </c>
      <c r="E1139" s="1" t="s">
        <v>3148</v>
      </c>
      <c r="F1139" s="1" t="s">
        <v>1263</v>
      </c>
      <c r="G1139" s="1" t="s">
        <v>23</v>
      </c>
      <c r="I1139" s="18">
        <v>41094.129351851851</v>
      </c>
      <c r="J1139" s="1" t="s">
        <v>40</v>
      </c>
      <c r="K1139" s="1" t="s">
        <v>18</v>
      </c>
      <c r="L1139" s="1" t="s">
        <v>19</v>
      </c>
      <c r="M1139" s="1">
        <v>136358</v>
      </c>
      <c r="N1139" s="1" t="s">
        <v>3149</v>
      </c>
      <c r="O1139" s="18">
        <v>41099.635254629633</v>
      </c>
      <c r="P1139" s="1" t="s">
        <v>44</v>
      </c>
      <c r="Q1139" s="21">
        <f t="shared" si="18"/>
        <v>5.5059027777824667</v>
      </c>
      <c r="R1139" s="1"/>
    </row>
    <row r="1140" spans="1:22" x14ac:dyDescent="0.15">
      <c r="A1140" s="1">
        <v>135432</v>
      </c>
      <c r="B1140" s="1">
        <v>0</v>
      </c>
      <c r="C1140" s="1" t="s">
        <v>514</v>
      </c>
      <c r="D1140" s="1" t="s">
        <v>27</v>
      </c>
      <c r="E1140" s="1" t="s">
        <v>990</v>
      </c>
      <c r="F1140" s="1" t="s">
        <v>991</v>
      </c>
      <c r="G1140" s="1" t="s">
        <v>23</v>
      </c>
      <c r="I1140" s="18">
        <v>41092.607905092591</v>
      </c>
      <c r="J1140" s="1" t="s">
        <v>408</v>
      </c>
      <c r="K1140" s="1" t="s">
        <v>18</v>
      </c>
      <c r="L1140" s="1" t="s">
        <v>19</v>
      </c>
      <c r="Q1140" s="21"/>
    </row>
    <row r="1141" spans="1:22" x14ac:dyDescent="0.15">
      <c r="A1141" s="1">
        <v>135173</v>
      </c>
      <c r="B1141" s="1">
        <v>1</v>
      </c>
      <c r="C1141" s="1" t="s">
        <v>26</v>
      </c>
      <c r="D1141" s="1" t="s">
        <v>27</v>
      </c>
      <c r="E1141" s="1" t="s">
        <v>1339</v>
      </c>
      <c r="F1141" s="1" t="s">
        <v>1340</v>
      </c>
      <c r="G1141" s="1" t="s">
        <v>23</v>
      </c>
      <c r="I1141" s="18">
        <v>41089.614907407406</v>
      </c>
      <c r="J1141" s="1" t="s">
        <v>40</v>
      </c>
      <c r="K1141" s="1" t="s">
        <v>18</v>
      </c>
      <c r="L1141" s="1" t="s">
        <v>19</v>
      </c>
      <c r="M1141" s="1">
        <v>138683</v>
      </c>
      <c r="N1141" s="1" t="s">
        <v>1341</v>
      </c>
      <c r="O1141" s="18">
        <v>41114.291226851848</v>
      </c>
      <c r="P1141" s="1" t="s">
        <v>408</v>
      </c>
      <c r="Q1141" s="21">
        <f t="shared" si="18"/>
        <v>24.676319444442925</v>
      </c>
      <c r="R1141" s="1"/>
    </row>
    <row r="1142" spans="1:22" x14ac:dyDescent="0.15">
      <c r="A1142" s="1">
        <v>135071</v>
      </c>
      <c r="B1142" s="1">
        <v>2</v>
      </c>
      <c r="C1142" s="1" t="s">
        <v>26</v>
      </c>
      <c r="D1142" s="1" t="s">
        <v>27</v>
      </c>
      <c r="E1142" s="1" t="s">
        <v>2546</v>
      </c>
      <c r="F1142" s="1" t="s">
        <v>2547</v>
      </c>
      <c r="G1142" s="1" t="s">
        <v>23</v>
      </c>
      <c r="I1142" s="18">
        <v>41088.900358796294</v>
      </c>
      <c r="J1142" s="1" t="s">
        <v>40</v>
      </c>
      <c r="K1142" s="1" t="s">
        <v>18</v>
      </c>
      <c r="L1142" s="1" t="s">
        <v>19</v>
      </c>
      <c r="M1142" s="1">
        <v>135209</v>
      </c>
      <c r="N1142" s="1" t="s">
        <v>2548</v>
      </c>
      <c r="O1142" s="18">
        <v>41089.734652777777</v>
      </c>
      <c r="P1142" s="1" t="s">
        <v>155</v>
      </c>
      <c r="Q1142" s="21">
        <f t="shared" si="18"/>
        <v>0.83429398148291511</v>
      </c>
      <c r="R1142" s="1">
        <v>134874</v>
      </c>
      <c r="S1142" s="1" t="s">
        <v>2548</v>
      </c>
      <c r="T1142" s="2" t="s">
        <v>4173</v>
      </c>
      <c r="U1142" s="1" t="s">
        <v>44</v>
      </c>
      <c r="V1142" s="1"/>
    </row>
    <row r="1143" spans="1:22" x14ac:dyDescent="0.15">
      <c r="A1143" s="1">
        <v>134897</v>
      </c>
      <c r="B1143" s="1">
        <v>1</v>
      </c>
      <c r="C1143" s="1" t="s">
        <v>26</v>
      </c>
      <c r="D1143" s="1" t="s">
        <v>27</v>
      </c>
      <c r="E1143" s="1" t="s">
        <v>3164</v>
      </c>
      <c r="F1143" s="1" t="s">
        <v>3165</v>
      </c>
      <c r="G1143" s="1" t="s">
        <v>23</v>
      </c>
      <c r="I1143" s="18">
        <v>41087.834675925929</v>
      </c>
      <c r="J1143" s="1" t="s">
        <v>44</v>
      </c>
      <c r="K1143" s="1" t="s">
        <v>18</v>
      </c>
      <c r="L1143" s="1" t="s">
        <v>19</v>
      </c>
      <c r="M1143" s="1">
        <v>139217</v>
      </c>
      <c r="N1143" s="1" t="s">
        <v>3166</v>
      </c>
      <c r="O1143" s="18">
        <v>41116.918321759258</v>
      </c>
      <c r="P1143" s="1" t="s">
        <v>40</v>
      </c>
      <c r="Q1143" s="21">
        <f t="shared" si="18"/>
        <v>29.083645833328774</v>
      </c>
      <c r="R1143" s="1"/>
    </row>
    <row r="1144" spans="1:22" x14ac:dyDescent="0.15">
      <c r="A1144" s="1">
        <v>134428</v>
      </c>
      <c r="B1144" s="1">
        <v>0</v>
      </c>
      <c r="C1144" s="1" t="s">
        <v>41</v>
      </c>
      <c r="D1144" s="1" t="s">
        <v>27</v>
      </c>
      <c r="E1144" s="1" t="s">
        <v>2733</v>
      </c>
      <c r="F1144" s="1" t="s">
        <v>2734</v>
      </c>
      <c r="G1144" s="1" t="s">
        <v>23</v>
      </c>
      <c r="I1144" s="18">
        <v>41085.657800925925</v>
      </c>
      <c r="J1144" s="1" t="s">
        <v>40</v>
      </c>
      <c r="K1144" s="1" t="s">
        <v>18</v>
      </c>
      <c r="L1144" s="1" t="s">
        <v>19</v>
      </c>
      <c r="Q1144" s="21"/>
    </row>
    <row r="1145" spans="1:22" x14ac:dyDescent="0.15">
      <c r="A1145" s="1">
        <v>134324</v>
      </c>
      <c r="B1145" s="1">
        <v>0</v>
      </c>
      <c r="C1145" s="1" t="s">
        <v>26</v>
      </c>
      <c r="D1145" s="1" t="s">
        <v>27</v>
      </c>
      <c r="E1145" s="1" t="s">
        <v>380</v>
      </c>
      <c r="F1145" s="1" t="s">
        <v>162</v>
      </c>
      <c r="G1145" s="1" t="s">
        <v>23</v>
      </c>
      <c r="I1145" s="18">
        <v>41084.081747685188</v>
      </c>
      <c r="J1145" s="1" t="s">
        <v>40</v>
      </c>
      <c r="K1145" s="1" t="s">
        <v>18</v>
      </c>
      <c r="L1145" s="1" t="s">
        <v>19</v>
      </c>
      <c r="Q1145" s="21"/>
    </row>
    <row r="1146" spans="1:22" x14ac:dyDescent="0.15">
      <c r="A1146" s="1">
        <v>134305</v>
      </c>
      <c r="B1146" s="1">
        <v>0</v>
      </c>
      <c r="C1146" s="1" t="s">
        <v>26</v>
      </c>
      <c r="D1146" s="1" t="s">
        <v>27</v>
      </c>
      <c r="E1146" s="1" t="s">
        <v>566</v>
      </c>
      <c r="F1146" s="1" t="s">
        <v>567</v>
      </c>
      <c r="G1146" s="1" t="s">
        <v>23</v>
      </c>
      <c r="I1146" s="18">
        <v>41083.862615740742</v>
      </c>
      <c r="J1146" s="1" t="s">
        <v>40</v>
      </c>
      <c r="K1146" s="1" t="s">
        <v>18</v>
      </c>
      <c r="L1146" s="1" t="s">
        <v>19</v>
      </c>
      <c r="Q1146" s="21"/>
    </row>
    <row r="1147" spans="1:22" x14ac:dyDescent="0.15">
      <c r="A1147" s="1">
        <v>134123</v>
      </c>
      <c r="B1147" s="1">
        <v>0</v>
      </c>
      <c r="C1147" s="1" t="s">
        <v>26</v>
      </c>
      <c r="D1147" s="1" t="s">
        <v>27</v>
      </c>
      <c r="E1147" s="1" t="s">
        <v>762</v>
      </c>
      <c r="F1147" s="1" t="s">
        <v>763</v>
      </c>
      <c r="G1147" s="1" t="s">
        <v>23</v>
      </c>
      <c r="I1147" s="18">
        <v>41082.608784722222</v>
      </c>
      <c r="J1147" s="1" t="s">
        <v>40</v>
      </c>
      <c r="K1147" s="1" t="s">
        <v>18</v>
      </c>
      <c r="L1147" s="1" t="s">
        <v>19</v>
      </c>
      <c r="Q1147" s="21"/>
    </row>
    <row r="1148" spans="1:22" x14ac:dyDescent="0.15">
      <c r="A1148" s="1">
        <v>134088</v>
      </c>
      <c r="B1148" s="1">
        <v>0</v>
      </c>
      <c r="C1148" s="1" t="s">
        <v>26</v>
      </c>
      <c r="D1148" s="1" t="s">
        <v>27</v>
      </c>
      <c r="E1148" s="1" t="s">
        <v>737</v>
      </c>
      <c r="F1148" s="1" t="s">
        <v>738</v>
      </c>
      <c r="G1148" s="1" t="s">
        <v>23</v>
      </c>
      <c r="I1148" s="18">
        <v>41082.125416666669</v>
      </c>
      <c r="J1148" s="1" t="s">
        <v>739</v>
      </c>
      <c r="K1148" s="1" t="s">
        <v>18</v>
      </c>
      <c r="L1148" s="1" t="s">
        <v>19</v>
      </c>
      <c r="Q1148" s="21"/>
    </row>
    <row r="1149" spans="1:22" x14ac:dyDescent="0.15">
      <c r="A1149" s="1">
        <v>133892</v>
      </c>
      <c r="B1149" s="1">
        <v>0</v>
      </c>
      <c r="C1149" s="1" t="s">
        <v>26</v>
      </c>
      <c r="D1149" s="1" t="s">
        <v>27</v>
      </c>
      <c r="E1149" s="1" t="s">
        <v>3220</v>
      </c>
      <c r="F1149" s="1" t="s">
        <v>3221</v>
      </c>
      <c r="G1149" s="1" t="s">
        <v>23</v>
      </c>
      <c r="I1149" s="18">
        <v>41081.191689814812</v>
      </c>
      <c r="J1149" s="1" t="s">
        <v>40</v>
      </c>
      <c r="K1149" s="1" t="s">
        <v>18</v>
      </c>
      <c r="L1149" s="1" t="s">
        <v>19</v>
      </c>
      <c r="Q1149" s="21"/>
    </row>
    <row r="1150" spans="1:22" x14ac:dyDescent="0.15">
      <c r="A1150" s="1">
        <v>133418</v>
      </c>
      <c r="B1150" s="1">
        <v>1</v>
      </c>
      <c r="C1150" s="1" t="s">
        <v>26</v>
      </c>
      <c r="D1150" s="1" t="s">
        <v>27</v>
      </c>
      <c r="E1150" s="1" t="s">
        <v>380</v>
      </c>
      <c r="F1150" s="1" t="s">
        <v>381</v>
      </c>
      <c r="G1150" s="1" t="s">
        <v>23</v>
      </c>
      <c r="I1150" s="18">
        <v>41079.019826388889</v>
      </c>
      <c r="J1150" s="1" t="s">
        <v>40</v>
      </c>
      <c r="K1150" s="1" t="s">
        <v>18</v>
      </c>
      <c r="L1150" s="1" t="s">
        <v>19</v>
      </c>
      <c r="M1150" s="1">
        <v>131161</v>
      </c>
      <c r="N1150" s="1" t="s">
        <v>382</v>
      </c>
      <c r="O1150" s="18">
        <v>41065.469583333332</v>
      </c>
      <c r="P1150" s="1" t="s">
        <v>155</v>
      </c>
      <c r="Q1150" s="21">
        <f t="shared" si="18"/>
        <v>13.550243055557075</v>
      </c>
      <c r="R1150" s="1"/>
    </row>
    <row r="1151" spans="1:22" x14ac:dyDescent="0.15">
      <c r="A1151" s="1">
        <v>133195</v>
      </c>
      <c r="B1151" s="1">
        <v>0</v>
      </c>
      <c r="C1151" s="1" t="s">
        <v>26</v>
      </c>
      <c r="D1151" s="1" t="s">
        <v>3911</v>
      </c>
      <c r="E1151" s="1" t="s">
        <v>3998</v>
      </c>
      <c r="F1151" s="1" t="s">
        <v>3999</v>
      </c>
      <c r="G1151" s="1" t="s">
        <v>23</v>
      </c>
      <c r="I1151" s="18">
        <v>41077.113877314812</v>
      </c>
      <c r="J1151" s="1" t="s">
        <v>40</v>
      </c>
      <c r="K1151" s="1" t="s">
        <v>18</v>
      </c>
      <c r="L1151" s="1" t="s">
        <v>19</v>
      </c>
      <c r="Q1151" s="21"/>
    </row>
    <row r="1152" spans="1:22" x14ac:dyDescent="0.15">
      <c r="A1152" s="1">
        <v>132890</v>
      </c>
      <c r="B1152" s="1">
        <v>1</v>
      </c>
      <c r="C1152" s="1" t="s">
        <v>549</v>
      </c>
      <c r="D1152" s="1" t="s">
        <v>27</v>
      </c>
      <c r="E1152" s="1" t="s">
        <v>1586</v>
      </c>
      <c r="F1152" s="1" t="s">
        <v>1587</v>
      </c>
      <c r="G1152" s="1" t="s">
        <v>23</v>
      </c>
      <c r="I1152" s="18">
        <v>41074.949687499997</v>
      </c>
      <c r="J1152" s="1" t="s">
        <v>1588</v>
      </c>
      <c r="K1152" s="1" t="s">
        <v>18</v>
      </c>
      <c r="L1152" s="1" t="s">
        <v>19</v>
      </c>
      <c r="M1152" s="1">
        <v>135706</v>
      </c>
      <c r="N1152" s="1" t="s">
        <v>1589</v>
      </c>
      <c r="O1152" s="18">
        <v>41094.300717592596</v>
      </c>
      <c r="P1152" s="1" t="s">
        <v>1590</v>
      </c>
      <c r="Q1152" s="21">
        <f t="shared" si="18"/>
        <v>19.351030092599103</v>
      </c>
      <c r="R1152" s="1"/>
    </row>
    <row r="1153" spans="1:18" x14ac:dyDescent="0.15">
      <c r="A1153" s="1">
        <v>132779</v>
      </c>
      <c r="B1153" s="1">
        <v>0</v>
      </c>
      <c r="C1153" s="1" t="s">
        <v>373</v>
      </c>
      <c r="D1153" s="1" t="s">
        <v>27</v>
      </c>
      <c r="E1153" s="1" t="s">
        <v>374</v>
      </c>
      <c r="F1153" s="1" t="s">
        <v>375</v>
      </c>
      <c r="G1153" s="1"/>
      <c r="H1153" s="1"/>
      <c r="I1153" s="18">
        <v>41074.714814814812</v>
      </c>
      <c r="J1153" s="1" t="s">
        <v>376</v>
      </c>
      <c r="K1153" s="1" t="s">
        <v>18</v>
      </c>
      <c r="L1153" s="1" t="s">
        <v>19</v>
      </c>
      <c r="Q1153" s="21"/>
    </row>
    <row r="1154" spans="1:18" x14ac:dyDescent="0.15">
      <c r="A1154" s="1">
        <v>132690</v>
      </c>
      <c r="B1154" s="1">
        <v>0</v>
      </c>
      <c r="C1154" s="1" t="s">
        <v>26</v>
      </c>
      <c r="D1154" s="1" t="s">
        <v>27</v>
      </c>
      <c r="E1154" s="1" t="s">
        <v>1657</v>
      </c>
      <c r="F1154" s="1" t="s">
        <v>1658</v>
      </c>
      <c r="G1154" s="1" t="s">
        <v>23</v>
      </c>
      <c r="I1154" s="18">
        <v>41074.061747685184</v>
      </c>
      <c r="J1154" s="1" t="s">
        <v>40</v>
      </c>
      <c r="K1154" s="1" t="s">
        <v>18</v>
      </c>
      <c r="L1154" s="1" t="s">
        <v>19</v>
      </c>
      <c r="Q1154" s="21"/>
    </row>
    <row r="1155" spans="1:18" x14ac:dyDescent="0.15">
      <c r="A1155" s="1">
        <v>132241</v>
      </c>
      <c r="B1155" s="1">
        <v>0</v>
      </c>
      <c r="C1155" s="1" t="s">
        <v>26</v>
      </c>
      <c r="D1155" s="1" t="s">
        <v>27</v>
      </c>
      <c r="E1155" s="1" t="s">
        <v>1749</v>
      </c>
      <c r="F1155" s="1" t="s">
        <v>1750</v>
      </c>
      <c r="G1155" s="1" t="s">
        <v>23</v>
      </c>
      <c r="I1155" s="18">
        <v>41072.457175925927</v>
      </c>
      <c r="J1155" s="1" t="s">
        <v>40</v>
      </c>
      <c r="K1155" s="1" t="s">
        <v>18</v>
      </c>
      <c r="L1155" s="1" t="s">
        <v>19</v>
      </c>
      <c r="Q1155" s="21"/>
    </row>
    <row r="1156" spans="1:18" x14ac:dyDescent="0.15">
      <c r="A1156" s="1">
        <v>132019</v>
      </c>
      <c r="B1156" s="1">
        <v>0</v>
      </c>
      <c r="C1156" s="1" t="s">
        <v>26</v>
      </c>
      <c r="D1156" s="1" t="s">
        <v>27</v>
      </c>
      <c r="E1156" s="1" t="s">
        <v>291</v>
      </c>
      <c r="F1156" s="1" t="s">
        <v>162</v>
      </c>
      <c r="G1156" s="1" t="s">
        <v>23</v>
      </c>
      <c r="I1156" s="18">
        <v>41070.924189814818</v>
      </c>
      <c r="J1156" s="1" t="s">
        <v>40</v>
      </c>
      <c r="K1156" s="1" t="s">
        <v>18</v>
      </c>
      <c r="L1156" s="1" t="s">
        <v>19</v>
      </c>
      <c r="Q1156" s="21"/>
    </row>
    <row r="1157" spans="1:18" x14ac:dyDescent="0.15">
      <c r="A1157" s="1">
        <v>131087</v>
      </c>
      <c r="B1157" s="1">
        <v>0</v>
      </c>
      <c r="C1157" s="1" t="s">
        <v>26</v>
      </c>
      <c r="D1157" s="1" t="s">
        <v>27</v>
      </c>
      <c r="E1157" s="1" t="s">
        <v>560</v>
      </c>
      <c r="F1157" s="1" t="s">
        <v>561</v>
      </c>
      <c r="G1157" s="1" t="s">
        <v>23</v>
      </c>
      <c r="I1157" s="18">
        <v>41064.925983796296</v>
      </c>
      <c r="J1157" s="1" t="s">
        <v>40</v>
      </c>
      <c r="K1157" s="1" t="s">
        <v>18</v>
      </c>
      <c r="L1157" s="1" t="s">
        <v>19</v>
      </c>
      <c r="Q1157" s="21"/>
    </row>
    <row r="1158" spans="1:18" x14ac:dyDescent="0.15">
      <c r="A1158" s="1">
        <v>130927</v>
      </c>
      <c r="B1158" s="1">
        <v>0</v>
      </c>
      <c r="C1158" s="1" t="s">
        <v>26</v>
      </c>
      <c r="D1158" s="1" t="s">
        <v>27</v>
      </c>
      <c r="E1158" s="1" t="s">
        <v>3399</v>
      </c>
      <c r="F1158" s="1" t="s">
        <v>3400</v>
      </c>
      <c r="G1158" s="1" t="s">
        <v>23</v>
      </c>
      <c r="I1158" s="18">
        <v>41063.666250000002</v>
      </c>
      <c r="J1158" s="1" t="s">
        <v>155</v>
      </c>
      <c r="K1158" s="1" t="s">
        <v>18</v>
      </c>
      <c r="L1158" s="1" t="s">
        <v>19</v>
      </c>
      <c r="Q1158" s="21"/>
    </row>
    <row r="1159" spans="1:18" x14ac:dyDescent="0.15">
      <c r="A1159" s="1">
        <v>130723</v>
      </c>
      <c r="B1159" s="1">
        <v>0</v>
      </c>
      <c r="C1159" s="1" t="s">
        <v>26</v>
      </c>
      <c r="D1159" s="1" t="s">
        <v>27</v>
      </c>
      <c r="E1159" s="1" t="s">
        <v>3225</v>
      </c>
      <c r="F1159" s="1" t="s">
        <v>3226</v>
      </c>
      <c r="G1159" s="1" t="s">
        <v>23</v>
      </c>
      <c r="I1159" s="18">
        <v>41061.296782407408</v>
      </c>
      <c r="J1159" s="1" t="s">
        <v>40</v>
      </c>
      <c r="K1159" s="1" t="s">
        <v>18</v>
      </c>
      <c r="L1159" s="1" t="s">
        <v>19</v>
      </c>
      <c r="Q1159" s="21"/>
    </row>
    <row r="1160" spans="1:18" x14ac:dyDescent="0.15">
      <c r="A1160" s="1">
        <v>130722</v>
      </c>
      <c r="B1160" s="1">
        <v>0</v>
      </c>
      <c r="C1160" s="1" t="s">
        <v>26</v>
      </c>
      <c r="D1160" s="1" t="s">
        <v>27</v>
      </c>
      <c r="E1160" s="1" t="s">
        <v>875</v>
      </c>
      <c r="F1160" s="1" t="s">
        <v>3227</v>
      </c>
      <c r="G1160" s="1" t="s">
        <v>23</v>
      </c>
      <c r="I1160" s="18">
        <v>41061.291226851848</v>
      </c>
      <c r="J1160" s="1" t="s">
        <v>40</v>
      </c>
      <c r="K1160" s="1" t="s">
        <v>18</v>
      </c>
      <c r="L1160" s="1" t="s">
        <v>19</v>
      </c>
      <c r="Q1160" s="21"/>
    </row>
    <row r="1161" spans="1:18" x14ac:dyDescent="0.15">
      <c r="A1161" s="1">
        <v>130595</v>
      </c>
      <c r="B1161" s="1">
        <v>0</v>
      </c>
      <c r="C1161" s="1" t="s">
        <v>26</v>
      </c>
      <c r="D1161" s="1" t="s">
        <v>27</v>
      </c>
      <c r="E1161" s="1" t="s">
        <v>2549</v>
      </c>
      <c r="F1161" s="1" t="s">
        <v>2550</v>
      </c>
      <c r="G1161" s="1" t="s">
        <v>23</v>
      </c>
      <c r="I1161" s="18">
        <v>41060.770254629628</v>
      </c>
      <c r="J1161" s="1" t="s">
        <v>44</v>
      </c>
      <c r="K1161" s="1" t="s">
        <v>18</v>
      </c>
      <c r="L1161" s="1" t="s">
        <v>19</v>
      </c>
      <c r="Q1161" s="21"/>
    </row>
    <row r="1162" spans="1:18" x14ac:dyDescent="0.15">
      <c r="A1162" s="1">
        <v>130369</v>
      </c>
      <c r="B1162" s="1">
        <v>1</v>
      </c>
      <c r="C1162" s="1" t="s">
        <v>26</v>
      </c>
      <c r="D1162" s="1" t="s">
        <v>27</v>
      </c>
      <c r="E1162" s="1" t="s">
        <v>380</v>
      </c>
      <c r="F1162" s="1" t="s">
        <v>2240</v>
      </c>
      <c r="G1162" s="1" t="s">
        <v>23</v>
      </c>
      <c r="I1162" s="18">
        <v>41059.860358796293</v>
      </c>
      <c r="J1162" s="1" t="s">
        <v>40</v>
      </c>
      <c r="K1162" s="1" t="s">
        <v>18</v>
      </c>
      <c r="L1162" s="1" t="s">
        <v>19</v>
      </c>
      <c r="M1162" s="1">
        <v>130605</v>
      </c>
      <c r="N1162" s="1" t="s">
        <v>2241</v>
      </c>
      <c r="O1162" s="18">
        <v>41060.786319444444</v>
      </c>
      <c r="P1162" s="1" t="s">
        <v>44</v>
      </c>
      <c r="Q1162" s="21">
        <f t="shared" ref="Q1162:Q1223" si="19">ABS(O1162-I1162)</f>
        <v>0.92596064815006685</v>
      </c>
      <c r="R1162" s="1"/>
    </row>
    <row r="1163" spans="1:18" x14ac:dyDescent="0.15">
      <c r="A1163" s="1">
        <v>130356</v>
      </c>
      <c r="B1163" s="1">
        <v>0</v>
      </c>
      <c r="C1163" s="1" t="s">
        <v>41</v>
      </c>
      <c r="D1163" s="1" t="s">
        <v>27</v>
      </c>
      <c r="E1163" s="1" t="s">
        <v>659</v>
      </c>
      <c r="F1163" s="1" t="s">
        <v>660</v>
      </c>
      <c r="G1163" s="1" t="s">
        <v>23</v>
      </c>
      <c r="I1163" s="18">
        <v>41059.81931712963</v>
      </c>
      <c r="J1163" s="1" t="s">
        <v>44</v>
      </c>
      <c r="K1163" s="1" t="s">
        <v>18</v>
      </c>
      <c r="L1163" s="1" t="s">
        <v>19</v>
      </c>
      <c r="Q1163" s="21"/>
    </row>
    <row r="1164" spans="1:18" x14ac:dyDescent="0.15">
      <c r="A1164" s="1">
        <v>130235</v>
      </c>
      <c r="B1164" s="1">
        <v>0</v>
      </c>
      <c r="C1164" s="1" t="s">
        <v>26</v>
      </c>
      <c r="D1164" s="1" t="s">
        <v>27</v>
      </c>
      <c r="E1164" s="1" t="s">
        <v>2731</v>
      </c>
      <c r="F1164" s="1" t="s">
        <v>2732</v>
      </c>
      <c r="G1164" s="1" t="s">
        <v>23</v>
      </c>
      <c r="I1164" s="18">
        <v>41059.171423611115</v>
      </c>
      <c r="J1164" s="1" t="s">
        <v>40</v>
      </c>
      <c r="K1164" s="1" t="s">
        <v>18</v>
      </c>
      <c r="L1164" s="1" t="s">
        <v>19</v>
      </c>
      <c r="Q1164" s="21"/>
    </row>
    <row r="1165" spans="1:18" x14ac:dyDescent="0.15">
      <c r="A1165" s="1">
        <v>129951</v>
      </c>
      <c r="B1165" s="1">
        <v>0</v>
      </c>
      <c r="C1165" s="1" t="s">
        <v>2834</v>
      </c>
      <c r="D1165" s="1" t="s">
        <v>27</v>
      </c>
      <c r="E1165" s="1" t="s">
        <v>2835</v>
      </c>
      <c r="F1165" s="1" t="s">
        <v>2836</v>
      </c>
      <c r="G1165" s="1" t="s">
        <v>23</v>
      </c>
      <c r="I1165" s="18">
        <v>41056.805069444446</v>
      </c>
      <c r="J1165" s="1" t="s">
        <v>44</v>
      </c>
      <c r="K1165" s="1" t="s">
        <v>18</v>
      </c>
      <c r="L1165" s="1" t="s">
        <v>19</v>
      </c>
      <c r="Q1165" s="21"/>
    </row>
    <row r="1166" spans="1:18" x14ac:dyDescent="0.15">
      <c r="A1166" s="1">
        <v>129947</v>
      </c>
      <c r="B1166" s="1">
        <v>0</v>
      </c>
      <c r="C1166" s="1" t="s">
        <v>26</v>
      </c>
      <c r="D1166" s="1" t="s">
        <v>27</v>
      </c>
      <c r="E1166" s="1" t="s">
        <v>2190</v>
      </c>
      <c r="F1166" s="1" t="s">
        <v>2191</v>
      </c>
      <c r="G1166" s="1" t="s">
        <v>23</v>
      </c>
      <c r="I1166" s="18">
        <v>41056.735995370371</v>
      </c>
      <c r="J1166" s="1" t="s">
        <v>44</v>
      </c>
      <c r="K1166" s="1" t="s">
        <v>18</v>
      </c>
      <c r="L1166" s="1" t="s">
        <v>19</v>
      </c>
      <c r="Q1166" s="21"/>
    </row>
    <row r="1167" spans="1:18" x14ac:dyDescent="0.15">
      <c r="A1167" s="1">
        <v>129936</v>
      </c>
      <c r="B1167" s="1">
        <v>1</v>
      </c>
      <c r="C1167" s="1" t="s">
        <v>26</v>
      </c>
      <c r="D1167" s="1" t="s">
        <v>27</v>
      </c>
      <c r="E1167" s="1" t="s">
        <v>2441</v>
      </c>
      <c r="F1167" s="1" t="s">
        <v>2442</v>
      </c>
      <c r="G1167" s="1" t="s">
        <v>23</v>
      </c>
      <c r="I1167" s="18">
        <v>41056.55605324074</v>
      </c>
      <c r="J1167" s="1" t="s">
        <v>40</v>
      </c>
      <c r="K1167" s="1" t="s">
        <v>18</v>
      </c>
      <c r="L1167" s="1" t="s">
        <v>19</v>
      </c>
      <c r="M1167" s="1">
        <v>124520</v>
      </c>
      <c r="N1167" s="1" t="s">
        <v>2443</v>
      </c>
      <c r="O1167" s="18">
        <v>41020.117534722223</v>
      </c>
      <c r="P1167" s="1" t="s">
        <v>155</v>
      </c>
      <c r="Q1167" s="21">
        <f t="shared" si="19"/>
        <v>36.438518518516503</v>
      </c>
      <c r="R1167" s="1"/>
    </row>
    <row r="1168" spans="1:18" x14ac:dyDescent="0.15">
      <c r="A1168" s="1">
        <v>129930</v>
      </c>
      <c r="B1168" s="1">
        <v>0</v>
      </c>
      <c r="C1168" s="1" t="s">
        <v>170</v>
      </c>
      <c r="D1168" s="1" t="s">
        <v>27</v>
      </c>
      <c r="E1168" s="1" t="s">
        <v>2444</v>
      </c>
      <c r="F1168" s="1" t="s">
        <v>2445</v>
      </c>
      <c r="G1168" s="1" t="s">
        <v>16</v>
      </c>
      <c r="I1168" s="18">
        <v>41056.427152777775</v>
      </c>
      <c r="J1168" s="1" t="s">
        <v>376</v>
      </c>
      <c r="K1168" s="1" t="s">
        <v>18</v>
      </c>
      <c r="L1168" s="1" t="s">
        <v>19</v>
      </c>
      <c r="Q1168" s="21"/>
    </row>
    <row r="1169" spans="1:18" x14ac:dyDescent="0.15">
      <c r="A1169" s="1">
        <v>129898</v>
      </c>
      <c r="B1169" s="1">
        <v>0</v>
      </c>
      <c r="C1169" s="1" t="s">
        <v>26</v>
      </c>
      <c r="D1169" s="1" t="s">
        <v>27</v>
      </c>
      <c r="E1169" s="1" t="s">
        <v>209</v>
      </c>
      <c r="F1169" s="1" t="s">
        <v>210</v>
      </c>
      <c r="G1169" s="1" t="s">
        <v>23</v>
      </c>
      <c r="I1169" s="18">
        <v>41055.804467592592</v>
      </c>
      <c r="J1169" s="1" t="s">
        <v>44</v>
      </c>
      <c r="K1169" s="1" t="s">
        <v>18</v>
      </c>
      <c r="L1169" s="1" t="s">
        <v>19</v>
      </c>
      <c r="Q1169" s="21"/>
    </row>
    <row r="1170" spans="1:18" x14ac:dyDescent="0.15">
      <c r="A1170" s="1">
        <v>129890</v>
      </c>
      <c r="B1170" s="1">
        <v>0</v>
      </c>
      <c r="C1170" s="1" t="s">
        <v>26</v>
      </c>
      <c r="D1170" s="1" t="s">
        <v>27</v>
      </c>
      <c r="E1170" s="1" t="s">
        <v>206</v>
      </c>
      <c r="F1170" s="1" t="s">
        <v>207</v>
      </c>
      <c r="G1170" s="1" t="s">
        <v>23</v>
      </c>
      <c r="I1170" s="18">
        <v>41055.675000000003</v>
      </c>
      <c r="J1170" s="1" t="s">
        <v>208</v>
      </c>
      <c r="K1170" s="1" t="s">
        <v>18</v>
      </c>
      <c r="L1170" s="1" t="s">
        <v>19</v>
      </c>
      <c r="Q1170" s="21"/>
    </row>
    <row r="1171" spans="1:18" x14ac:dyDescent="0.15">
      <c r="A1171" s="1">
        <v>129569</v>
      </c>
      <c r="B1171" s="1">
        <v>0</v>
      </c>
      <c r="C1171" s="1" t="s">
        <v>527</v>
      </c>
      <c r="D1171" s="1" t="s">
        <v>27</v>
      </c>
      <c r="E1171" s="1" t="s">
        <v>1113</v>
      </c>
      <c r="F1171" s="1" t="s">
        <v>1114</v>
      </c>
      <c r="G1171" s="1" t="s">
        <v>23</v>
      </c>
      <c r="I1171" s="18">
        <v>41053.625833333332</v>
      </c>
      <c r="J1171" s="1" t="s">
        <v>40</v>
      </c>
      <c r="K1171" s="1" t="s">
        <v>18</v>
      </c>
      <c r="L1171" s="1" t="s">
        <v>19</v>
      </c>
      <c r="Q1171" s="21"/>
    </row>
    <row r="1172" spans="1:18" x14ac:dyDescent="0.15">
      <c r="A1172" s="1">
        <v>128497</v>
      </c>
      <c r="B1172" s="1">
        <v>0</v>
      </c>
      <c r="C1172" s="1" t="s">
        <v>26</v>
      </c>
      <c r="D1172" s="1" t="s">
        <v>27</v>
      </c>
      <c r="E1172" s="1" t="s">
        <v>2467</v>
      </c>
      <c r="F1172" s="1" t="s">
        <v>2468</v>
      </c>
      <c r="G1172" s="1" t="s">
        <v>23</v>
      </c>
      <c r="I1172" s="18">
        <v>41046.226354166669</v>
      </c>
      <c r="J1172" s="1" t="s">
        <v>40</v>
      </c>
      <c r="K1172" s="1" t="s">
        <v>18</v>
      </c>
      <c r="L1172" s="1" t="s">
        <v>19</v>
      </c>
      <c r="Q1172" s="21"/>
    </row>
    <row r="1173" spans="1:18" x14ac:dyDescent="0.15">
      <c r="A1173" s="1">
        <v>128336</v>
      </c>
      <c r="B1173" s="1">
        <v>0</v>
      </c>
      <c r="C1173" s="1" t="s">
        <v>26</v>
      </c>
      <c r="D1173" s="1" t="s">
        <v>27</v>
      </c>
      <c r="E1173" s="1" t="s">
        <v>2678</v>
      </c>
      <c r="F1173" s="1" t="s">
        <v>2679</v>
      </c>
      <c r="G1173" s="1" t="s">
        <v>23</v>
      </c>
      <c r="I1173" s="18">
        <v>41045.523101851853</v>
      </c>
      <c r="J1173" s="1" t="s">
        <v>40</v>
      </c>
      <c r="K1173" s="1" t="s">
        <v>18</v>
      </c>
      <c r="L1173" s="1" t="s">
        <v>19</v>
      </c>
      <c r="Q1173" s="21"/>
    </row>
    <row r="1174" spans="1:18" x14ac:dyDescent="0.15">
      <c r="A1174" s="1">
        <v>128159</v>
      </c>
      <c r="B1174" s="1">
        <v>0</v>
      </c>
      <c r="C1174" s="1" t="s">
        <v>26</v>
      </c>
      <c r="D1174" s="1" t="s">
        <v>27</v>
      </c>
      <c r="E1174" s="1" t="s">
        <v>1220</v>
      </c>
      <c r="F1174" s="1" t="s">
        <v>381</v>
      </c>
      <c r="G1174" s="1" t="s">
        <v>23</v>
      </c>
      <c r="I1174" s="18">
        <v>41044.559907407405</v>
      </c>
      <c r="J1174" s="1" t="s">
        <v>40</v>
      </c>
      <c r="K1174" s="1" t="s">
        <v>18</v>
      </c>
      <c r="L1174" s="1" t="s">
        <v>19</v>
      </c>
      <c r="Q1174" s="21"/>
    </row>
    <row r="1175" spans="1:18" x14ac:dyDescent="0.15">
      <c r="A1175" s="1">
        <v>128151</v>
      </c>
      <c r="B1175" s="1">
        <v>0</v>
      </c>
      <c r="C1175" s="1" t="s">
        <v>26</v>
      </c>
      <c r="D1175" s="1" t="s">
        <v>27</v>
      </c>
      <c r="E1175" s="1" t="s">
        <v>1221</v>
      </c>
      <c r="F1175" s="1" t="s">
        <v>1222</v>
      </c>
      <c r="G1175" s="1" t="s">
        <v>23</v>
      </c>
      <c r="I1175" s="18">
        <v>41044.456377314818</v>
      </c>
      <c r="J1175" s="1" t="s">
        <v>544</v>
      </c>
      <c r="K1175" s="1" t="s">
        <v>18</v>
      </c>
      <c r="L1175" s="1" t="s">
        <v>19</v>
      </c>
      <c r="Q1175" s="21"/>
    </row>
    <row r="1176" spans="1:18" x14ac:dyDescent="0.15">
      <c r="A1176" s="1">
        <v>128018</v>
      </c>
      <c r="B1176" s="1">
        <v>0</v>
      </c>
      <c r="C1176" s="1" t="s">
        <v>843</v>
      </c>
      <c r="D1176" s="1" t="s">
        <v>27</v>
      </c>
      <c r="E1176" s="1" t="s">
        <v>2137</v>
      </c>
      <c r="F1176" s="1" t="s">
        <v>2138</v>
      </c>
      <c r="G1176" s="1" t="s">
        <v>23</v>
      </c>
      <c r="I1176" s="18">
        <v>41043.46297453704</v>
      </c>
      <c r="J1176" s="1" t="s">
        <v>958</v>
      </c>
      <c r="K1176" s="1" t="s">
        <v>18</v>
      </c>
      <c r="L1176" s="1" t="s">
        <v>19</v>
      </c>
      <c r="Q1176" s="21"/>
    </row>
    <row r="1177" spans="1:18" x14ac:dyDescent="0.15">
      <c r="A1177" s="1">
        <v>127367</v>
      </c>
      <c r="B1177" s="1">
        <v>0</v>
      </c>
      <c r="C1177" s="1" t="s">
        <v>26</v>
      </c>
      <c r="D1177" s="1" t="s">
        <v>27</v>
      </c>
      <c r="E1177" s="1" t="s">
        <v>2437</v>
      </c>
      <c r="F1177" s="1" t="s">
        <v>2438</v>
      </c>
      <c r="G1177" s="1" t="s">
        <v>23</v>
      </c>
      <c r="I1177" s="18">
        <v>41038.232488425929</v>
      </c>
      <c r="J1177" s="1" t="s">
        <v>40</v>
      </c>
      <c r="K1177" s="1" t="s">
        <v>18</v>
      </c>
      <c r="L1177" s="1" t="s">
        <v>19</v>
      </c>
      <c r="Q1177" s="21"/>
    </row>
    <row r="1178" spans="1:18" x14ac:dyDescent="0.15">
      <c r="A1178" s="1">
        <v>127366</v>
      </c>
      <c r="B1178" s="1">
        <v>0</v>
      </c>
      <c r="C1178" s="1" t="s">
        <v>26</v>
      </c>
      <c r="D1178" s="1" t="s">
        <v>27</v>
      </c>
      <c r="E1178" s="1" t="s">
        <v>2439</v>
      </c>
      <c r="F1178" s="1" t="s">
        <v>2440</v>
      </c>
      <c r="G1178" s="1" t="s">
        <v>23</v>
      </c>
      <c r="I1178" s="18">
        <v>41038.231493055559</v>
      </c>
      <c r="J1178" s="1" t="s">
        <v>40</v>
      </c>
      <c r="K1178" s="1" t="s">
        <v>18</v>
      </c>
      <c r="L1178" s="1" t="s">
        <v>19</v>
      </c>
      <c r="Q1178" s="21"/>
    </row>
    <row r="1179" spans="1:18" x14ac:dyDescent="0.15">
      <c r="A1179" s="1">
        <v>126723</v>
      </c>
      <c r="B1179" s="1">
        <v>1</v>
      </c>
      <c r="C1179" s="1" t="s">
        <v>26</v>
      </c>
      <c r="D1179" s="1" t="s">
        <v>27</v>
      </c>
      <c r="E1179" s="1" t="s">
        <v>473</v>
      </c>
      <c r="F1179" s="1" t="s">
        <v>474</v>
      </c>
      <c r="G1179" s="1" t="s">
        <v>23</v>
      </c>
      <c r="I1179" s="18">
        <v>41037.577800925923</v>
      </c>
      <c r="J1179" s="1" t="s">
        <v>40</v>
      </c>
      <c r="K1179" s="1" t="s">
        <v>18</v>
      </c>
      <c r="L1179" s="1" t="s">
        <v>19</v>
      </c>
      <c r="M1179" s="1">
        <v>127503</v>
      </c>
      <c r="N1179" s="1" t="s">
        <v>475</v>
      </c>
      <c r="O1179" s="18">
        <v>41039.08425925926</v>
      </c>
      <c r="P1179" s="1" t="s">
        <v>476</v>
      </c>
      <c r="Q1179" s="21">
        <f t="shared" si="19"/>
        <v>1.5064583333369228</v>
      </c>
      <c r="R1179" s="1"/>
    </row>
    <row r="1180" spans="1:18" x14ac:dyDescent="0.15">
      <c r="A1180" s="1">
        <v>126475</v>
      </c>
      <c r="B1180" s="1">
        <v>0</v>
      </c>
      <c r="C1180" s="1" t="s">
        <v>26</v>
      </c>
      <c r="D1180" s="1" t="s">
        <v>27</v>
      </c>
      <c r="E1180" s="1" t="s">
        <v>1105</v>
      </c>
      <c r="F1180" s="1" t="s">
        <v>2486</v>
      </c>
      <c r="G1180" s="1" t="s">
        <v>23</v>
      </c>
      <c r="I1180" s="18">
        <v>41036.660138888888</v>
      </c>
      <c r="J1180" s="1" t="s">
        <v>40</v>
      </c>
      <c r="K1180" s="1" t="s">
        <v>18</v>
      </c>
      <c r="L1180" s="1" t="s">
        <v>19</v>
      </c>
      <c r="Q1180" s="21"/>
    </row>
    <row r="1181" spans="1:18" x14ac:dyDescent="0.15">
      <c r="A1181" s="1">
        <v>126406</v>
      </c>
      <c r="B1181" s="1">
        <v>0</v>
      </c>
      <c r="C1181" s="1" t="s">
        <v>26</v>
      </c>
      <c r="D1181" s="1" t="s">
        <v>27</v>
      </c>
      <c r="E1181" s="1" t="s">
        <v>2242</v>
      </c>
      <c r="F1181" s="1" t="s">
        <v>2243</v>
      </c>
      <c r="G1181" s="1" t="s">
        <v>23</v>
      </c>
      <c r="I1181" s="18">
        <v>41035.282650462963</v>
      </c>
      <c r="J1181" s="1" t="s">
        <v>40</v>
      </c>
      <c r="K1181" s="1" t="s">
        <v>18</v>
      </c>
      <c r="L1181" s="1" t="s">
        <v>19</v>
      </c>
      <c r="Q1181" s="21"/>
    </row>
    <row r="1182" spans="1:18" x14ac:dyDescent="0.15">
      <c r="A1182" s="1">
        <v>126343</v>
      </c>
      <c r="B1182" s="1">
        <v>0</v>
      </c>
      <c r="D1182" s="1" t="s">
        <v>27</v>
      </c>
      <c r="E1182" s="1" t="s">
        <v>1899</v>
      </c>
      <c r="F1182" s="1" t="s">
        <v>806</v>
      </c>
      <c r="G1182" s="1" t="s">
        <v>23</v>
      </c>
      <c r="I1182" s="18">
        <v>41034.057893518519</v>
      </c>
      <c r="J1182" s="1" t="s">
        <v>151</v>
      </c>
      <c r="K1182" s="1" t="s">
        <v>18</v>
      </c>
      <c r="L1182" s="1" t="s">
        <v>19</v>
      </c>
      <c r="Q1182" s="21"/>
    </row>
    <row r="1183" spans="1:18" x14ac:dyDescent="0.15">
      <c r="A1183" s="1">
        <v>126337</v>
      </c>
      <c r="B1183" s="1">
        <v>0</v>
      </c>
      <c r="D1183" s="1" t="s">
        <v>27</v>
      </c>
      <c r="E1183" s="1" t="s">
        <v>805</v>
      </c>
      <c r="F1183" s="1" t="s">
        <v>806</v>
      </c>
      <c r="G1183" s="1" t="s">
        <v>23</v>
      </c>
      <c r="I1183" s="18">
        <v>41034.014791666668</v>
      </c>
      <c r="J1183" s="1" t="s">
        <v>151</v>
      </c>
      <c r="K1183" s="1" t="s">
        <v>18</v>
      </c>
      <c r="L1183" s="1" t="s">
        <v>19</v>
      </c>
      <c r="Q1183" s="21"/>
    </row>
    <row r="1184" spans="1:18" x14ac:dyDescent="0.15">
      <c r="A1184" s="1">
        <v>126296</v>
      </c>
      <c r="B1184" s="1">
        <v>0</v>
      </c>
      <c r="C1184" s="1" t="s">
        <v>2709</v>
      </c>
      <c r="D1184" s="1" t="s">
        <v>27</v>
      </c>
      <c r="E1184" s="1" t="s">
        <v>2710</v>
      </c>
      <c r="F1184" s="1" t="s">
        <v>2711</v>
      </c>
      <c r="G1184" s="1" t="s">
        <v>16</v>
      </c>
      <c r="I1184" s="18">
        <v>41033.867372685185</v>
      </c>
      <c r="J1184" s="1" t="s">
        <v>2712</v>
      </c>
      <c r="K1184" s="1" t="s">
        <v>18</v>
      </c>
      <c r="L1184" s="1" t="s">
        <v>19</v>
      </c>
      <c r="Q1184" s="21"/>
    </row>
    <row r="1185" spans="1:18" x14ac:dyDescent="0.15">
      <c r="A1185" s="1">
        <v>126040</v>
      </c>
      <c r="B1185" s="1">
        <v>0</v>
      </c>
      <c r="C1185" s="1" t="s">
        <v>26</v>
      </c>
      <c r="D1185" s="1" t="s">
        <v>27</v>
      </c>
      <c r="E1185" s="1" t="s">
        <v>3499</v>
      </c>
      <c r="F1185" s="1" t="s">
        <v>3500</v>
      </c>
      <c r="G1185" s="1" t="s">
        <v>23</v>
      </c>
      <c r="I1185" s="18">
        <v>41032.024675925924</v>
      </c>
      <c r="J1185" s="1" t="s">
        <v>40</v>
      </c>
      <c r="K1185" s="1" t="s">
        <v>18</v>
      </c>
      <c r="L1185" s="1" t="s">
        <v>19</v>
      </c>
      <c r="Q1185" s="21"/>
    </row>
    <row r="1186" spans="1:18" x14ac:dyDescent="0.15">
      <c r="A1186" s="1">
        <v>125730</v>
      </c>
      <c r="B1186" s="1">
        <v>0</v>
      </c>
      <c r="C1186" s="1" t="s">
        <v>26</v>
      </c>
      <c r="D1186" s="1" t="s">
        <v>27</v>
      </c>
      <c r="E1186" s="1" t="s">
        <v>3036</v>
      </c>
      <c r="F1186" s="1" t="s">
        <v>1959</v>
      </c>
      <c r="G1186" s="1" t="s">
        <v>23</v>
      </c>
      <c r="I1186" s="18">
        <v>41030.610185185185</v>
      </c>
      <c r="J1186" s="1" t="s">
        <v>241</v>
      </c>
      <c r="K1186" s="1" t="s">
        <v>18</v>
      </c>
      <c r="L1186" s="1" t="s">
        <v>19</v>
      </c>
      <c r="Q1186" s="21"/>
    </row>
    <row r="1187" spans="1:18" x14ac:dyDescent="0.15">
      <c r="A1187" s="1">
        <v>125563</v>
      </c>
      <c r="B1187" s="1">
        <v>0</v>
      </c>
      <c r="C1187" s="1" t="s">
        <v>26</v>
      </c>
      <c r="D1187" s="1" t="s">
        <v>27</v>
      </c>
      <c r="E1187" s="1" t="s">
        <v>58</v>
      </c>
      <c r="F1187" s="1" t="s">
        <v>1971</v>
      </c>
      <c r="G1187" s="1" t="s">
        <v>23</v>
      </c>
      <c r="I1187" s="18">
        <v>41029.679988425924</v>
      </c>
      <c r="J1187" s="1" t="s">
        <v>155</v>
      </c>
      <c r="K1187" s="1" t="s">
        <v>18</v>
      </c>
      <c r="L1187" s="1" t="s">
        <v>19</v>
      </c>
      <c r="Q1187" s="21"/>
    </row>
    <row r="1188" spans="1:18" x14ac:dyDescent="0.15">
      <c r="A1188" s="1">
        <v>125555</v>
      </c>
      <c r="B1188" s="1">
        <v>0</v>
      </c>
      <c r="C1188" s="1" t="s">
        <v>26</v>
      </c>
      <c r="D1188" s="1" t="s">
        <v>27</v>
      </c>
      <c r="E1188" s="1" t="s">
        <v>1220</v>
      </c>
      <c r="F1188" s="1" t="s">
        <v>381</v>
      </c>
      <c r="G1188" s="1" t="s">
        <v>23</v>
      </c>
      <c r="I1188" s="18">
        <v>41029.613275462965</v>
      </c>
      <c r="J1188" s="1" t="s">
        <v>40</v>
      </c>
      <c r="K1188" s="1" t="s">
        <v>18</v>
      </c>
      <c r="L1188" s="1" t="s">
        <v>19</v>
      </c>
      <c r="Q1188" s="21"/>
    </row>
    <row r="1189" spans="1:18" x14ac:dyDescent="0.15">
      <c r="A1189" s="1">
        <v>125494</v>
      </c>
      <c r="B1189" s="1">
        <v>0</v>
      </c>
      <c r="C1189" s="1" t="s">
        <v>26</v>
      </c>
      <c r="D1189" s="1" t="s">
        <v>27</v>
      </c>
      <c r="E1189" s="1" t="s">
        <v>1271</v>
      </c>
      <c r="F1189" s="1" t="s">
        <v>1272</v>
      </c>
      <c r="G1189" s="1" t="s">
        <v>23</v>
      </c>
      <c r="I1189" s="18">
        <v>41028.06590277778</v>
      </c>
      <c r="J1189" s="1" t="s">
        <v>40</v>
      </c>
      <c r="K1189" s="1" t="s">
        <v>18</v>
      </c>
      <c r="L1189" s="1" t="s">
        <v>19</v>
      </c>
      <c r="Q1189" s="21"/>
    </row>
    <row r="1190" spans="1:18" x14ac:dyDescent="0.15">
      <c r="A1190" s="1">
        <v>125462</v>
      </c>
      <c r="B1190" s="1">
        <v>0</v>
      </c>
      <c r="C1190" s="1" t="s">
        <v>170</v>
      </c>
      <c r="D1190" s="1" t="s">
        <v>27</v>
      </c>
      <c r="E1190" s="1" t="s">
        <v>2825</v>
      </c>
      <c r="F1190" s="1" t="s">
        <v>2826</v>
      </c>
      <c r="G1190" s="1" t="s">
        <v>23</v>
      </c>
      <c r="I1190" s="18">
        <v>41027.539409722223</v>
      </c>
      <c r="J1190" s="1" t="s">
        <v>376</v>
      </c>
      <c r="K1190" s="1" t="s">
        <v>18</v>
      </c>
      <c r="L1190" s="1" t="s">
        <v>19</v>
      </c>
      <c r="Q1190" s="21"/>
    </row>
    <row r="1191" spans="1:18" x14ac:dyDescent="0.15">
      <c r="A1191" s="1">
        <v>125374</v>
      </c>
      <c r="B1191" s="1">
        <v>0</v>
      </c>
      <c r="C1191" s="1" t="s">
        <v>41</v>
      </c>
      <c r="D1191" s="1" t="s">
        <v>27</v>
      </c>
      <c r="E1191" s="1" t="s">
        <v>493</v>
      </c>
      <c r="F1191" s="1" t="s">
        <v>494</v>
      </c>
      <c r="G1191" s="1" t="s">
        <v>23</v>
      </c>
      <c r="I1191" s="18">
        <v>41026.783946759257</v>
      </c>
      <c r="J1191" s="1" t="s">
        <v>44</v>
      </c>
      <c r="K1191" s="1" t="s">
        <v>18</v>
      </c>
      <c r="L1191" s="1" t="s">
        <v>19</v>
      </c>
      <c r="Q1191" s="21"/>
    </row>
    <row r="1192" spans="1:18" x14ac:dyDescent="0.15">
      <c r="A1192" s="1">
        <v>125159</v>
      </c>
      <c r="B1192" s="1">
        <v>0</v>
      </c>
      <c r="C1192" s="1" t="s">
        <v>3632</v>
      </c>
      <c r="D1192" s="1" t="s">
        <v>27</v>
      </c>
      <c r="E1192" s="1" t="s">
        <v>3633</v>
      </c>
      <c r="F1192" s="1" t="s">
        <v>3634</v>
      </c>
      <c r="G1192" s="1" t="s">
        <v>23</v>
      </c>
      <c r="I1192" s="18">
        <v>41025.40929398148</v>
      </c>
      <c r="J1192" s="1" t="s">
        <v>3635</v>
      </c>
      <c r="K1192" s="1" t="s">
        <v>3586</v>
      </c>
      <c r="L1192" s="1" t="s">
        <v>19</v>
      </c>
      <c r="Q1192" s="21"/>
    </row>
    <row r="1193" spans="1:18" x14ac:dyDescent="0.15">
      <c r="A1193" s="1">
        <v>124953</v>
      </c>
      <c r="B1193" s="1">
        <v>1</v>
      </c>
      <c r="C1193" s="1" t="s">
        <v>2454</v>
      </c>
      <c r="D1193" s="1" t="s">
        <v>3911</v>
      </c>
      <c r="E1193" s="1" t="s">
        <v>3569</v>
      </c>
      <c r="F1193" s="1" t="s">
        <v>3970</v>
      </c>
      <c r="G1193" s="1" t="s">
        <v>23</v>
      </c>
      <c r="I1193" s="18">
        <v>41024.087233796294</v>
      </c>
      <c r="J1193" s="1" t="s">
        <v>155</v>
      </c>
      <c r="K1193" s="1" t="s">
        <v>18</v>
      </c>
      <c r="L1193" s="1" t="s">
        <v>19</v>
      </c>
      <c r="M1193" s="1">
        <v>131794</v>
      </c>
      <c r="N1193" s="1" t="s">
        <v>3971</v>
      </c>
      <c r="O1193" s="18">
        <v>41068.562118055554</v>
      </c>
      <c r="P1193" s="1" t="s">
        <v>40</v>
      </c>
      <c r="Q1193" s="21">
        <f t="shared" si="19"/>
        <v>44.474884259259852</v>
      </c>
      <c r="R1193" s="1"/>
    </row>
    <row r="1194" spans="1:18" x14ac:dyDescent="0.15">
      <c r="A1194" s="1">
        <v>124924</v>
      </c>
      <c r="B1194" s="1">
        <v>0</v>
      </c>
      <c r="C1194" s="1" t="s">
        <v>26</v>
      </c>
      <c r="D1194" s="1" t="s">
        <v>27</v>
      </c>
      <c r="E1194" s="1" t="s">
        <v>1520</v>
      </c>
      <c r="F1194" s="1" t="s">
        <v>1521</v>
      </c>
      <c r="G1194" s="1" t="s">
        <v>23</v>
      </c>
      <c r="I1194" s="18">
        <v>41023.971006944441</v>
      </c>
      <c r="J1194" s="1" t="s">
        <v>40</v>
      </c>
      <c r="K1194" s="1" t="s">
        <v>18</v>
      </c>
      <c r="L1194" s="1" t="s">
        <v>19</v>
      </c>
      <c r="Q1194" s="21"/>
    </row>
    <row r="1195" spans="1:18" x14ac:dyDescent="0.15">
      <c r="A1195" s="1">
        <v>124919</v>
      </c>
      <c r="B1195" s="1">
        <v>1</v>
      </c>
      <c r="C1195" s="1" t="s">
        <v>26</v>
      </c>
      <c r="D1195" s="1" t="s">
        <v>27</v>
      </c>
      <c r="E1195" s="1" t="s">
        <v>2169</v>
      </c>
      <c r="F1195" s="1" t="s">
        <v>1959</v>
      </c>
      <c r="G1195" s="1" t="s">
        <v>23</v>
      </c>
      <c r="I1195" s="18">
        <v>41023.965532407405</v>
      </c>
      <c r="J1195" s="1" t="s">
        <v>155</v>
      </c>
      <c r="K1195" s="1" t="s">
        <v>18</v>
      </c>
      <c r="L1195" s="1" t="s">
        <v>19</v>
      </c>
      <c r="M1195" s="1">
        <v>125930</v>
      </c>
      <c r="N1195" s="1" t="s">
        <v>2170</v>
      </c>
      <c r="O1195" s="18">
        <v>41031.613900462966</v>
      </c>
      <c r="P1195" s="1" t="s">
        <v>544</v>
      </c>
      <c r="Q1195" s="21">
        <f t="shared" si="19"/>
        <v>7.64836805556115</v>
      </c>
      <c r="R1195" s="1"/>
    </row>
    <row r="1196" spans="1:18" x14ac:dyDescent="0.15">
      <c r="A1196" s="1">
        <v>124895</v>
      </c>
      <c r="B1196" s="1">
        <v>0</v>
      </c>
      <c r="C1196" s="1" t="s">
        <v>26</v>
      </c>
      <c r="D1196" s="1" t="s">
        <v>27</v>
      </c>
      <c r="E1196" s="1" t="s">
        <v>2296</v>
      </c>
      <c r="F1196" s="1" t="s">
        <v>2297</v>
      </c>
      <c r="G1196" s="1" t="s">
        <v>23</v>
      </c>
      <c r="I1196" s="18">
        <v>41023.8984837963</v>
      </c>
      <c r="J1196" s="1" t="s">
        <v>40</v>
      </c>
      <c r="K1196" s="1" t="s">
        <v>18</v>
      </c>
      <c r="L1196" s="1" t="s">
        <v>19</v>
      </c>
      <c r="Q1196" s="21"/>
    </row>
    <row r="1197" spans="1:18" x14ac:dyDescent="0.15">
      <c r="A1197" s="1">
        <v>124893</v>
      </c>
      <c r="B1197" s="1">
        <v>0</v>
      </c>
      <c r="C1197" s="1" t="s">
        <v>26</v>
      </c>
      <c r="D1197" s="1" t="s">
        <v>27</v>
      </c>
      <c r="E1197" s="1" t="s">
        <v>2298</v>
      </c>
      <c r="F1197" s="1" t="s">
        <v>2299</v>
      </c>
      <c r="G1197" s="1" t="s">
        <v>23</v>
      </c>
      <c r="I1197" s="18">
        <v>41023.896226851852</v>
      </c>
      <c r="J1197" s="1" t="s">
        <v>40</v>
      </c>
      <c r="K1197" s="1" t="s">
        <v>18</v>
      </c>
      <c r="L1197" s="1" t="s">
        <v>19</v>
      </c>
      <c r="Q1197" s="21"/>
    </row>
    <row r="1198" spans="1:18" x14ac:dyDescent="0.15">
      <c r="A1198" s="1">
        <v>124870</v>
      </c>
      <c r="B1198" s="1">
        <v>0</v>
      </c>
      <c r="C1198" s="1" t="s">
        <v>26</v>
      </c>
      <c r="D1198" s="1" t="s">
        <v>27</v>
      </c>
      <c r="E1198" s="1" t="s">
        <v>875</v>
      </c>
      <c r="F1198" s="1" t="s">
        <v>876</v>
      </c>
      <c r="G1198" s="1" t="s">
        <v>23</v>
      </c>
      <c r="I1198" s="18">
        <v>41023.814930555556</v>
      </c>
      <c r="J1198" s="1" t="s">
        <v>155</v>
      </c>
      <c r="K1198" s="1" t="s">
        <v>18</v>
      </c>
      <c r="L1198" s="1" t="s">
        <v>19</v>
      </c>
      <c r="Q1198" s="21"/>
    </row>
    <row r="1199" spans="1:18" x14ac:dyDescent="0.15">
      <c r="A1199" s="1">
        <v>124669</v>
      </c>
      <c r="B1199" s="1">
        <v>0</v>
      </c>
      <c r="C1199" s="1" t="s">
        <v>41</v>
      </c>
      <c r="D1199" s="1" t="s">
        <v>27</v>
      </c>
      <c r="E1199" s="1" t="s">
        <v>1580</v>
      </c>
      <c r="F1199" s="1" t="s">
        <v>1581</v>
      </c>
      <c r="G1199" s="1" t="s">
        <v>23</v>
      </c>
      <c r="I1199" s="18">
        <v>41022.737337962964</v>
      </c>
      <c r="J1199" s="1" t="s">
        <v>44</v>
      </c>
      <c r="K1199" s="1" t="s">
        <v>18</v>
      </c>
      <c r="L1199" s="1" t="s">
        <v>19</v>
      </c>
      <c r="Q1199" s="21"/>
    </row>
    <row r="1200" spans="1:18" x14ac:dyDescent="0.15">
      <c r="A1200" s="1">
        <v>124625</v>
      </c>
      <c r="B1200" s="1">
        <v>1</v>
      </c>
      <c r="C1200" s="1" t="s">
        <v>26</v>
      </c>
      <c r="D1200" s="1" t="s">
        <v>27</v>
      </c>
      <c r="E1200" s="1" t="s">
        <v>637</v>
      </c>
      <c r="F1200" s="1" t="s">
        <v>638</v>
      </c>
      <c r="G1200" s="1" t="s">
        <v>23</v>
      </c>
      <c r="I1200" s="18">
        <v>41022.55982638889</v>
      </c>
      <c r="J1200" s="1" t="s">
        <v>639</v>
      </c>
      <c r="K1200" s="1" t="s">
        <v>18</v>
      </c>
      <c r="L1200" s="1" t="s">
        <v>19</v>
      </c>
      <c r="M1200" s="1">
        <v>109878</v>
      </c>
      <c r="N1200" s="1" t="s">
        <v>640</v>
      </c>
      <c r="O1200" s="18">
        <v>40919.75099537037</v>
      </c>
      <c r="P1200" s="1" t="s">
        <v>641</v>
      </c>
      <c r="Q1200" s="21">
        <f t="shared" si="19"/>
        <v>102.80883101851941</v>
      </c>
      <c r="R1200" s="1"/>
    </row>
    <row r="1201" spans="1:22" x14ac:dyDescent="0.15">
      <c r="A1201" s="1">
        <v>124617</v>
      </c>
      <c r="B1201" s="1">
        <v>2</v>
      </c>
      <c r="C1201" s="1" t="s">
        <v>26</v>
      </c>
      <c r="D1201" s="1" t="s">
        <v>27</v>
      </c>
      <c r="E1201" s="1" t="s">
        <v>2619</v>
      </c>
      <c r="F1201" s="1" t="s">
        <v>1959</v>
      </c>
      <c r="G1201" s="1" t="s">
        <v>23</v>
      </c>
      <c r="I1201" s="18">
        <v>41022.489074074074</v>
      </c>
      <c r="J1201" s="1" t="s">
        <v>148</v>
      </c>
      <c r="K1201" s="1" t="s">
        <v>18</v>
      </c>
      <c r="L1201" s="1" t="s">
        <v>19</v>
      </c>
      <c r="M1201" s="1">
        <v>125732</v>
      </c>
      <c r="N1201" s="1" t="s">
        <v>2620</v>
      </c>
      <c r="O1201" s="18">
        <v>41030.614224537036</v>
      </c>
      <c r="P1201" s="1" t="s">
        <v>44</v>
      </c>
      <c r="Q1201" s="21">
        <f t="shared" si="19"/>
        <v>8.1251504629617557</v>
      </c>
      <c r="R1201" s="1">
        <v>125556</v>
      </c>
      <c r="S1201" s="1" t="s">
        <v>2620</v>
      </c>
      <c r="T1201" s="2" t="s">
        <v>4181</v>
      </c>
      <c r="U1201" s="1" t="s">
        <v>40</v>
      </c>
      <c r="V1201" s="1"/>
    </row>
    <row r="1202" spans="1:22" x14ac:dyDescent="0.15">
      <c r="A1202" s="1">
        <v>124530</v>
      </c>
      <c r="B1202" s="1">
        <v>0</v>
      </c>
      <c r="C1202" s="1" t="s">
        <v>26</v>
      </c>
      <c r="D1202" s="1" t="s">
        <v>27</v>
      </c>
      <c r="E1202" s="1" t="s">
        <v>380</v>
      </c>
      <c r="F1202" s="1" t="s">
        <v>1937</v>
      </c>
      <c r="G1202" s="1" t="s">
        <v>23</v>
      </c>
      <c r="I1202" s="18">
        <v>41020.30023148148</v>
      </c>
      <c r="J1202" s="1" t="s">
        <v>155</v>
      </c>
      <c r="K1202" s="1" t="s">
        <v>18</v>
      </c>
      <c r="L1202" s="1" t="s">
        <v>19</v>
      </c>
      <c r="Q1202" s="21"/>
    </row>
    <row r="1203" spans="1:22" x14ac:dyDescent="0.15">
      <c r="A1203" s="1">
        <v>124356</v>
      </c>
      <c r="B1203" s="1">
        <v>0</v>
      </c>
      <c r="C1203" s="1" t="s">
        <v>41</v>
      </c>
      <c r="D1203" s="1" t="s">
        <v>27</v>
      </c>
      <c r="E1203" s="1" t="s">
        <v>42</v>
      </c>
      <c r="F1203" s="1" t="s">
        <v>43</v>
      </c>
      <c r="G1203" s="1" t="s">
        <v>23</v>
      </c>
      <c r="I1203" s="18">
        <v>41019.225856481484</v>
      </c>
      <c r="J1203" s="1" t="s">
        <v>44</v>
      </c>
      <c r="K1203" s="1" t="s">
        <v>18</v>
      </c>
      <c r="L1203" s="1" t="s">
        <v>19</v>
      </c>
      <c r="Q1203" s="21"/>
    </row>
    <row r="1204" spans="1:22" x14ac:dyDescent="0.15">
      <c r="A1204" s="1">
        <v>124182</v>
      </c>
      <c r="B1204" s="1">
        <v>0</v>
      </c>
      <c r="C1204" s="1" t="s">
        <v>194</v>
      </c>
      <c r="D1204" s="1" t="s">
        <v>27</v>
      </c>
      <c r="E1204" s="1" t="s">
        <v>595</v>
      </c>
      <c r="F1204" s="1" t="s">
        <v>596</v>
      </c>
      <c r="G1204" s="1"/>
      <c r="H1204" s="1"/>
      <c r="I1204" s="18">
        <v>41018.409571759257</v>
      </c>
      <c r="J1204" s="1" t="s">
        <v>151</v>
      </c>
      <c r="K1204" s="1" t="s">
        <v>18</v>
      </c>
      <c r="L1204" s="1" t="s">
        <v>19</v>
      </c>
      <c r="Q1204" s="21"/>
    </row>
    <row r="1205" spans="1:22" x14ac:dyDescent="0.15">
      <c r="A1205" s="1">
        <v>123709</v>
      </c>
      <c r="B1205" s="1">
        <v>0</v>
      </c>
      <c r="C1205" s="1" t="s">
        <v>170</v>
      </c>
      <c r="D1205" s="1" t="s">
        <v>27</v>
      </c>
      <c r="E1205" s="1" t="s">
        <v>1629</v>
      </c>
      <c r="F1205" s="1" t="s">
        <v>1630</v>
      </c>
      <c r="G1205" s="1" t="s">
        <v>159</v>
      </c>
      <c r="I1205" s="18">
        <v>41015.971331018518</v>
      </c>
      <c r="J1205" s="1" t="s">
        <v>1171</v>
      </c>
      <c r="K1205" s="1" t="s">
        <v>18</v>
      </c>
      <c r="L1205" s="1" t="s">
        <v>19</v>
      </c>
      <c r="Q1205" s="21"/>
    </row>
    <row r="1206" spans="1:22" ht="16" x14ac:dyDescent="0.2">
      <c r="A1206" s="1">
        <v>123631</v>
      </c>
      <c r="B1206" s="1">
        <v>1</v>
      </c>
      <c r="C1206" s="1" t="s">
        <v>41</v>
      </c>
      <c r="D1206" s="1" t="s">
        <v>27</v>
      </c>
      <c r="E1206" s="1" t="s">
        <v>406</v>
      </c>
      <c r="F1206" s="1" t="s">
        <v>1741</v>
      </c>
      <c r="G1206" s="1" t="s">
        <v>23</v>
      </c>
      <c r="I1206" s="18">
        <v>41015.70621527778</v>
      </c>
      <c r="J1206" s="1" t="s">
        <v>398</v>
      </c>
      <c r="K1206" s="1" t="s">
        <v>18</v>
      </c>
      <c r="L1206" s="1" t="s">
        <v>19</v>
      </c>
      <c r="M1206" s="51">
        <v>124356</v>
      </c>
      <c r="O1206" s="24">
        <v>41019</v>
      </c>
      <c r="Q1206" s="21">
        <f t="shared" si="19"/>
        <v>3.2937847222201526</v>
      </c>
    </row>
    <row r="1207" spans="1:22" x14ac:dyDescent="0.15">
      <c r="A1207" s="1">
        <v>123481</v>
      </c>
      <c r="B1207" s="1">
        <v>0</v>
      </c>
      <c r="C1207" s="1" t="s">
        <v>1910</v>
      </c>
      <c r="D1207" s="1" t="s">
        <v>27</v>
      </c>
      <c r="E1207" s="1" t="s">
        <v>1996</v>
      </c>
      <c r="F1207" s="1" t="s">
        <v>1997</v>
      </c>
      <c r="G1207" s="1" t="s">
        <v>23</v>
      </c>
      <c r="I1207" s="18">
        <v>41013.747164351851</v>
      </c>
      <c r="J1207" s="1" t="s">
        <v>1998</v>
      </c>
      <c r="K1207" s="1" t="s">
        <v>18</v>
      </c>
      <c r="L1207" s="1" t="s">
        <v>19</v>
      </c>
      <c r="Q1207" s="21"/>
    </row>
    <row r="1208" spans="1:22" x14ac:dyDescent="0.15">
      <c r="A1208" s="1">
        <v>122802</v>
      </c>
      <c r="B1208" s="1">
        <v>0</v>
      </c>
      <c r="C1208" s="1" t="s">
        <v>26</v>
      </c>
      <c r="D1208" s="1" t="s">
        <v>3911</v>
      </c>
      <c r="E1208" s="1" t="s">
        <v>4057</v>
      </c>
      <c r="F1208" s="1" t="s">
        <v>3970</v>
      </c>
      <c r="G1208" s="1" t="s">
        <v>23</v>
      </c>
      <c r="I1208" s="18">
        <v>41009.758159722223</v>
      </c>
      <c r="J1208" s="1" t="s">
        <v>241</v>
      </c>
      <c r="K1208" s="1" t="s">
        <v>18</v>
      </c>
      <c r="L1208" s="1" t="s">
        <v>19</v>
      </c>
      <c r="Q1208" s="21"/>
    </row>
    <row r="1209" spans="1:22" x14ac:dyDescent="0.15">
      <c r="A1209" s="1">
        <v>122654</v>
      </c>
      <c r="B1209" s="1">
        <v>2</v>
      </c>
      <c r="C1209" s="1" t="s">
        <v>170</v>
      </c>
      <c r="D1209" s="1" t="s">
        <v>27</v>
      </c>
      <c r="E1209" s="1" t="s">
        <v>3627</v>
      </c>
      <c r="F1209" s="1" t="s">
        <v>3628</v>
      </c>
      <c r="G1209" s="1" t="s">
        <v>23</v>
      </c>
      <c r="I1209" s="18">
        <v>41008.759004629632</v>
      </c>
      <c r="J1209" s="1" t="s">
        <v>641</v>
      </c>
      <c r="K1209" s="1" t="s">
        <v>3586</v>
      </c>
      <c r="L1209" s="1" t="s">
        <v>19</v>
      </c>
      <c r="M1209" s="1">
        <v>128339</v>
      </c>
      <c r="N1209" s="1" t="s">
        <v>3629</v>
      </c>
      <c r="O1209" s="18">
        <v>41045.534791666665</v>
      </c>
      <c r="P1209" s="1" t="s">
        <v>3630</v>
      </c>
      <c r="Q1209" s="21">
        <f t="shared" si="19"/>
        <v>36.775787037033297</v>
      </c>
      <c r="R1209" s="1">
        <v>124242</v>
      </c>
      <c r="S1209" s="1" t="s">
        <v>3629</v>
      </c>
      <c r="T1209" s="2" t="s">
        <v>4190</v>
      </c>
      <c r="U1209" s="1" t="s">
        <v>3631</v>
      </c>
      <c r="V1209" s="1"/>
    </row>
    <row r="1210" spans="1:22" x14ac:dyDescent="0.15">
      <c r="A1210" s="1">
        <v>122573</v>
      </c>
      <c r="B1210" s="1">
        <v>0</v>
      </c>
      <c r="C1210" s="1" t="s">
        <v>26</v>
      </c>
      <c r="D1210" s="1" t="s">
        <v>27</v>
      </c>
      <c r="E1210" s="1" t="s">
        <v>2382</v>
      </c>
      <c r="F1210" s="1" t="s">
        <v>2383</v>
      </c>
      <c r="G1210" s="1" t="s">
        <v>23</v>
      </c>
      <c r="I1210" s="18">
        <v>41007.641377314816</v>
      </c>
      <c r="J1210" s="1" t="s">
        <v>40</v>
      </c>
      <c r="K1210" s="1" t="s">
        <v>18</v>
      </c>
      <c r="L1210" s="1" t="s">
        <v>19</v>
      </c>
      <c r="Q1210" s="21"/>
    </row>
    <row r="1211" spans="1:22" x14ac:dyDescent="0.15">
      <c r="A1211" s="1">
        <v>122208</v>
      </c>
      <c r="B1211" s="1">
        <v>0</v>
      </c>
      <c r="C1211" s="1" t="s">
        <v>26</v>
      </c>
      <c r="D1211" s="1" t="s">
        <v>27</v>
      </c>
      <c r="E1211" s="1" t="s">
        <v>1921</v>
      </c>
      <c r="F1211" s="1" t="s">
        <v>1411</v>
      </c>
      <c r="G1211" s="1" t="s">
        <v>23</v>
      </c>
      <c r="I1211" s="18">
        <v>41004.813854166663</v>
      </c>
      <c r="J1211" s="1" t="s">
        <v>1922</v>
      </c>
      <c r="K1211" s="1" t="s">
        <v>18</v>
      </c>
      <c r="L1211" s="1" t="s">
        <v>19</v>
      </c>
      <c r="Q1211" s="21"/>
    </row>
    <row r="1212" spans="1:22" x14ac:dyDescent="0.15">
      <c r="A1212" s="1">
        <v>122029</v>
      </c>
      <c r="B1212" s="1">
        <v>1</v>
      </c>
      <c r="C1212" s="1" t="s">
        <v>41</v>
      </c>
      <c r="D1212" s="1" t="s">
        <v>27</v>
      </c>
      <c r="E1212" s="1" t="s">
        <v>879</v>
      </c>
      <c r="F1212" s="1" t="s">
        <v>1660</v>
      </c>
      <c r="G1212" s="1" t="s">
        <v>23</v>
      </c>
      <c r="I1212" s="18">
        <v>41003.899282407408</v>
      </c>
      <c r="J1212" s="1" t="s">
        <v>40</v>
      </c>
      <c r="K1212" s="1" t="s">
        <v>18</v>
      </c>
      <c r="L1212" s="1" t="s">
        <v>19</v>
      </c>
      <c r="M1212" s="1">
        <v>127885</v>
      </c>
      <c r="N1212" s="1" t="s">
        <v>1661</v>
      </c>
      <c r="O1212" s="18">
        <v>41040.983090277776</v>
      </c>
      <c r="P1212" s="1" t="s">
        <v>544</v>
      </c>
      <c r="Q1212" s="21">
        <f t="shared" si="19"/>
        <v>37.083807870367309</v>
      </c>
      <c r="R1212" s="1"/>
    </row>
    <row r="1213" spans="1:22" x14ac:dyDescent="0.15">
      <c r="A1213" s="1">
        <v>122014</v>
      </c>
      <c r="B1213" s="1">
        <v>0</v>
      </c>
      <c r="C1213" s="1" t="s">
        <v>26</v>
      </c>
      <c r="D1213" s="1" t="s">
        <v>27</v>
      </c>
      <c r="E1213" s="1" t="s">
        <v>48</v>
      </c>
      <c r="F1213" s="1" t="s">
        <v>49</v>
      </c>
      <c r="G1213" s="1" t="s">
        <v>23</v>
      </c>
      <c r="I1213" s="18">
        <v>41003.876203703701</v>
      </c>
      <c r="J1213" s="1" t="s">
        <v>40</v>
      </c>
      <c r="K1213" s="1" t="s">
        <v>18</v>
      </c>
      <c r="L1213" s="1" t="s">
        <v>19</v>
      </c>
      <c r="Q1213" s="21"/>
    </row>
    <row r="1214" spans="1:22" x14ac:dyDescent="0.15">
      <c r="A1214" s="1">
        <v>121899</v>
      </c>
      <c r="B1214" s="1">
        <v>0</v>
      </c>
      <c r="C1214" s="1" t="s">
        <v>26</v>
      </c>
      <c r="D1214" s="1" t="s">
        <v>27</v>
      </c>
      <c r="E1214" s="1" t="s">
        <v>2166</v>
      </c>
      <c r="F1214" s="1" t="s">
        <v>2167</v>
      </c>
      <c r="G1214" s="1" t="s">
        <v>23</v>
      </c>
      <c r="I1214" s="18">
        <v>41003.623831018522</v>
      </c>
      <c r="J1214" s="1" t="s">
        <v>44</v>
      </c>
      <c r="K1214" s="1" t="s">
        <v>18</v>
      </c>
      <c r="L1214" s="1" t="s">
        <v>19</v>
      </c>
      <c r="Q1214" s="21"/>
    </row>
    <row r="1215" spans="1:22" x14ac:dyDescent="0.15">
      <c r="A1215" s="1">
        <v>121734</v>
      </c>
      <c r="B1215" s="1">
        <v>1</v>
      </c>
      <c r="C1215" s="1" t="s">
        <v>2454</v>
      </c>
      <c r="D1215" s="1" t="s">
        <v>27</v>
      </c>
      <c r="E1215" s="1" t="s">
        <v>3569</v>
      </c>
      <c r="F1215" s="1" t="s">
        <v>3570</v>
      </c>
      <c r="G1215" s="1" t="s">
        <v>23</v>
      </c>
      <c r="I1215" s="18">
        <v>41002.794328703705</v>
      </c>
      <c r="J1215" s="1" t="s">
        <v>40</v>
      </c>
      <c r="K1215" s="1" t="s">
        <v>18</v>
      </c>
      <c r="L1215" s="1" t="s">
        <v>19</v>
      </c>
      <c r="M1215" s="1">
        <v>122055</v>
      </c>
      <c r="N1215" s="1" t="s">
        <v>3571</v>
      </c>
      <c r="O1215" s="18">
        <v>41003.967812499999</v>
      </c>
      <c r="P1215" s="1" t="s">
        <v>85</v>
      </c>
      <c r="Q1215" s="21">
        <f t="shared" si="19"/>
        <v>1.1734837962940219</v>
      </c>
      <c r="R1215" s="1"/>
    </row>
    <row r="1216" spans="1:22" x14ac:dyDescent="0.15">
      <c r="A1216" s="1">
        <v>121692</v>
      </c>
      <c r="B1216" s="1">
        <v>0</v>
      </c>
      <c r="C1216" s="1" t="s">
        <v>2249</v>
      </c>
      <c r="D1216" s="1" t="s">
        <v>27</v>
      </c>
      <c r="E1216" s="1" t="s">
        <v>2250</v>
      </c>
      <c r="F1216" s="1" t="s">
        <v>2251</v>
      </c>
      <c r="G1216" s="1" t="s">
        <v>23</v>
      </c>
      <c r="I1216" s="18">
        <v>41002.69394675926</v>
      </c>
      <c r="J1216" s="1" t="s">
        <v>148</v>
      </c>
      <c r="K1216" s="1" t="s">
        <v>18</v>
      </c>
      <c r="L1216" s="1" t="s">
        <v>19</v>
      </c>
      <c r="Q1216" s="21"/>
    </row>
    <row r="1217" spans="1:18" x14ac:dyDescent="0.15">
      <c r="A1217" s="1">
        <v>121645</v>
      </c>
      <c r="B1217" s="1">
        <v>0</v>
      </c>
      <c r="C1217" s="1" t="s">
        <v>41</v>
      </c>
      <c r="D1217" s="1" t="s">
        <v>27</v>
      </c>
      <c r="E1217" s="1" t="s">
        <v>2039</v>
      </c>
      <c r="F1217" s="1" t="s">
        <v>2040</v>
      </c>
      <c r="G1217" s="1" t="s">
        <v>23</v>
      </c>
      <c r="I1217" s="18">
        <v>41002.520567129628</v>
      </c>
      <c r="J1217" s="1" t="s">
        <v>148</v>
      </c>
      <c r="K1217" s="1" t="s">
        <v>18</v>
      </c>
      <c r="L1217" s="1" t="s">
        <v>19</v>
      </c>
      <c r="Q1217" s="21"/>
    </row>
    <row r="1218" spans="1:18" x14ac:dyDescent="0.15">
      <c r="A1218" s="1">
        <v>121524</v>
      </c>
      <c r="B1218" s="1">
        <v>0</v>
      </c>
      <c r="C1218" s="1" t="s">
        <v>26</v>
      </c>
      <c r="D1218" s="1" t="s">
        <v>27</v>
      </c>
      <c r="E1218" s="1" t="s">
        <v>1410</v>
      </c>
      <c r="F1218" s="1" t="s">
        <v>1411</v>
      </c>
      <c r="G1218" s="1" t="s">
        <v>23</v>
      </c>
      <c r="I1218" s="18">
        <v>41001.881516203706</v>
      </c>
      <c r="J1218" s="1" t="s">
        <v>40</v>
      </c>
      <c r="K1218" s="1" t="s">
        <v>18</v>
      </c>
      <c r="L1218" s="1" t="s">
        <v>19</v>
      </c>
      <c r="Q1218" s="21"/>
    </row>
    <row r="1219" spans="1:18" x14ac:dyDescent="0.15">
      <c r="A1219" s="1">
        <v>121206</v>
      </c>
      <c r="B1219" s="1">
        <v>0</v>
      </c>
      <c r="C1219" s="1" t="s">
        <v>26</v>
      </c>
      <c r="D1219" s="1" t="s">
        <v>27</v>
      </c>
      <c r="E1219" s="1" t="s">
        <v>3228</v>
      </c>
      <c r="F1219" s="1" t="s">
        <v>3229</v>
      </c>
      <c r="G1219" s="1" t="s">
        <v>23</v>
      </c>
      <c r="I1219" s="18">
        <v>40998.909837962965</v>
      </c>
      <c r="J1219" s="1" t="s">
        <v>148</v>
      </c>
      <c r="K1219" s="1" t="s">
        <v>18</v>
      </c>
      <c r="L1219" s="1" t="s">
        <v>19</v>
      </c>
      <c r="Q1219" s="21"/>
    </row>
    <row r="1220" spans="1:18" x14ac:dyDescent="0.15">
      <c r="A1220" s="1">
        <v>120977</v>
      </c>
      <c r="B1220" s="1">
        <v>0</v>
      </c>
      <c r="C1220" s="1" t="s">
        <v>3256</v>
      </c>
      <c r="D1220" s="1" t="s">
        <v>27</v>
      </c>
      <c r="E1220" s="1" t="s">
        <v>3257</v>
      </c>
      <c r="F1220" s="1" t="s">
        <v>3258</v>
      </c>
      <c r="G1220" s="1"/>
      <c r="H1220" s="1"/>
      <c r="I1220" s="18">
        <v>40997.907476851855</v>
      </c>
      <c r="J1220" s="1" t="s">
        <v>1255</v>
      </c>
      <c r="K1220" s="1" t="s">
        <v>18</v>
      </c>
      <c r="L1220" s="1" t="s">
        <v>19</v>
      </c>
      <c r="Q1220" s="21"/>
    </row>
    <row r="1221" spans="1:18" x14ac:dyDescent="0.15">
      <c r="A1221" s="1">
        <v>120944</v>
      </c>
      <c r="B1221" s="1">
        <v>1</v>
      </c>
      <c r="C1221" s="1" t="s">
        <v>26</v>
      </c>
      <c r="D1221" s="1" t="s">
        <v>27</v>
      </c>
      <c r="E1221" s="1" t="s">
        <v>1735</v>
      </c>
      <c r="F1221" s="1" t="s">
        <v>1736</v>
      </c>
      <c r="G1221" s="1" t="s">
        <v>23</v>
      </c>
      <c r="I1221" s="18">
        <v>40997.815694444442</v>
      </c>
      <c r="J1221" s="1" t="s">
        <v>44</v>
      </c>
      <c r="K1221" s="1" t="s">
        <v>18</v>
      </c>
      <c r="L1221" s="1" t="s">
        <v>19</v>
      </c>
      <c r="M1221" s="1">
        <v>119087</v>
      </c>
      <c r="N1221" s="1" t="s">
        <v>1737</v>
      </c>
      <c r="O1221" s="18">
        <v>40988.670636574076</v>
      </c>
      <c r="P1221" s="1" t="s">
        <v>40</v>
      </c>
      <c r="Q1221" s="21">
        <f t="shared" si="19"/>
        <v>9.1450578703661449</v>
      </c>
      <c r="R1221" s="1"/>
    </row>
    <row r="1222" spans="1:18" x14ac:dyDescent="0.15">
      <c r="A1222" s="1">
        <v>120912</v>
      </c>
      <c r="B1222" s="1">
        <v>0</v>
      </c>
      <c r="C1222" s="1" t="s">
        <v>26</v>
      </c>
      <c r="D1222" s="1" t="s">
        <v>27</v>
      </c>
      <c r="E1222" s="1" t="s">
        <v>2576</v>
      </c>
      <c r="F1222" s="1" t="s">
        <v>2577</v>
      </c>
      <c r="G1222" s="1" t="s">
        <v>23</v>
      </c>
      <c r="I1222" s="18">
        <v>40997.753645833334</v>
      </c>
      <c r="J1222" s="1" t="s">
        <v>44</v>
      </c>
      <c r="K1222" s="1" t="s">
        <v>18</v>
      </c>
      <c r="L1222" s="1" t="s">
        <v>19</v>
      </c>
      <c r="Q1222" s="21"/>
    </row>
    <row r="1223" spans="1:18" x14ac:dyDescent="0.15">
      <c r="A1223" s="1">
        <v>120711</v>
      </c>
      <c r="B1223" s="1">
        <v>1</v>
      </c>
      <c r="C1223" s="1" t="s">
        <v>26</v>
      </c>
      <c r="D1223" s="1" t="s">
        <v>27</v>
      </c>
      <c r="E1223" s="1" t="s">
        <v>211</v>
      </c>
      <c r="F1223" s="1" t="s">
        <v>212</v>
      </c>
      <c r="G1223" s="1" t="s">
        <v>23</v>
      </c>
      <c r="I1223" s="18">
        <v>40996.775543981479</v>
      </c>
      <c r="J1223" s="1" t="s">
        <v>44</v>
      </c>
      <c r="K1223" s="1" t="s">
        <v>18</v>
      </c>
      <c r="L1223" s="1" t="s">
        <v>19</v>
      </c>
      <c r="M1223" s="1">
        <v>121861</v>
      </c>
      <c r="N1223" s="1" t="s">
        <v>213</v>
      </c>
      <c r="O1223" s="18">
        <v>41003.379618055558</v>
      </c>
      <c r="P1223" s="1" t="s">
        <v>148</v>
      </c>
      <c r="Q1223" s="21">
        <f t="shared" si="19"/>
        <v>6.604074074079108</v>
      </c>
      <c r="R1223" s="1"/>
    </row>
    <row r="1224" spans="1:18" x14ac:dyDescent="0.15">
      <c r="A1224" s="1">
        <v>120320</v>
      </c>
      <c r="B1224" s="1">
        <v>0</v>
      </c>
      <c r="C1224" s="1" t="s">
        <v>1140</v>
      </c>
      <c r="D1224" s="1" t="s">
        <v>27</v>
      </c>
      <c r="E1224" s="1" t="s">
        <v>1141</v>
      </c>
      <c r="F1224" s="1" t="s">
        <v>1142</v>
      </c>
      <c r="G1224" s="1" t="s">
        <v>159</v>
      </c>
      <c r="I1224" s="18">
        <v>40995.032118055555</v>
      </c>
      <c r="J1224" s="1" t="s">
        <v>398</v>
      </c>
      <c r="K1224" s="1" t="s">
        <v>18</v>
      </c>
      <c r="L1224" s="1" t="s">
        <v>19</v>
      </c>
      <c r="Q1224" s="21"/>
    </row>
    <row r="1225" spans="1:18" x14ac:dyDescent="0.15">
      <c r="A1225" s="1">
        <v>120318</v>
      </c>
      <c r="B1225" s="1">
        <v>0</v>
      </c>
      <c r="C1225" s="1" t="s">
        <v>1140</v>
      </c>
      <c r="D1225" s="1" t="s">
        <v>27</v>
      </c>
      <c r="E1225" s="1" t="s">
        <v>1840</v>
      </c>
      <c r="F1225" s="1" t="s">
        <v>1142</v>
      </c>
      <c r="G1225" s="1" t="s">
        <v>159</v>
      </c>
      <c r="I1225" s="18">
        <v>40995.030555555553</v>
      </c>
      <c r="J1225" s="1" t="s">
        <v>398</v>
      </c>
      <c r="K1225" s="1" t="s">
        <v>18</v>
      </c>
      <c r="L1225" s="1" t="s">
        <v>19</v>
      </c>
      <c r="Q1225" s="21"/>
    </row>
    <row r="1226" spans="1:18" x14ac:dyDescent="0.15">
      <c r="A1226" s="1">
        <v>120222</v>
      </c>
      <c r="B1226" s="1">
        <v>1</v>
      </c>
      <c r="C1226" s="1" t="s">
        <v>26</v>
      </c>
      <c r="D1226" s="1" t="s">
        <v>27</v>
      </c>
      <c r="E1226" s="1" t="s">
        <v>1468</v>
      </c>
      <c r="F1226" s="1" t="s">
        <v>1469</v>
      </c>
      <c r="G1226" s="1" t="s">
        <v>23</v>
      </c>
      <c r="I1226" s="18">
        <v>40994.787581018521</v>
      </c>
      <c r="J1226" s="1" t="s">
        <v>44</v>
      </c>
      <c r="K1226" s="1" t="s">
        <v>18</v>
      </c>
      <c r="L1226" s="1" t="s">
        <v>19</v>
      </c>
      <c r="M1226" s="1">
        <v>129677</v>
      </c>
      <c r="N1226" s="1" t="s">
        <v>1470</v>
      </c>
      <c r="O1226" s="18">
        <v>41053.98097222222</v>
      </c>
      <c r="P1226" s="1" t="s">
        <v>40</v>
      </c>
      <c r="Q1226" s="21">
        <f t="shared" ref="Q1226:Q1277" si="20">ABS(O1226-I1226)</f>
        <v>59.193391203698411</v>
      </c>
      <c r="R1226" s="1"/>
    </row>
    <row r="1227" spans="1:18" x14ac:dyDescent="0.15">
      <c r="A1227" s="1">
        <v>120189</v>
      </c>
      <c r="B1227" s="1">
        <v>0</v>
      </c>
      <c r="C1227" s="1" t="s">
        <v>26</v>
      </c>
      <c r="D1227" s="1" t="s">
        <v>27</v>
      </c>
      <c r="E1227" s="1" t="s">
        <v>510</v>
      </c>
      <c r="F1227" s="1" t="s">
        <v>511</v>
      </c>
      <c r="G1227" s="1" t="s">
        <v>23</v>
      </c>
      <c r="I1227" s="18">
        <v>40994.71607638889</v>
      </c>
      <c r="J1227" s="1" t="s">
        <v>40</v>
      </c>
      <c r="K1227" s="1" t="s">
        <v>18</v>
      </c>
      <c r="L1227" s="1" t="s">
        <v>19</v>
      </c>
      <c r="Q1227" s="21"/>
    </row>
    <row r="1228" spans="1:18" x14ac:dyDescent="0.15">
      <c r="A1228" s="1">
        <v>120037</v>
      </c>
      <c r="B1228" s="1">
        <v>0</v>
      </c>
      <c r="C1228" s="1" t="s">
        <v>26</v>
      </c>
      <c r="D1228" s="1" t="s">
        <v>27</v>
      </c>
      <c r="E1228" s="1" t="s">
        <v>356</v>
      </c>
      <c r="F1228" s="1" t="s">
        <v>357</v>
      </c>
      <c r="G1228" s="1" t="s">
        <v>23</v>
      </c>
      <c r="I1228" s="18">
        <v>40993.800613425927</v>
      </c>
      <c r="J1228" s="1" t="s">
        <v>44</v>
      </c>
      <c r="K1228" s="1" t="s">
        <v>18</v>
      </c>
      <c r="L1228" s="1" t="s">
        <v>19</v>
      </c>
      <c r="Q1228" s="21"/>
    </row>
    <row r="1229" spans="1:18" x14ac:dyDescent="0.15">
      <c r="A1229" s="1">
        <v>120007</v>
      </c>
      <c r="B1229" s="1">
        <v>1</v>
      </c>
      <c r="C1229" s="1" t="s">
        <v>26</v>
      </c>
      <c r="D1229" s="1" t="s">
        <v>27</v>
      </c>
      <c r="E1229" s="1" t="s">
        <v>1958</v>
      </c>
      <c r="F1229" s="1" t="s">
        <v>1959</v>
      </c>
      <c r="G1229" s="1" t="s">
        <v>23</v>
      </c>
      <c r="I1229" s="18">
        <v>40993.291759259257</v>
      </c>
      <c r="J1229" s="1" t="s">
        <v>40</v>
      </c>
      <c r="K1229" s="1" t="s">
        <v>18</v>
      </c>
      <c r="L1229" s="1" t="s">
        <v>19</v>
      </c>
      <c r="M1229" s="1">
        <v>121284</v>
      </c>
      <c r="N1229" s="1" t="s">
        <v>1960</v>
      </c>
      <c r="O1229" s="18">
        <v>40999.665810185186</v>
      </c>
      <c r="P1229" s="1" t="s">
        <v>544</v>
      </c>
      <c r="Q1229" s="21">
        <f t="shared" si="20"/>
        <v>6.3740509259296232</v>
      </c>
      <c r="R1229" s="1"/>
    </row>
    <row r="1230" spans="1:18" x14ac:dyDescent="0.15">
      <c r="A1230" s="1">
        <v>120006</v>
      </c>
      <c r="B1230" s="1">
        <v>1</v>
      </c>
      <c r="C1230" s="1" t="s">
        <v>26</v>
      </c>
      <c r="D1230" s="1" t="s">
        <v>27</v>
      </c>
      <c r="E1230" s="1" t="s">
        <v>1961</v>
      </c>
      <c r="F1230" s="1" t="s">
        <v>381</v>
      </c>
      <c r="G1230" s="1" t="s">
        <v>23</v>
      </c>
      <c r="I1230" s="18">
        <v>40993.291273148148</v>
      </c>
      <c r="J1230" s="1" t="s">
        <v>40</v>
      </c>
      <c r="K1230" s="1" t="s">
        <v>18</v>
      </c>
      <c r="L1230" s="1" t="s">
        <v>19</v>
      </c>
      <c r="M1230" s="1">
        <v>115912</v>
      </c>
      <c r="N1230" s="1" t="s">
        <v>1962</v>
      </c>
      <c r="O1230" s="18">
        <v>40966.823344907411</v>
      </c>
      <c r="P1230" s="1" t="s">
        <v>44</v>
      </c>
      <c r="Q1230" s="21">
        <f t="shared" si="20"/>
        <v>26.46792824073782</v>
      </c>
      <c r="R1230" s="1"/>
    </row>
    <row r="1231" spans="1:18" x14ac:dyDescent="0.15">
      <c r="A1231" s="1">
        <v>119525</v>
      </c>
      <c r="B1231" s="1">
        <v>0</v>
      </c>
      <c r="C1231" s="1" t="s">
        <v>26</v>
      </c>
      <c r="D1231" s="1" t="s">
        <v>27</v>
      </c>
      <c r="E1231" s="1" t="s">
        <v>3244</v>
      </c>
      <c r="F1231" s="1" t="s">
        <v>3245</v>
      </c>
      <c r="G1231" s="1" t="s">
        <v>23</v>
      </c>
      <c r="I1231" s="18">
        <v>40990.773784722223</v>
      </c>
      <c r="J1231" s="1" t="s">
        <v>44</v>
      </c>
      <c r="K1231" s="1" t="s">
        <v>18</v>
      </c>
      <c r="L1231" s="1" t="s">
        <v>19</v>
      </c>
      <c r="Q1231" s="21"/>
    </row>
    <row r="1232" spans="1:18" x14ac:dyDescent="0.15">
      <c r="A1232" s="1">
        <v>119281</v>
      </c>
      <c r="B1232" s="1">
        <v>1</v>
      </c>
      <c r="C1232" s="1" t="s">
        <v>26</v>
      </c>
      <c r="D1232" s="1" t="s">
        <v>27</v>
      </c>
      <c r="E1232" s="1" t="s">
        <v>259</v>
      </c>
      <c r="F1232" s="1" t="s">
        <v>260</v>
      </c>
      <c r="G1232" s="1" t="s">
        <v>23</v>
      </c>
      <c r="I1232" s="18">
        <v>40989.561226851853</v>
      </c>
      <c r="J1232" s="1" t="s">
        <v>261</v>
      </c>
      <c r="K1232" s="1" t="s">
        <v>18</v>
      </c>
      <c r="L1232" s="1" t="s">
        <v>19</v>
      </c>
      <c r="M1232" s="1">
        <v>120591</v>
      </c>
      <c r="N1232" s="1" t="s">
        <v>262</v>
      </c>
      <c r="O1232" s="18">
        <v>40996.105162037034</v>
      </c>
      <c r="P1232" s="1" t="s">
        <v>263</v>
      </c>
      <c r="Q1232" s="21">
        <f t="shared" si="20"/>
        <v>6.5439351851819083</v>
      </c>
      <c r="R1232" s="1"/>
    </row>
    <row r="1233" spans="1:22" x14ac:dyDescent="0.15">
      <c r="A1233" s="1">
        <v>119250</v>
      </c>
      <c r="B1233" s="1">
        <v>0</v>
      </c>
      <c r="C1233" s="1" t="s">
        <v>414</v>
      </c>
      <c r="D1233" s="1" t="s">
        <v>27</v>
      </c>
      <c r="E1233" s="1" t="s">
        <v>2772</v>
      </c>
      <c r="F1233" s="1" t="s">
        <v>2773</v>
      </c>
      <c r="G1233" s="1" t="s">
        <v>159</v>
      </c>
      <c r="I1233" s="18">
        <v>40989.272002314814</v>
      </c>
      <c r="J1233" s="1" t="s">
        <v>398</v>
      </c>
      <c r="K1233" s="1" t="s">
        <v>18</v>
      </c>
      <c r="L1233" s="1" t="s">
        <v>19</v>
      </c>
      <c r="Q1233" s="21"/>
    </row>
    <row r="1234" spans="1:22" x14ac:dyDescent="0.15">
      <c r="A1234" s="1">
        <v>119230</v>
      </c>
      <c r="B1234" s="1">
        <v>0</v>
      </c>
      <c r="C1234" s="1" t="s">
        <v>26</v>
      </c>
      <c r="D1234" s="1" t="s">
        <v>27</v>
      </c>
      <c r="E1234" s="1" t="s">
        <v>1333</v>
      </c>
      <c r="F1234" s="1" t="s">
        <v>1429</v>
      </c>
      <c r="G1234" s="1" t="s">
        <v>23</v>
      </c>
      <c r="I1234" s="18">
        <v>40989.070428240739</v>
      </c>
      <c r="J1234" s="1" t="s">
        <v>40</v>
      </c>
      <c r="K1234" s="1" t="s">
        <v>18</v>
      </c>
      <c r="L1234" s="1" t="s">
        <v>19</v>
      </c>
      <c r="Q1234" s="21"/>
    </row>
    <row r="1235" spans="1:22" x14ac:dyDescent="0.15">
      <c r="A1235" s="1">
        <v>118853</v>
      </c>
      <c r="B1235" s="1">
        <v>2</v>
      </c>
      <c r="C1235" s="1" t="s">
        <v>26</v>
      </c>
      <c r="D1235" s="1" t="s">
        <v>27</v>
      </c>
      <c r="E1235" s="1" t="s">
        <v>291</v>
      </c>
      <c r="F1235" s="1" t="s">
        <v>292</v>
      </c>
      <c r="G1235" s="1" t="s">
        <v>23</v>
      </c>
      <c r="I1235" s="18">
        <v>40987.120324074072</v>
      </c>
      <c r="J1235" s="1" t="s">
        <v>155</v>
      </c>
      <c r="K1235" s="1" t="s">
        <v>18</v>
      </c>
      <c r="L1235" s="1" t="s">
        <v>19</v>
      </c>
      <c r="M1235" s="1">
        <v>120605</v>
      </c>
      <c r="N1235" s="1" t="s">
        <v>293</v>
      </c>
      <c r="O1235" s="18">
        <v>40996.238530092596</v>
      </c>
      <c r="P1235" s="1" t="s">
        <v>261</v>
      </c>
      <c r="Q1235" s="21">
        <f t="shared" si="20"/>
        <v>9.1182060185237788</v>
      </c>
      <c r="R1235" s="1">
        <v>118805</v>
      </c>
      <c r="S1235" s="1" t="s">
        <v>293</v>
      </c>
      <c r="T1235" s="2" t="s">
        <v>4136</v>
      </c>
      <c r="U1235" s="1" t="s">
        <v>40</v>
      </c>
      <c r="V1235" s="1"/>
    </row>
    <row r="1236" spans="1:22" x14ac:dyDescent="0.15">
      <c r="A1236" s="1">
        <v>118806</v>
      </c>
      <c r="B1236" s="1">
        <v>0</v>
      </c>
      <c r="C1236" s="1" t="s">
        <v>26</v>
      </c>
      <c r="D1236" s="1" t="s">
        <v>3911</v>
      </c>
      <c r="E1236" s="1" t="s">
        <v>1105</v>
      </c>
      <c r="F1236" s="1" t="s">
        <v>3970</v>
      </c>
      <c r="G1236" s="1" t="s">
        <v>23</v>
      </c>
      <c r="I1236" s="18">
        <v>40986.318865740737</v>
      </c>
      <c r="J1236" s="1" t="s">
        <v>40</v>
      </c>
      <c r="K1236" s="1" t="s">
        <v>18</v>
      </c>
      <c r="L1236" s="1" t="s">
        <v>19</v>
      </c>
      <c r="Q1236" s="21"/>
    </row>
    <row r="1237" spans="1:22" x14ac:dyDescent="0.15">
      <c r="A1237" s="1">
        <v>118803</v>
      </c>
      <c r="B1237" s="1">
        <v>0</v>
      </c>
      <c r="C1237" s="1" t="s">
        <v>41</v>
      </c>
      <c r="D1237" s="1" t="s">
        <v>27</v>
      </c>
      <c r="E1237" s="1" t="s">
        <v>1871</v>
      </c>
      <c r="F1237" s="1" t="s">
        <v>1872</v>
      </c>
      <c r="G1237" s="1" t="s">
        <v>23</v>
      </c>
      <c r="I1237" s="18">
        <v>40986.299016203702</v>
      </c>
      <c r="J1237" s="1" t="s">
        <v>40</v>
      </c>
      <c r="K1237" s="1" t="s">
        <v>18</v>
      </c>
      <c r="L1237" s="1" t="s">
        <v>19</v>
      </c>
      <c r="Q1237" s="21"/>
    </row>
    <row r="1238" spans="1:22" x14ac:dyDescent="0.15">
      <c r="A1238" s="1">
        <v>118642</v>
      </c>
      <c r="B1238" s="1">
        <v>0</v>
      </c>
      <c r="C1238" s="1" t="s">
        <v>145</v>
      </c>
      <c r="D1238" s="1" t="s">
        <v>27</v>
      </c>
      <c r="E1238" s="1" t="s">
        <v>3301</v>
      </c>
      <c r="F1238" s="1" t="s">
        <v>3302</v>
      </c>
      <c r="G1238" s="1" t="s">
        <v>23</v>
      </c>
      <c r="I1238" s="18">
        <v>40984.771157407406</v>
      </c>
      <c r="J1238" s="1" t="s">
        <v>544</v>
      </c>
      <c r="K1238" s="1" t="s">
        <v>18</v>
      </c>
      <c r="L1238" s="1" t="s">
        <v>19</v>
      </c>
      <c r="Q1238" s="21"/>
    </row>
    <row r="1239" spans="1:22" x14ac:dyDescent="0.15">
      <c r="A1239" s="1">
        <v>118593</v>
      </c>
      <c r="B1239" s="1">
        <v>0</v>
      </c>
      <c r="C1239" s="1" t="s">
        <v>41</v>
      </c>
      <c r="D1239" s="1" t="s">
        <v>27</v>
      </c>
      <c r="E1239" s="1" t="s">
        <v>1184</v>
      </c>
      <c r="F1239" s="1" t="s">
        <v>1185</v>
      </c>
      <c r="G1239" s="1" t="s">
        <v>23</v>
      </c>
      <c r="I1239" s="18">
        <v>40984.560104166667</v>
      </c>
      <c r="J1239" s="1" t="s">
        <v>544</v>
      </c>
      <c r="K1239" s="1" t="s">
        <v>18</v>
      </c>
      <c r="L1239" s="1" t="s">
        <v>19</v>
      </c>
      <c r="Q1239" s="21"/>
    </row>
    <row r="1240" spans="1:22" x14ac:dyDescent="0.15">
      <c r="A1240" s="1">
        <v>118273</v>
      </c>
      <c r="B1240" s="1">
        <v>0</v>
      </c>
      <c r="C1240" s="1" t="s">
        <v>26</v>
      </c>
      <c r="D1240" s="1" t="s">
        <v>27</v>
      </c>
      <c r="E1240" s="1" t="s">
        <v>289</v>
      </c>
      <c r="F1240" s="1" t="s">
        <v>290</v>
      </c>
      <c r="G1240" s="1" t="s">
        <v>23</v>
      </c>
      <c r="I1240" s="18">
        <v>40982.935393518521</v>
      </c>
      <c r="J1240" s="1" t="s">
        <v>40</v>
      </c>
      <c r="K1240" s="1" t="s">
        <v>18</v>
      </c>
      <c r="L1240" s="1" t="s">
        <v>19</v>
      </c>
      <c r="Q1240" s="21"/>
    </row>
    <row r="1241" spans="1:22" x14ac:dyDescent="0.15">
      <c r="A1241" s="1">
        <v>118185</v>
      </c>
      <c r="B1241" s="1">
        <v>0</v>
      </c>
      <c r="C1241" s="1" t="s">
        <v>26</v>
      </c>
      <c r="D1241" s="1" t="s">
        <v>27</v>
      </c>
      <c r="E1241" s="1" t="s">
        <v>2041</v>
      </c>
      <c r="F1241" s="1" t="s">
        <v>2042</v>
      </c>
      <c r="G1241" s="1" t="s">
        <v>23</v>
      </c>
      <c r="I1241" s="18">
        <v>40982.675567129627</v>
      </c>
      <c r="J1241" s="1" t="s">
        <v>155</v>
      </c>
      <c r="K1241" s="1" t="s">
        <v>18</v>
      </c>
      <c r="L1241" s="1" t="s">
        <v>19</v>
      </c>
      <c r="Q1241" s="21"/>
    </row>
    <row r="1242" spans="1:22" x14ac:dyDescent="0.15">
      <c r="A1242" s="1">
        <v>117728</v>
      </c>
      <c r="B1242" s="1">
        <v>0</v>
      </c>
      <c r="C1242" s="1" t="s">
        <v>26</v>
      </c>
      <c r="D1242" s="1" t="s">
        <v>27</v>
      </c>
      <c r="E1242" s="1" t="s">
        <v>1105</v>
      </c>
      <c r="F1242" s="1" t="s">
        <v>2777</v>
      </c>
      <c r="G1242" s="1" t="s">
        <v>23</v>
      </c>
      <c r="I1242" s="18">
        <v>40979.779305555552</v>
      </c>
      <c r="J1242" s="1" t="s">
        <v>44</v>
      </c>
      <c r="K1242" s="1" t="s">
        <v>18</v>
      </c>
      <c r="L1242" s="1" t="s">
        <v>19</v>
      </c>
      <c r="Q1242" s="21"/>
    </row>
    <row r="1243" spans="1:22" x14ac:dyDescent="0.15">
      <c r="A1243" s="1">
        <v>117724</v>
      </c>
      <c r="B1243" s="1">
        <v>0</v>
      </c>
      <c r="C1243" s="1" t="s">
        <v>2524</v>
      </c>
      <c r="D1243" s="1" t="s">
        <v>27</v>
      </c>
      <c r="E1243" s="1" t="s">
        <v>2778</v>
      </c>
      <c r="F1243" s="1" t="s">
        <v>2779</v>
      </c>
      <c r="G1243" s="1" t="s">
        <v>23</v>
      </c>
      <c r="I1243" s="18">
        <v>40979.738611111112</v>
      </c>
      <c r="J1243" s="1" t="s">
        <v>40</v>
      </c>
      <c r="K1243" s="1" t="s">
        <v>18</v>
      </c>
      <c r="L1243" s="1" t="s">
        <v>19</v>
      </c>
      <c r="Q1243" s="21"/>
    </row>
    <row r="1244" spans="1:22" x14ac:dyDescent="0.15">
      <c r="A1244" s="1">
        <v>117698</v>
      </c>
      <c r="B1244" s="1">
        <v>0</v>
      </c>
      <c r="C1244" s="1" t="s">
        <v>26</v>
      </c>
      <c r="D1244" s="1" t="s">
        <v>27</v>
      </c>
      <c r="E1244" s="1" t="s">
        <v>3466</v>
      </c>
      <c r="F1244" s="1" t="s">
        <v>3467</v>
      </c>
      <c r="G1244" s="1" t="s">
        <v>23</v>
      </c>
      <c r="I1244" s="18">
        <v>40979.38962962963</v>
      </c>
      <c r="J1244" s="1" t="s">
        <v>44</v>
      </c>
      <c r="K1244" s="1" t="s">
        <v>18</v>
      </c>
      <c r="L1244" s="1" t="s">
        <v>19</v>
      </c>
      <c r="Q1244" s="21"/>
    </row>
    <row r="1245" spans="1:22" x14ac:dyDescent="0.15">
      <c r="A1245" s="1">
        <v>117656</v>
      </c>
      <c r="B1245" s="1">
        <v>0</v>
      </c>
      <c r="D1245" s="1" t="s">
        <v>3714</v>
      </c>
      <c r="E1245" s="1" t="s">
        <v>3751</v>
      </c>
      <c r="F1245" s="1" t="s">
        <v>3752</v>
      </c>
      <c r="G1245" s="1"/>
      <c r="H1245" s="1"/>
      <c r="I1245" s="18">
        <v>40978.296226851853</v>
      </c>
      <c r="J1245" s="1" t="s">
        <v>151</v>
      </c>
      <c r="K1245" s="1" t="s">
        <v>18</v>
      </c>
      <c r="L1245" s="1" t="s">
        <v>19</v>
      </c>
      <c r="Q1245" s="21"/>
    </row>
    <row r="1246" spans="1:22" x14ac:dyDescent="0.15">
      <c r="A1246" s="1">
        <v>117588</v>
      </c>
      <c r="B1246" s="1">
        <v>2</v>
      </c>
      <c r="C1246" s="1" t="s">
        <v>514</v>
      </c>
      <c r="D1246" s="1" t="s">
        <v>27</v>
      </c>
      <c r="E1246" s="1" t="s">
        <v>3205</v>
      </c>
      <c r="F1246" s="1" t="s">
        <v>3206</v>
      </c>
      <c r="G1246" s="1" t="s">
        <v>23</v>
      </c>
      <c r="I1246" s="18">
        <v>40977.871874999997</v>
      </c>
      <c r="J1246" s="1" t="s">
        <v>3207</v>
      </c>
      <c r="K1246" s="1" t="s">
        <v>18</v>
      </c>
      <c r="L1246" s="1" t="s">
        <v>19</v>
      </c>
      <c r="M1246" s="1">
        <v>120013</v>
      </c>
      <c r="N1246" s="1" t="s">
        <v>3208</v>
      </c>
      <c r="O1246" s="18">
        <v>40993.469456018516</v>
      </c>
      <c r="P1246" s="1" t="s">
        <v>1965</v>
      </c>
      <c r="Q1246" s="21">
        <f t="shared" si="20"/>
        <v>15.597581018519122</v>
      </c>
      <c r="R1246" s="1">
        <v>118352</v>
      </c>
      <c r="S1246" s="1" t="s">
        <v>3208</v>
      </c>
      <c r="T1246" s="2" t="s">
        <v>4189</v>
      </c>
      <c r="U1246" s="1" t="s">
        <v>190</v>
      </c>
      <c r="V1246" s="1"/>
    </row>
    <row r="1247" spans="1:22" x14ac:dyDescent="0.15">
      <c r="A1247" s="1">
        <v>117471</v>
      </c>
      <c r="B1247" s="1">
        <v>0</v>
      </c>
      <c r="C1247" s="1" t="s">
        <v>41</v>
      </c>
      <c r="D1247" s="1" t="s">
        <v>27</v>
      </c>
      <c r="E1247" s="1" t="s">
        <v>406</v>
      </c>
      <c r="F1247" s="1" t="s">
        <v>407</v>
      </c>
      <c r="G1247" s="1" t="s">
        <v>23</v>
      </c>
      <c r="I1247" s="18">
        <v>40976.988958333335</v>
      </c>
      <c r="J1247" s="1" t="s">
        <v>408</v>
      </c>
      <c r="K1247" s="1" t="s">
        <v>18</v>
      </c>
      <c r="L1247" s="1" t="s">
        <v>19</v>
      </c>
      <c r="Q1247" s="21"/>
    </row>
    <row r="1248" spans="1:22" x14ac:dyDescent="0.15">
      <c r="A1248" s="1">
        <v>117413</v>
      </c>
      <c r="B1248" s="1">
        <v>0</v>
      </c>
      <c r="C1248" s="1" t="s">
        <v>26</v>
      </c>
      <c r="D1248" s="1" t="s">
        <v>27</v>
      </c>
      <c r="E1248" s="1" t="s">
        <v>2592</v>
      </c>
      <c r="F1248" s="1" t="s">
        <v>2593</v>
      </c>
      <c r="G1248" s="1" t="s">
        <v>23</v>
      </c>
      <c r="I1248" s="18">
        <v>40976.768437500003</v>
      </c>
      <c r="J1248" s="1" t="s">
        <v>155</v>
      </c>
      <c r="K1248" s="1" t="s">
        <v>18</v>
      </c>
      <c r="L1248" s="1" t="s">
        <v>19</v>
      </c>
      <c r="Q1248" s="21"/>
    </row>
    <row r="1249" spans="1:26" x14ac:dyDescent="0.15">
      <c r="A1249" s="1">
        <v>117409</v>
      </c>
      <c r="B1249" s="1">
        <v>0</v>
      </c>
      <c r="C1249" s="1" t="s">
        <v>145</v>
      </c>
      <c r="D1249" s="1" t="s">
        <v>27</v>
      </c>
      <c r="E1249" s="1" t="s">
        <v>2015</v>
      </c>
      <c r="F1249" s="1" t="s">
        <v>2016</v>
      </c>
      <c r="G1249" s="1" t="s">
        <v>23</v>
      </c>
      <c r="I1249" s="18">
        <v>40976.756249999999</v>
      </c>
      <c r="J1249" s="1" t="s">
        <v>2017</v>
      </c>
      <c r="K1249" s="1" t="s">
        <v>18</v>
      </c>
      <c r="L1249" s="1" t="s">
        <v>19</v>
      </c>
      <c r="Q1249" s="21"/>
    </row>
    <row r="1250" spans="1:26" x14ac:dyDescent="0.15">
      <c r="A1250" s="1">
        <v>117400</v>
      </c>
      <c r="B1250" s="1">
        <v>0</v>
      </c>
      <c r="C1250" s="1" t="s">
        <v>26</v>
      </c>
      <c r="D1250" s="1" t="s">
        <v>27</v>
      </c>
      <c r="E1250" s="1" t="s">
        <v>3354</v>
      </c>
      <c r="F1250" s="1" t="s">
        <v>3355</v>
      </c>
      <c r="G1250" s="1" t="s">
        <v>23</v>
      </c>
      <c r="I1250" s="18">
        <v>40976.708437499998</v>
      </c>
      <c r="J1250" s="1" t="s">
        <v>40</v>
      </c>
      <c r="K1250" s="1" t="s">
        <v>18</v>
      </c>
      <c r="L1250" s="1" t="s">
        <v>19</v>
      </c>
      <c r="Q1250" s="21"/>
    </row>
    <row r="1251" spans="1:26" x14ac:dyDescent="0.15">
      <c r="A1251" s="1">
        <v>117230</v>
      </c>
      <c r="B1251" s="1">
        <v>0</v>
      </c>
      <c r="C1251" s="1" t="s">
        <v>170</v>
      </c>
      <c r="D1251" s="1" t="s">
        <v>27</v>
      </c>
      <c r="E1251" s="1" t="s">
        <v>909</v>
      </c>
      <c r="F1251" s="1" t="s">
        <v>910</v>
      </c>
      <c r="G1251" s="1" t="s">
        <v>23</v>
      </c>
      <c r="I1251" s="18">
        <v>40975.857245370367</v>
      </c>
      <c r="J1251" s="1" t="s">
        <v>40</v>
      </c>
      <c r="K1251" s="1" t="s">
        <v>18</v>
      </c>
      <c r="L1251" s="1" t="s">
        <v>19</v>
      </c>
      <c r="Q1251" s="21"/>
    </row>
    <row r="1252" spans="1:26" x14ac:dyDescent="0.15">
      <c r="A1252" s="1">
        <v>117226</v>
      </c>
      <c r="B1252" s="1">
        <v>0</v>
      </c>
      <c r="C1252" s="1" t="s">
        <v>26</v>
      </c>
      <c r="D1252" s="1" t="s">
        <v>27</v>
      </c>
      <c r="E1252" s="1" t="s">
        <v>271</v>
      </c>
      <c r="F1252" s="1" t="s">
        <v>272</v>
      </c>
      <c r="G1252" s="1" t="s">
        <v>23</v>
      </c>
      <c r="I1252" s="18">
        <v>40975.847754629627</v>
      </c>
      <c r="J1252" s="1" t="s">
        <v>40</v>
      </c>
      <c r="K1252" s="1" t="s">
        <v>18</v>
      </c>
      <c r="L1252" s="1" t="s">
        <v>19</v>
      </c>
      <c r="Q1252" s="21"/>
    </row>
    <row r="1253" spans="1:26" x14ac:dyDescent="0.15">
      <c r="A1253" s="1">
        <v>117110</v>
      </c>
      <c r="B1253" s="1">
        <v>0</v>
      </c>
      <c r="C1253" s="1" t="s">
        <v>26</v>
      </c>
      <c r="D1253" s="1" t="s">
        <v>27</v>
      </c>
      <c r="E1253" s="1" t="s">
        <v>1611</v>
      </c>
      <c r="F1253" s="1" t="s">
        <v>2367</v>
      </c>
      <c r="G1253" s="1" t="s">
        <v>23</v>
      </c>
      <c r="I1253" s="18">
        <v>40975.176354166666</v>
      </c>
      <c r="J1253" s="1" t="s">
        <v>40</v>
      </c>
      <c r="K1253" s="1" t="s">
        <v>18</v>
      </c>
      <c r="L1253" s="1" t="s">
        <v>19</v>
      </c>
      <c r="Q1253" s="21"/>
    </row>
    <row r="1254" spans="1:26" x14ac:dyDescent="0.15">
      <c r="A1254" s="1">
        <v>116806</v>
      </c>
      <c r="B1254" s="1">
        <v>1</v>
      </c>
      <c r="C1254" s="1" t="s">
        <v>26</v>
      </c>
      <c r="D1254" s="1" t="s">
        <v>27</v>
      </c>
      <c r="E1254" s="1" t="s">
        <v>3107</v>
      </c>
      <c r="F1254" s="1" t="s">
        <v>3108</v>
      </c>
      <c r="G1254" s="1" t="s">
        <v>23</v>
      </c>
      <c r="I1254" s="18">
        <v>40973.706666666665</v>
      </c>
      <c r="J1254" s="1" t="s">
        <v>148</v>
      </c>
      <c r="K1254" s="1" t="s">
        <v>18</v>
      </c>
      <c r="L1254" s="1" t="s">
        <v>19</v>
      </c>
      <c r="M1254" s="1">
        <v>117578</v>
      </c>
      <c r="N1254" s="1" t="s">
        <v>3109</v>
      </c>
      <c r="O1254" s="18">
        <v>40977.826215277775</v>
      </c>
      <c r="P1254" s="1" t="s">
        <v>44</v>
      </c>
      <c r="Q1254" s="21">
        <f t="shared" si="20"/>
        <v>4.1195486111100763</v>
      </c>
      <c r="R1254" s="1"/>
    </row>
    <row r="1255" spans="1:26" x14ac:dyDescent="0.15">
      <c r="A1255" s="1">
        <v>116746</v>
      </c>
      <c r="B1255" s="1">
        <v>0</v>
      </c>
      <c r="C1255" s="1" t="s">
        <v>26</v>
      </c>
      <c r="D1255" s="1" t="s">
        <v>27</v>
      </c>
      <c r="E1255" s="1" t="s">
        <v>1333</v>
      </c>
      <c r="F1255" s="1" t="s">
        <v>1334</v>
      </c>
      <c r="G1255" s="1" t="s">
        <v>23</v>
      </c>
      <c r="I1255" s="18">
        <v>40972.805127314816</v>
      </c>
      <c r="J1255" s="1" t="s">
        <v>44</v>
      </c>
      <c r="K1255" s="1" t="s">
        <v>18</v>
      </c>
      <c r="L1255" s="1" t="s">
        <v>19</v>
      </c>
      <c r="Q1255" s="21"/>
    </row>
    <row r="1256" spans="1:26" x14ac:dyDescent="0.15">
      <c r="A1256" s="1">
        <v>116637</v>
      </c>
      <c r="B1256" s="1">
        <v>2</v>
      </c>
      <c r="C1256" s="1" t="s">
        <v>1682</v>
      </c>
      <c r="D1256" s="1" t="s">
        <v>27</v>
      </c>
      <c r="E1256" s="1" t="s">
        <v>2324</v>
      </c>
      <c r="F1256" s="1" t="s">
        <v>2325</v>
      </c>
      <c r="G1256" s="1" t="s">
        <v>23</v>
      </c>
      <c r="I1256" s="18">
        <v>40971.013981481483</v>
      </c>
      <c r="J1256" s="1" t="s">
        <v>2326</v>
      </c>
      <c r="K1256" s="1" t="s">
        <v>18</v>
      </c>
      <c r="L1256" s="1" t="s">
        <v>19</v>
      </c>
      <c r="M1256" s="1">
        <v>116157</v>
      </c>
      <c r="N1256" s="1" t="s">
        <v>2327</v>
      </c>
      <c r="O1256" s="18">
        <v>40967.929143518515</v>
      </c>
      <c r="P1256" s="1" t="s">
        <v>2328</v>
      </c>
      <c r="Q1256" s="21">
        <f t="shared" si="20"/>
        <v>3.0848379629678675</v>
      </c>
      <c r="R1256" s="1">
        <v>116456</v>
      </c>
      <c r="S1256" s="1" t="s">
        <v>2329</v>
      </c>
      <c r="T1256" s="4" t="s">
        <v>4171</v>
      </c>
      <c r="U1256" s="1" t="s">
        <v>2330</v>
      </c>
      <c r="V1256" s="1"/>
    </row>
    <row r="1257" spans="1:26" x14ac:dyDescent="0.15">
      <c r="A1257" s="1">
        <v>116524</v>
      </c>
      <c r="B1257" s="1">
        <v>0</v>
      </c>
      <c r="C1257" s="1" t="s">
        <v>170</v>
      </c>
      <c r="D1257" s="1" t="s">
        <v>27</v>
      </c>
      <c r="E1257" s="1" t="s">
        <v>2688</v>
      </c>
      <c r="F1257" s="1" t="s">
        <v>2689</v>
      </c>
      <c r="G1257" s="1" t="s">
        <v>23</v>
      </c>
      <c r="I1257" s="18">
        <v>40970.501562500001</v>
      </c>
      <c r="J1257" s="1" t="s">
        <v>1320</v>
      </c>
      <c r="K1257" s="1" t="s">
        <v>18</v>
      </c>
      <c r="L1257" s="1" t="s">
        <v>19</v>
      </c>
      <c r="Q1257" s="21"/>
    </row>
    <row r="1258" spans="1:26" x14ac:dyDescent="0.15">
      <c r="A1258" s="1">
        <v>116461</v>
      </c>
      <c r="B1258" s="1">
        <v>0</v>
      </c>
      <c r="C1258" s="1" t="s">
        <v>26</v>
      </c>
      <c r="D1258" s="1" t="s">
        <v>27</v>
      </c>
      <c r="E1258" s="1" t="s">
        <v>1935</v>
      </c>
      <c r="F1258" s="1" t="s">
        <v>1936</v>
      </c>
      <c r="G1258" s="1" t="s">
        <v>23</v>
      </c>
      <c r="I1258" s="18">
        <v>40969.977175925924</v>
      </c>
      <c r="J1258" s="1" t="s">
        <v>544</v>
      </c>
      <c r="K1258" s="1" t="s">
        <v>18</v>
      </c>
      <c r="L1258" s="1" t="s">
        <v>19</v>
      </c>
      <c r="Q1258" s="21"/>
    </row>
    <row r="1259" spans="1:26" x14ac:dyDescent="0.15">
      <c r="A1259" s="1">
        <v>116405</v>
      </c>
      <c r="B1259" s="1">
        <v>3</v>
      </c>
      <c r="C1259" s="1" t="s">
        <v>26</v>
      </c>
      <c r="D1259" s="1" t="s">
        <v>27</v>
      </c>
      <c r="E1259" s="1" t="s">
        <v>823</v>
      </c>
      <c r="F1259" s="1" t="s">
        <v>824</v>
      </c>
      <c r="G1259" s="1" t="s">
        <v>23</v>
      </c>
      <c r="I1259" s="18">
        <v>40969.758738425924</v>
      </c>
      <c r="J1259" s="1" t="s">
        <v>40</v>
      </c>
      <c r="K1259" s="1" t="s">
        <v>18</v>
      </c>
      <c r="L1259" s="1" t="s">
        <v>19</v>
      </c>
      <c r="M1259" s="1">
        <v>107489</v>
      </c>
      <c r="N1259" s="1" t="s">
        <v>825</v>
      </c>
      <c r="O1259" s="18">
        <v>40891.120625000003</v>
      </c>
      <c r="P1259" s="1" t="s">
        <v>155</v>
      </c>
      <c r="Q1259" s="21">
        <f t="shared" si="20"/>
        <v>78.638113425920892</v>
      </c>
      <c r="R1259" s="1">
        <v>105458</v>
      </c>
      <c r="S1259" s="1" t="s">
        <v>825</v>
      </c>
      <c r="T1259" s="2" t="s">
        <v>4147</v>
      </c>
      <c r="U1259" s="1" t="s">
        <v>44</v>
      </c>
      <c r="V1259" s="1">
        <v>112588</v>
      </c>
      <c r="W1259" s="1" t="s">
        <v>826</v>
      </c>
      <c r="X1259" s="4" t="s">
        <v>4148</v>
      </c>
      <c r="Y1259" s="1" t="s">
        <v>148</v>
      </c>
      <c r="Z1259" s="1"/>
    </row>
    <row r="1260" spans="1:26" x14ac:dyDescent="0.15">
      <c r="A1260" s="1">
        <v>116398</v>
      </c>
      <c r="B1260" s="1">
        <v>0</v>
      </c>
      <c r="C1260" s="1" t="s">
        <v>2652</v>
      </c>
      <c r="D1260" s="1" t="s">
        <v>27</v>
      </c>
      <c r="E1260" s="1" t="s">
        <v>2653</v>
      </c>
      <c r="F1260" s="1" t="s">
        <v>2654</v>
      </c>
      <c r="G1260" s="1" t="s">
        <v>23</v>
      </c>
      <c r="I1260" s="18">
        <v>40969.695983796293</v>
      </c>
      <c r="J1260" s="1" t="s">
        <v>2655</v>
      </c>
      <c r="K1260" s="1" t="s">
        <v>18</v>
      </c>
      <c r="L1260" s="1" t="s">
        <v>19</v>
      </c>
      <c r="Q1260" s="21"/>
    </row>
    <row r="1261" spans="1:26" x14ac:dyDescent="0.15">
      <c r="A1261" s="1">
        <v>116224</v>
      </c>
      <c r="B1261" s="1">
        <v>0</v>
      </c>
      <c r="C1261" s="1" t="s">
        <v>26</v>
      </c>
      <c r="D1261" s="1" t="s">
        <v>27</v>
      </c>
      <c r="E1261" s="1" t="s">
        <v>1051</v>
      </c>
      <c r="F1261" s="1" t="s">
        <v>1052</v>
      </c>
      <c r="G1261" s="1" t="s">
        <v>23</v>
      </c>
      <c r="I1261" s="18">
        <v>40968.354641203703</v>
      </c>
      <c r="J1261" s="1" t="s">
        <v>40</v>
      </c>
      <c r="K1261" s="1" t="s">
        <v>18</v>
      </c>
      <c r="L1261" s="1" t="s">
        <v>19</v>
      </c>
      <c r="Q1261" s="21"/>
    </row>
    <row r="1262" spans="1:26" x14ac:dyDescent="0.15">
      <c r="A1262" s="1">
        <v>116162</v>
      </c>
      <c r="B1262" s="1">
        <v>0</v>
      </c>
      <c r="C1262" s="1" t="s">
        <v>26</v>
      </c>
      <c r="D1262" s="1" t="s">
        <v>27</v>
      </c>
      <c r="E1262" s="1" t="s">
        <v>1442</v>
      </c>
      <c r="F1262" s="1" t="s">
        <v>1443</v>
      </c>
      <c r="G1262" s="1" t="s">
        <v>23</v>
      </c>
      <c r="I1262" s="18">
        <v>40967.939074074071</v>
      </c>
      <c r="J1262" s="1" t="s">
        <v>1444</v>
      </c>
      <c r="K1262" s="1" t="s">
        <v>18</v>
      </c>
      <c r="L1262" s="1" t="s">
        <v>19</v>
      </c>
      <c r="Q1262" s="21"/>
    </row>
    <row r="1263" spans="1:26" x14ac:dyDescent="0.15">
      <c r="A1263" s="13">
        <v>116122</v>
      </c>
      <c r="B1263" s="13">
        <v>0</v>
      </c>
      <c r="C1263" s="13" t="s">
        <v>170</v>
      </c>
      <c r="D1263" s="13" t="s">
        <v>4082</v>
      </c>
      <c r="E1263" s="13" t="s">
        <v>217</v>
      </c>
      <c r="F1263" s="13" t="s">
        <v>4122</v>
      </c>
      <c r="G1263" s="13" t="s">
        <v>23</v>
      </c>
      <c r="H1263" s="13">
        <v>108406</v>
      </c>
      <c r="I1263" s="23">
        <v>40967.822210648148</v>
      </c>
      <c r="J1263" s="13" t="s">
        <v>190</v>
      </c>
      <c r="K1263" s="13" t="s">
        <v>18</v>
      </c>
      <c r="L1263" s="13" t="s">
        <v>19</v>
      </c>
      <c r="M1263" s="13" t="s">
        <v>4085</v>
      </c>
      <c r="Q1263" s="21"/>
    </row>
    <row r="1264" spans="1:26" x14ac:dyDescent="0.15">
      <c r="A1264" s="1">
        <v>116093</v>
      </c>
      <c r="B1264" s="1">
        <v>0</v>
      </c>
      <c r="C1264" s="1" t="s">
        <v>41</v>
      </c>
      <c r="D1264" s="1" t="s">
        <v>27</v>
      </c>
      <c r="E1264" s="1" t="s">
        <v>2733</v>
      </c>
      <c r="F1264" s="1" t="s">
        <v>3344</v>
      </c>
      <c r="G1264" s="1" t="s">
        <v>23</v>
      </c>
      <c r="I1264" s="18">
        <v>40967.750277777777</v>
      </c>
      <c r="J1264" s="1" t="s">
        <v>544</v>
      </c>
      <c r="K1264" s="1" t="s">
        <v>18</v>
      </c>
      <c r="L1264" s="1" t="s">
        <v>19</v>
      </c>
      <c r="Q1264" s="21"/>
    </row>
    <row r="1265" spans="1:34" x14ac:dyDescent="0.15">
      <c r="A1265" s="1">
        <v>116027</v>
      </c>
      <c r="B1265" s="1">
        <v>0</v>
      </c>
      <c r="C1265" s="1" t="s">
        <v>26</v>
      </c>
      <c r="D1265" s="1" t="s">
        <v>27</v>
      </c>
      <c r="E1265" s="1" t="s">
        <v>879</v>
      </c>
      <c r="F1265" s="1" t="s">
        <v>880</v>
      </c>
      <c r="G1265" s="1" t="s">
        <v>23</v>
      </c>
      <c r="I1265" s="18">
        <v>40967.251180555555</v>
      </c>
      <c r="J1265" s="1" t="s">
        <v>40</v>
      </c>
      <c r="K1265" s="1" t="s">
        <v>18</v>
      </c>
      <c r="L1265" s="1" t="s">
        <v>19</v>
      </c>
      <c r="Q1265" s="21"/>
    </row>
    <row r="1266" spans="1:34" x14ac:dyDescent="0.15">
      <c r="A1266" s="1">
        <v>115681</v>
      </c>
      <c r="B1266" s="1">
        <v>0</v>
      </c>
      <c r="C1266" s="1" t="s">
        <v>26</v>
      </c>
      <c r="D1266" s="1" t="s">
        <v>27</v>
      </c>
      <c r="E1266" s="1" t="s">
        <v>163</v>
      </c>
      <c r="F1266" s="1" t="s">
        <v>164</v>
      </c>
      <c r="G1266" s="1" t="s">
        <v>23</v>
      </c>
      <c r="I1266" s="18">
        <v>40963.807164351849</v>
      </c>
      <c r="J1266" s="1" t="s">
        <v>44</v>
      </c>
      <c r="K1266" s="1" t="s">
        <v>18</v>
      </c>
      <c r="L1266" s="1" t="s">
        <v>19</v>
      </c>
      <c r="Q1266" s="21"/>
    </row>
    <row r="1267" spans="1:34" x14ac:dyDescent="0.15">
      <c r="A1267" s="1">
        <v>115471</v>
      </c>
      <c r="B1267" s="1">
        <v>0</v>
      </c>
      <c r="C1267" s="1" t="s">
        <v>170</v>
      </c>
      <c r="D1267" s="1" t="s">
        <v>27</v>
      </c>
      <c r="E1267" s="1" t="s">
        <v>2026</v>
      </c>
      <c r="F1267" s="1" t="s">
        <v>2027</v>
      </c>
      <c r="G1267" s="1" t="s">
        <v>23</v>
      </c>
      <c r="I1267" s="18">
        <v>40962.645405092589</v>
      </c>
      <c r="J1267" s="1" t="s">
        <v>190</v>
      </c>
      <c r="K1267" s="1" t="s">
        <v>18</v>
      </c>
      <c r="L1267" s="1" t="s">
        <v>19</v>
      </c>
      <c r="Q1267" s="21"/>
    </row>
    <row r="1268" spans="1:34" x14ac:dyDescent="0.15">
      <c r="A1268" s="1">
        <v>115159</v>
      </c>
      <c r="B1268" s="1">
        <v>0</v>
      </c>
      <c r="C1268" s="1" t="s">
        <v>26</v>
      </c>
      <c r="D1268" s="1" t="s">
        <v>27</v>
      </c>
      <c r="E1268" s="1" t="s">
        <v>2237</v>
      </c>
      <c r="F1268" s="1" t="s">
        <v>2238</v>
      </c>
      <c r="G1268" s="1" t="s">
        <v>23</v>
      </c>
      <c r="I1268" s="18">
        <v>40960.881053240744</v>
      </c>
      <c r="J1268" s="1" t="s">
        <v>1922</v>
      </c>
      <c r="K1268" s="1" t="s">
        <v>18</v>
      </c>
      <c r="L1268" s="1" t="s">
        <v>19</v>
      </c>
      <c r="Q1268" s="21"/>
    </row>
    <row r="1269" spans="1:34" x14ac:dyDescent="0.15">
      <c r="A1269" s="1">
        <v>115028</v>
      </c>
      <c r="B1269" s="1">
        <v>0</v>
      </c>
      <c r="C1269" s="1" t="s">
        <v>26</v>
      </c>
      <c r="D1269" s="1" t="s">
        <v>27</v>
      </c>
      <c r="E1269" s="1" t="s">
        <v>312</v>
      </c>
      <c r="F1269" s="1" t="s">
        <v>313</v>
      </c>
      <c r="G1269" s="1" t="s">
        <v>23</v>
      </c>
      <c r="I1269" s="18">
        <v>40959.830405092594</v>
      </c>
      <c r="J1269" s="1" t="s">
        <v>44</v>
      </c>
      <c r="K1269" s="1" t="s">
        <v>18</v>
      </c>
      <c r="L1269" s="1" t="s">
        <v>19</v>
      </c>
      <c r="Q1269" s="21"/>
    </row>
    <row r="1270" spans="1:34" x14ac:dyDescent="0.15">
      <c r="A1270" s="1">
        <v>114960</v>
      </c>
      <c r="B1270" s="1">
        <v>0</v>
      </c>
      <c r="C1270" s="1" t="s">
        <v>41</v>
      </c>
      <c r="D1270" s="1" t="s">
        <v>27</v>
      </c>
      <c r="E1270" s="1" t="s">
        <v>1871</v>
      </c>
      <c r="F1270" s="1" t="s">
        <v>3383</v>
      </c>
      <c r="G1270" s="1" t="s">
        <v>23</v>
      </c>
      <c r="I1270" s="18">
        <v>40959.011620370373</v>
      </c>
      <c r="J1270" s="1" t="s">
        <v>40</v>
      </c>
      <c r="K1270" s="1" t="s">
        <v>18</v>
      </c>
      <c r="L1270" s="1" t="s">
        <v>19</v>
      </c>
      <c r="Q1270" s="21"/>
    </row>
    <row r="1271" spans="1:34" x14ac:dyDescent="0.15">
      <c r="A1271" s="1">
        <v>114924</v>
      </c>
      <c r="B1271" s="1">
        <v>0</v>
      </c>
      <c r="C1271" s="1" t="s">
        <v>26</v>
      </c>
      <c r="D1271" s="1" t="s">
        <v>27</v>
      </c>
      <c r="E1271" s="1" t="s">
        <v>966</v>
      </c>
      <c r="F1271" s="1" t="s">
        <v>313</v>
      </c>
      <c r="G1271" s="1" t="s">
        <v>23</v>
      </c>
      <c r="I1271" s="18">
        <v>40958.360972222225</v>
      </c>
      <c r="J1271" s="1" t="s">
        <v>44</v>
      </c>
      <c r="K1271" s="1" t="s">
        <v>18</v>
      </c>
      <c r="L1271" s="1" t="s">
        <v>19</v>
      </c>
      <c r="Q1271" s="21"/>
    </row>
    <row r="1272" spans="1:34" x14ac:dyDescent="0.15">
      <c r="A1272" s="1">
        <v>114911</v>
      </c>
      <c r="B1272" s="1">
        <v>0</v>
      </c>
      <c r="C1272" s="1" t="s">
        <v>26</v>
      </c>
      <c r="D1272" s="1" t="s">
        <v>27</v>
      </c>
      <c r="E1272" s="1" t="s">
        <v>2897</v>
      </c>
      <c r="F1272" s="1" t="s">
        <v>2898</v>
      </c>
      <c r="G1272" s="1" t="s">
        <v>23</v>
      </c>
      <c r="I1272" s="18">
        <v>40958.061620370368</v>
      </c>
      <c r="J1272" s="1" t="s">
        <v>2899</v>
      </c>
      <c r="K1272" s="1" t="s">
        <v>18</v>
      </c>
      <c r="L1272" s="1" t="s">
        <v>19</v>
      </c>
      <c r="Q1272" s="21"/>
    </row>
    <row r="1273" spans="1:34" x14ac:dyDescent="0.15">
      <c r="A1273" s="1">
        <v>114219</v>
      </c>
      <c r="B1273" s="1">
        <v>0</v>
      </c>
      <c r="C1273" s="1" t="s">
        <v>26</v>
      </c>
      <c r="D1273" s="1" t="s">
        <v>27</v>
      </c>
      <c r="E1273" s="1" t="s">
        <v>3171</v>
      </c>
      <c r="F1273" s="1" t="s">
        <v>3172</v>
      </c>
      <c r="G1273" s="1" t="s">
        <v>23</v>
      </c>
      <c r="I1273" s="18">
        <v>40953.820729166669</v>
      </c>
      <c r="J1273" s="1" t="s">
        <v>44</v>
      </c>
      <c r="K1273" s="1" t="s">
        <v>18</v>
      </c>
      <c r="L1273" s="1" t="s">
        <v>19</v>
      </c>
      <c r="Q1273" s="21"/>
    </row>
    <row r="1274" spans="1:34" x14ac:dyDescent="0.15">
      <c r="A1274" s="1">
        <v>114144</v>
      </c>
      <c r="B1274" s="1">
        <v>5</v>
      </c>
      <c r="C1274" s="1" t="s">
        <v>26</v>
      </c>
      <c r="D1274" s="1" t="s">
        <v>27</v>
      </c>
      <c r="E1274" s="1" t="s">
        <v>774</v>
      </c>
      <c r="F1274" s="1" t="s">
        <v>775</v>
      </c>
      <c r="G1274" s="1" t="s">
        <v>23</v>
      </c>
      <c r="I1274" s="18">
        <v>40953.247870370367</v>
      </c>
      <c r="J1274" s="1" t="s">
        <v>718</v>
      </c>
      <c r="K1274" s="1" t="s">
        <v>18</v>
      </c>
      <c r="L1274" s="1" t="s">
        <v>19</v>
      </c>
      <c r="M1274" s="1">
        <v>115804</v>
      </c>
      <c r="N1274" s="1" t="s">
        <v>776</v>
      </c>
      <c r="O1274" s="18">
        <v>40965.257141203707</v>
      </c>
      <c r="P1274" s="1" t="s">
        <v>777</v>
      </c>
      <c r="Q1274" s="21">
        <f t="shared" si="20"/>
        <v>12.009270833339542</v>
      </c>
      <c r="R1274" s="1">
        <v>113329</v>
      </c>
      <c r="S1274" s="1" t="s">
        <v>776</v>
      </c>
      <c r="T1274" s="4" t="s">
        <v>4143</v>
      </c>
      <c r="U1274" s="1" t="s">
        <v>778</v>
      </c>
      <c r="V1274" s="1">
        <v>110110</v>
      </c>
      <c r="W1274" s="1" t="s">
        <v>776</v>
      </c>
      <c r="X1274" s="2" t="s">
        <v>4144</v>
      </c>
      <c r="Y1274" s="1" t="s">
        <v>779</v>
      </c>
      <c r="Z1274" s="1">
        <v>109839</v>
      </c>
      <c r="AA1274" s="1" t="s">
        <v>780</v>
      </c>
      <c r="AB1274" s="2" t="s">
        <v>4145</v>
      </c>
      <c r="AC1274" s="1" t="s">
        <v>781</v>
      </c>
      <c r="AD1274" s="1">
        <v>109800</v>
      </c>
      <c r="AE1274" s="1" t="s">
        <v>780</v>
      </c>
      <c r="AF1274" s="2" t="s">
        <v>4146</v>
      </c>
      <c r="AG1274" s="1" t="s">
        <v>782</v>
      </c>
      <c r="AH1274" s="1"/>
    </row>
    <row r="1275" spans="1:34" x14ac:dyDescent="0.15">
      <c r="A1275" s="1">
        <v>114068</v>
      </c>
      <c r="B1275" s="1">
        <v>0</v>
      </c>
      <c r="C1275" s="1" t="s">
        <v>26</v>
      </c>
      <c r="D1275" s="1" t="s">
        <v>27</v>
      </c>
      <c r="E1275" s="1" t="s">
        <v>3352</v>
      </c>
      <c r="F1275" s="1" t="s">
        <v>3353</v>
      </c>
      <c r="G1275" s="1" t="s">
        <v>23</v>
      </c>
      <c r="I1275" s="18">
        <v>40952.873495370368</v>
      </c>
      <c r="J1275" s="1" t="s">
        <v>44</v>
      </c>
      <c r="K1275" s="1" t="s">
        <v>18</v>
      </c>
      <c r="L1275" s="1" t="s">
        <v>19</v>
      </c>
      <c r="Q1275" s="21"/>
    </row>
    <row r="1276" spans="1:34" x14ac:dyDescent="0.15">
      <c r="A1276" s="1">
        <v>113902</v>
      </c>
      <c r="B1276" s="1">
        <v>0</v>
      </c>
      <c r="C1276" s="1" t="s">
        <v>26</v>
      </c>
      <c r="D1276" s="1" t="s">
        <v>27</v>
      </c>
      <c r="E1276" s="1" t="s">
        <v>1105</v>
      </c>
      <c r="F1276" s="1" t="s">
        <v>1874</v>
      </c>
      <c r="G1276" s="1" t="s">
        <v>23</v>
      </c>
      <c r="I1276" s="18">
        <v>40951.814432870371</v>
      </c>
      <c r="J1276" s="1" t="s">
        <v>44</v>
      </c>
      <c r="K1276" s="1" t="s">
        <v>18</v>
      </c>
      <c r="L1276" s="1" t="s">
        <v>19</v>
      </c>
      <c r="Q1276" s="21"/>
    </row>
    <row r="1277" spans="1:34" x14ac:dyDescent="0.15">
      <c r="A1277" s="1">
        <v>113801</v>
      </c>
      <c r="B1277" s="1">
        <v>1</v>
      </c>
      <c r="C1277" s="1" t="s">
        <v>26</v>
      </c>
      <c r="D1277" s="1" t="s">
        <v>27</v>
      </c>
      <c r="E1277" s="1" t="s">
        <v>911</v>
      </c>
      <c r="F1277" s="1" t="s">
        <v>912</v>
      </c>
      <c r="G1277" s="1" t="s">
        <v>23</v>
      </c>
      <c r="I1277" s="18">
        <v>40950.363796296297</v>
      </c>
      <c r="J1277" s="1" t="s">
        <v>40</v>
      </c>
      <c r="K1277" s="1" t="s">
        <v>18</v>
      </c>
      <c r="L1277" s="1" t="s">
        <v>19</v>
      </c>
      <c r="M1277" s="1">
        <v>114465</v>
      </c>
      <c r="N1277" s="1" t="s">
        <v>913</v>
      </c>
      <c r="O1277" s="18">
        <v>40954.867928240739</v>
      </c>
      <c r="P1277" s="1" t="s">
        <v>44</v>
      </c>
      <c r="Q1277" s="21">
        <f t="shared" si="20"/>
        <v>4.5041319444426335</v>
      </c>
      <c r="R1277" s="1"/>
    </row>
    <row r="1278" spans="1:34" x14ac:dyDescent="0.15">
      <c r="A1278" s="1">
        <v>113800</v>
      </c>
      <c r="B1278" s="1">
        <v>0</v>
      </c>
      <c r="C1278" s="1" t="s">
        <v>26</v>
      </c>
      <c r="D1278" s="1" t="s">
        <v>27</v>
      </c>
      <c r="E1278" s="1" t="s">
        <v>914</v>
      </c>
      <c r="F1278" s="1" t="s">
        <v>915</v>
      </c>
      <c r="G1278" s="1" t="s">
        <v>23</v>
      </c>
      <c r="I1278" s="18">
        <v>40950.36277777778</v>
      </c>
      <c r="J1278" s="1" t="s">
        <v>40</v>
      </c>
      <c r="K1278" s="1" t="s">
        <v>18</v>
      </c>
      <c r="L1278" s="1" t="s">
        <v>19</v>
      </c>
      <c r="Q1278" s="21"/>
    </row>
    <row r="1279" spans="1:34" x14ac:dyDescent="0.15">
      <c r="A1279" s="1">
        <v>113799</v>
      </c>
      <c r="B1279" s="1">
        <v>0</v>
      </c>
      <c r="C1279" s="1" t="s">
        <v>26</v>
      </c>
      <c r="D1279" s="1" t="s">
        <v>27</v>
      </c>
      <c r="E1279" s="1" t="s">
        <v>2491</v>
      </c>
      <c r="F1279" s="1" t="s">
        <v>915</v>
      </c>
      <c r="G1279" s="1" t="s">
        <v>23</v>
      </c>
      <c r="I1279" s="18">
        <v>40950.36146990741</v>
      </c>
      <c r="J1279" s="1" t="s">
        <v>40</v>
      </c>
      <c r="K1279" s="1" t="s">
        <v>18</v>
      </c>
      <c r="L1279" s="1" t="s">
        <v>19</v>
      </c>
      <c r="Q1279" s="21"/>
    </row>
    <row r="1280" spans="1:34" x14ac:dyDescent="0.15">
      <c r="A1280" s="1">
        <v>113755</v>
      </c>
      <c r="B1280" s="1">
        <v>0</v>
      </c>
      <c r="C1280" s="1" t="s">
        <v>26</v>
      </c>
      <c r="D1280" s="1" t="s">
        <v>27</v>
      </c>
      <c r="E1280" s="1" t="s">
        <v>1611</v>
      </c>
      <c r="F1280" s="1" t="s">
        <v>1710</v>
      </c>
      <c r="G1280" s="1" t="s">
        <v>23</v>
      </c>
      <c r="I1280" s="18">
        <v>40950.001203703701</v>
      </c>
      <c r="J1280" s="1" t="s">
        <v>40</v>
      </c>
      <c r="K1280" s="1" t="s">
        <v>18</v>
      </c>
      <c r="L1280" s="1" t="s">
        <v>19</v>
      </c>
      <c r="Q1280" s="21"/>
    </row>
    <row r="1281" spans="1:18" x14ac:dyDescent="0.15">
      <c r="A1281" s="1">
        <v>113707</v>
      </c>
      <c r="B1281" s="1">
        <v>0</v>
      </c>
      <c r="C1281" s="1" t="s">
        <v>26</v>
      </c>
      <c r="D1281" s="1" t="s">
        <v>27</v>
      </c>
      <c r="E1281" s="1" t="s">
        <v>1472</v>
      </c>
      <c r="F1281" s="1" t="s">
        <v>1473</v>
      </c>
      <c r="G1281" s="1"/>
      <c r="H1281" s="1"/>
      <c r="I1281" s="18">
        <v>40949.858796296299</v>
      </c>
      <c r="J1281" s="1" t="s">
        <v>44</v>
      </c>
      <c r="K1281" s="1" t="s">
        <v>18</v>
      </c>
      <c r="L1281" s="1" t="s">
        <v>19</v>
      </c>
      <c r="Q1281" s="21"/>
    </row>
    <row r="1282" spans="1:18" x14ac:dyDescent="0.15">
      <c r="A1282" s="1">
        <v>113690</v>
      </c>
      <c r="B1282" s="1">
        <v>0</v>
      </c>
      <c r="C1282" s="1" t="s">
        <v>26</v>
      </c>
      <c r="D1282" s="1" t="s">
        <v>27</v>
      </c>
      <c r="E1282" s="1" t="s">
        <v>814</v>
      </c>
      <c r="F1282" s="1" t="s">
        <v>815</v>
      </c>
      <c r="G1282" s="1" t="s">
        <v>23</v>
      </c>
      <c r="I1282" s="18">
        <v>40949.817384259259</v>
      </c>
      <c r="J1282" s="1" t="s">
        <v>40</v>
      </c>
      <c r="K1282" s="1" t="s">
        <v>18</v>
      </c>
      <c r="L1282" s="1" t="s">
        <v>19</v>
      </c>
      <c r="Q1282" s="21"/>
    </row>
    <row r="1283" spans="1:18" x14ac:dyDescent="0.15">
      <c r="A1283" s="1">
        <v>113562</v>
      </c>
      <c r="B1283" s="1">
        <v>0</v>
      </c>
      <c r="C1283" s="1" t="s">
        <v>26</v>
      </c>
      <c r="D1283" s="1" t="s">
        <v>27</v>
      </c>
      <c r="E1283" s="1" t="s">
        <v>2922</v>
      </c>
      <c r="F1283" s="1" t="s">
        <v>2923</v>
      </c>
      <c r="G1283" s="1" t="s">
        <v>23</v>
      </c>
      <c r="I1283" s="18">
        <v>40949.030474537038</v>
      </c>
      <c r="J1283" s="1" t="s">
        <v>40</v>
      </c>
      <c r="K1283" s="1" t="s">
        <v>18</v>
      </c>
      <c r="L1283" s="1" t="s">
        <v>19</v>
      </c>
      <c r="Q1283" s="21"/>
    </row>
    <row r="1284" spans="1:18" x14ac:dyDescent="0.15">
      <c r="A1284" s="1">
        <v>113497</v>
      </c>
      <c r="B1284" s="1">
        <v>0</v>
      </c>
      <c r="C1284" s="1" t="s">
        <v>26</v>
      </c>
      <c r="D1284" s="1" t="s">
        <v>27</v>
      </c>
      <c r="E1284" s="1" t="s">
        <v>1802</v>
      </c>
      <c r="F1284" s="1" t="s">
        <v>1803</v>
      </c>
      <c r="G1284" s="1" t="s">
        <v>23</v>
      </c>
      <c r="I1284" s="18">
        <v>40948.838807870372</v>
      </c>
      <c r="J1284" s="1" t="s">
        <v>44</v>
      </c>
      <c r="K1284" s="1" t="s">
        <v>18</v>
      </c>
      <c r="L1284" s="1" t="s">
        <v>19</v>
      </c>
      <c r="Q1284" s="21"/>
    </row>
    <row r="1285" spans="1:18" x14ac:dyDescent="0.15">
      <c r="A1285" s="1">
        <v>113439</v>
      </c>
      <c r="B1285" s="1">
        <v>0</v>
      </c>
      <c r="C1285" s="1" t="s">
        <v>26</v>
      </c>
      <c r="D1285" s="1" t="s">
        <v>27</v>
      </c>
      <c r="E1285" s="1" t="s">
        <v>2185</v>
      </c>
      <c r="F1285" s="1" t="s">
        <v>313</v>
      </c>
      <c r="G1285" s="1" t="s">
        <v>23</v>
      </c>
      <c r="I1285" s="18">
        <v>40948.790543981479</v>
      </c>
      <c r="J1285" s="1" t="s">
        <v>44</v>
      </c>
      <c r="K1285" s="1" t="s">
        <v>18</v>
      </c>
      <c r="L1285" s="1" t="s">
        <v>19</v>
      </c>
      <c r="Q1285" s="21"/>
    </row>
    <row r="1286" spans="1:18" x14ac:dyDescent="0.15">
      <c r="A1286" s="1">
        <v>113415</v>
      </c>
      <c r="B1286" s="1">
        <v>0</v>
      </c>
      <c r="C1286" s="1" t="s">
        <v>26</v>
      </c>
      <c r="D1286" s="1" t="s">
        <v>27</v>
      </c>
      <c r="E1286" s="1" t="s">
        <v>291</v>
      </c>
      <c r="F1286" s="1" t="s">
        <v>915</v>
      </c>
      <c r="G1286" s="1" t="s">
        <v>23</v>
      </c>
      <c r="I1286" s="18">
        <v>40948.739247685182</v>
      </c>
      <c r="J1286" s="1" t="s">
        <v>155</v>
      </c>
      <c r="K1286" s="1" t="s">
        <v>18</v>
      </c>
      <c r="L1286" s="1" t="s">
        <v>19</v>
      </c>
      <c r="Q1286" s="21"/>
    </row>
    <row r="1287" spans="1:18" x14ac:dyDescent="0.15">
      <c r="A1287" s="1">
        <v>113258</v>
      </c>
      <c r="B1287" s="1">
        <v>0</v>
      </c>
      <c r="C1287" s="1" t="s">
        <v>26</v>
      </c>
      <c r="D1287" s="1" t="s">
        <v>27</v>
      </c>
      <c r="E1287" s="1" t="s">
        <v>113</v>
      </c>
      <c r="F1287" s="1" t="s">
        <v>114</v>
      </c>
      <c r="G1287" s="1" t="s">
        <v>23</v>
      </c>
      <c r="I1287" s="18">
        <v>40947.854074074072</v>
      </c>
      <c r="J1287" s="1" t="s">
        <v>44</v>
      </c>
      <c r="K1287" s="1" t="s">
        <v>18</v>
      </c>
      <c r="L1287" s="1" t="s">
        <v>19</v>
      </c>
      <c r="Q1287" s="21"/>
    </row>
    <row r="1288" spans="1:18" x14ac:dyDescent="0.15">
      <c r="A1288" s="1">
        <v>112847</v>
      </c>
      <c r="B1288" s="1">
        <v>0</v>
      </c>
      <c r="C1288" s="1" t="s">
        <v>26</v>
      </c>
      <c r="D1288" s="1" t="s">
        <v>27</v>
      </c>
      <c r="E1288" s="1" t="s">
        <v>2405</v>
      </c>
      <c r="F1288" s="1" t="s">
        <v>2406</v>
      </c>
      <c r="G1288" s="1" t="s">
        <v>23</v>
      </c>
      <c r="I1288" s="18">
        <v>40945.801840277774</v>
      </c>
      <c r="J1288" s="1" t="s">
        <v>44</v>
      </c>
      <c r="K1288" s="1" t="s">
        <v>18</v>
      </c>
      <c r="L1288" s="1" t="s">
        <v>19</v>
      </c>
      <c r="Q1288" s="21"/>
    </row>
    <row r="1289" spans="1:18" x14ac:dyDescent="0.15">
      <c r="A1289" s="1">
        <v>112822</v>
      </c>
      <c r="B1289" s="1">
        <v>0</v>
      </c>
      <c r="D1289" s="1" t="s">
        <v>27</v>
      </c>
      <c r="E1289" s="1" t="s">
        <v>2053</v>
      </c>
      <c r="F1289" s="1" t="s">
        <v>2054</v>
      </c>
      <c r="G1289" s="1"/>
      <c r="H1289" s="1"/>
      <c r="I1289" s="18">
        <v>40945.705335648148</v>
      </c>
      <c r="J1289" s="1" t="s">
        <v>376</v>
      </c>
      <c r="K1289" s="1" t="s">
        <v>18</v>
      </c>
      <c r="L1289" s="1" t="s">
        <v>19</v>
      </c>
      <c r="Q1289" s="21"/>
    </row>
    <row r="1290" spans="1:18" x14ac:dyDescent="0.15">
      <c r="A1290" s="1">
        <v>112775</v>
      </c>
      <c r="B1290" s="1">
        <v>0</v>
      </c>
      <c r="C1290" s="1" t="s">
        <v>26</v>
      </c>
      <c r="D1290" s="1" t="s">
        <v>27</v>
      </c>
      <c r="E1290" s="1" t="s">
        <v>3331</v>
      </c>
      <c r="F1290" s="1" t="s">
        <v>3332</v>
      </c>
      <c r="G1290" s="1" t="s">
        <v>23</v>
      </c>
      <c r="I1290" s="18">
        <v>40945.227766203701</v>
      </c>
      <c r="J1290" s="1" t="s">
        <v>40</v>
      </c>
      <c r="K1290" s="1" t="s">
        <v>18</v>
      </c>
      <c r="L1290" s="1" t="s">
        <v>19</v>
      </c>
      <c r="Q1290" s="21"/>
    </row>
    <row r="1291" spans="1:18" x14ac:dyDescent="0.15">
      <c r="A1291" s="1">
        <v>112735</v>
      </c>
      <c r="B1291" s="1">
        <v>0</v>
      </c>
      <c r="C1291" s="1" t="s">
        <v>26</v>
      </c>
      <c r="D1291" s="1" t="s">
        <v>27</v>
      </c>
      <c r="E1291" s="1" t="s">
        <v>2430</v>
      </c>
      <c r="F1291" s="1" t="s">
        <v>2431</v>
      </c>
      <c r="G1291" s="1" t="s">
        <v>23</v>
      </c>
      <c r="I1291" s="18">
        <v>40944.137291666666</v>
      </c>
      <c r="J1291" s="1" t="s">
        <v>40</v>
      </c>
      <c r="K1291" s="1" t="s">
        <v>18</v>
      </c>
      <c r="L1291" s="1" t="s">
        <v>19</v>
      </c>
      <c r="Q1291" s="21"/>
    </row>
    <row r="1292" spans="1:18" x14ac:dyDescent="0.15">
      <c r="A1292" s="1">
        <v>112694</v>
      </c>
      <c r="B1292" s="1">
        <v>0</v>
      </c>
      <c r="C1292" s="1" t="s">
        <v>26</v>
      </c>
      <c r="D1292" s="1" t="s">
        <v>27</v>
      </c>
      <c r="E1292" s="1" t="s">
        <v>1564</v>
      </c>
      <c r="F1292" s="1" t="s">
        <v>1565</v>
      </c>
      <c r="G1292" s="1" t="s">
        <v>23</v>
      </c>
      <c r="I1292" s="18">
        <v>40943.389837962961</v>
      </c>
      <c r="J1292" s="1" t="s">
        <v>40</v>
      </c>
      <c r="K1292" s="1" t="s">
        <v>18</v>
      </c>
      <c r="L1292" s="1" t="s">
        <v>19</v>
      </c>
      <c r="Q1292" s="21"/>
    </row>
    <row r="1293" spans="1:18" x14ac:dyDescent="0.15">
      <c r="A1293" s="1">
        <v>112542</v>
      </c>
      <c r="B1293" s="1">
        <v>0</v>
      </c>
      <c r="C1293" s="1" t="s">
        <v>26</v>
      </c>
      <c r="D1293" s="1" t="s">
        <v>27</v>
      </c>
      <c r="E1293" s="1" t="s">
        <v>3155</v>
      </c>
      <c r="F1293" s="1" t="s">
        <v>915</v>
      </c>
      <c r="G1293" s="1" t="s">
        <v>23</v>
      </c>
      <c r="I1293" s="18">
        <v>40941.991585648146</v>
      </c>
      <c r="J1293" s="1" t="s">
        <v>40</v>
      </c>
      <c r="K1293" s="1" t="s">
        <v>18</v>
      </c>
      <c r="L1293" s="1" t="s">
        <v>19</v>
      </c>
      <c r="Q1293" s="21"/>
    </row>
    <row r="1294" spans="1:18" x14ac:dyDescent="0.15">
      <c r="A1294" s="1">
        <v>112212</v>
      </c>
      <c r="B1294" s="1">
        <v>1</v>
      </c>
      <c r="C1294" s="1" t="s">
        <v>541</v>
      </c>
      <c r="D1294" s="1" t="s">
        <v>27</v>
      </c>
      <c r="E1294" s="1" t="s">
        <v>542</v>
      </c>
      <c r="F1294" s="1" t="s">
        <v>543</v>
      </c>
      <c r="G1294" s="1" t="s">
        <v>23</v>
      </c>
      <c r="I1294" s="18">
        <v>40940.002476851849</v>
      </c>
      <c r="J1294" s="1" t="s">
        <v>544</v>
      </c>
      <c r="K1294" s="1" t="s">
        <v>18</v>
      </c>
      <c r="L1294" s="1" t="s">
        <v>19</v>
      </c>
      <c r="M1294" s="1">
        <v>114581</v>
      </c>
      <c r="N1294" s="1" t="s">
        <v>545</v>
      </c>
      <c r="O1294" s="18">
        <v>40955.584236111114</v>
      </c>
      <c r="P1294" s="1" t="s">
        <v>148</v>
      </c>
      <c r="Q1294" s="21">
        <f t="shared" ref="Q1294:Q1337" si="21">ABS(O1294-I1294)</f>
        <v>15.5817592592648</v>
      </c>
      <c r="R1294" s="1"/>
    </row>
    <row r="1295" spans="1:18" x14ac:dyDescent="0.15">
      <c r="A1295" s="1">
        <v>112093</v>
      </c>
      <c r="B1295" s="1">
        <v>1</v>
      </c>
      <c r="C1295" s="1" t="s">
        <v>26</v>
      </c>
      <c r="D1295" s="1" t="s">
        <v>27</v>
      </c>
      <c r="E1295" s="1" t="s">
        <v>1307</v>
      </c>
      <c r="F1295" s="1" t="s">
        <v>1308</v>
      </c>
      <c r="G1295" s="1" t="s">
        <v>23</v>
      </c>
      <c r="I1295" s="18">
        <v>40939.648275462961</v>
      </c>
      <c r="J1295" s="1" t="s">
        <v>40</v>
      </c>
      <c r="K1295" s="1" t="s">
        <v>18</v>
      </c>
      <c r="L1295" s="1" t="s">
        <v>19</v>
      </c>
      <c r="M1295" s="1">
        <v>112745</v>
      </c>
      <c r="N1295" s="1" t="s">
        <v>1309</v>
      </c>
      <c r="O1295" s="18">
        <v>40944.509918981479</v>
      </c>
      <c r="P1295" s="1" t="s">
        <v>148</v>
      </c>
      <c r="Q1295" s="21">
        <f t="shared" si="21"/>
        <v>4.861643518517667</v>
      </c>
      <c r="R1295" s="1"/>
    </row>
    <row r="1296" spans="1:18" x14ac:dyDescent="0.15">
      <c r="A1296" s="1">
        <v>111779</v>
      </c>
      <c r="B1296" s="1">
        <v>0</v>
      </c>
      <c r="C1296" s="1" t="s">
        <v>26</v>
      </c>
      <c r="D1296" s="1" t="s">
        <v>27</v>
      </c>
      <c r="E1296" s="1" t="s">
        <v>1777</v>
      </c>
      <c r="F1296" s="1" t="s">
        <v>1778</v>
      </c>
      <c r="G1296" s="1" t="s">
        <v>23</v>
      </c>
      <c r="I1296" s="18">
        <v>40936.690925925926</v>
      </c>
      <c r="J1296" s="1" t="s">
        <v>544</v>
      </c>
      <c r="K1296" s="1" t="s">
        <v>18</v>
      </c>
      <c r="L1296" s="1" t="s">
        <v>19</v>
      </c>
      <c r="Q1296" s="21"/>
    </row>
    <row r="1297" spans="1:22" x14ac:dyDescent="0.15">
      <c r="A1297" s="1">
        <v>111088</v>
      </c>
      <c r="B1297" s="1">
        <v>0</v>
      </c>
      <c r="C1297" s="1" t="s">
        <v>26</v>
      </c>
      <c r="D1297" s="1" t="s">
        <v>27</v>
      </c>
      <c r="E1297" s="1" t="s">
        <v>1851</v>
      </c>
      <c r="F1297" s="1" t="s">
        <v>1852</v>
      </c>
      <c r="G1297" s="1" t="s">
        <v>23</v>
      </c>
      <c r="I1297" s="18">
        <v>40931.854351851849</v>
      </c>
      <c r="J1297" s="1" t="s">
        <v>40</v>
      </c>
      <c r="K1297" s="1" t="s">
        <v>18</v>
      </c>
      <c r="L1297" s="1" t="s">
        <v>19</v>
      </c>
      <c r="Q1297" s="21"/>
    </row>
    <row r="1298" spans="1:22" x14ac:dyDescent="0.15">
      <c r="A1298" s="1">
        <v>110849</v>
      </c>
      <c r="B1298" s="1">
        <v>0</v>
      </c>
      <c r="C1298" s="1" t="s">
        <v>373</v>
      </c>
      <c r="D1298" s="1" t="s">
        <v>27</v>
      </c>
      <c r="E1298" s="1" t="s">
        <v>1976</v>
      </c>
      <c r="F1298" s="1" t="s">
        <v>1977</v>
      </c>
      <c r="G1298" s="1" t="s">
        <v>23</v>
      </c>
      <c r="I1298" s="18">
        <v>40928.256493055553</v>
      </c>
      <c r="J1298" s="1" t="s">
        <v>40</v>
      </c>
      <c r="K1298" s="1" t="s">
        <v>18</v>
      </c>
      <c r="L1298" s="1" t="s">
        <v>19</v>
      </c>
      <c r="Q1298" s="21"/>
    </row>
    <row r="1299" spans="1:22" x14ac:dyDescent="0.15">
      <c r="A1299" s="1">
        <v>110374</v>
      </c>
      <c r="B1299" s="1">
        <v>0</v>
      </c>
      <c r="C1299" s="1" t="s">
        <v>26</v>
      </c>
      <c r="D1299" s="1" t="s">
        <v>27</v>
      </c>
      <c r="E1299" s="1" t="s">
        <v>1098</v>
      </c>
      <c r="F1299" s="1" t="s">
        <v>1099</v>
      </c>
      <c r="G1299" s="1" t="s">
        <v>23</v>
      </c>
      <c r="I1299" s="18">
        <v>40924.599965277775</v>
      </c>
      <c r="J1299" s="1" t="s">
        <v>544</v>
      </c>
      <c r="K1299" s="1" t="s">
        <v>18</v>
      </c>
      <c r="L1299" s="1" t="s">
        <v>19</v>
      </c>
      <c r="Q1299" s="21"/>
    </row>
    <row r="1300" spans="1:22" x14ac:dyDescent="0.15">
      <c r="A1300" s="1">
        <v>110172</v>
      </c>
      <c r="B1300" s="1">
        <v>0</v>
      </c>
      <c r="C1300" s="1" t="s">
        <v>514</v>
      </c>
      <c r="D1300" s="1" t="s">
        <v>27</v>
      </c>
      <c r="E1300" s="1" t="s">
        <v>2026</v>
      </c>
      <c r="F1300" s="1" t="s">
        <v>3072</v>
      </c>
      <c r="G1300" s="1" t="s">
        <v>23</v>
      </c>
      <c r="I1300" s="18">
        <v>40921.70349537037</v>
      </c>
      <c r="J1300" s="1" t="s">
        <v>190</v>
      </c>
      <c r="K1300" s="1" t="s">
        <v>18</v>
      </c>
      <c r="L1300" s="1" t="s">
        <v>19</v>
      </c>
      <c r="Q1300" s="21"/>
    </row>
    <row r="1301" spans="1:22" x14ac:dyDescent="0.15">
      <c r="A1301" s="1">
        <v>110112</v>
      </c>
      <c r="B1301" s="1">
        <v>0</v>
      </c>
      <c r="C1301" s="1" t="s">
        <v>26</v>
      </c>
      <c r="D1301" s="1" t="s">
        <v>27</v>
      </c>
      <c r="E1301" s="1" t="s">
        <v>3461</v>
      </c>
      <c r="F1301" s="1" t="s">
        <v>3462</v>
      </c>
      <c r="G1301" s="1" t="s">
        <v>23</v>
      </c>
      <c r="I1301" s="18">
        <v>40921.036736111113</v>
      </c>
      <c r="J1301" s="1" t="s">
        <v>544</v>
      </c>
      <c r="K1301" s="1" t="s">
        <v>18</v>
      </c>
      <c r="L1301" s="1" t="s">
        <v>19</v>
      </c>
      <c r="Q1301" s="21"/>
    </row>
    <row r="1302" spans="1:22" x14ac:dyDescent="0.15">
      <c r="A1302" s="1">
        <v>109743</v>
      </c>
      <c r="B1302" s="1">
        <v>0</v>
      </c>
      <c r="C1302" s="1" t="s">
        <v>26</v>
      </c>
      <c r="D1302" s="1" t="s">
        <v>27</v>
      </c>
      <c r="E1302" s="1" t="s">
        <v>1933</v>
      </c>
      <c r="F1302" s="1" t="s">
        <v>1934</v>
      </c>
      <c r="G1302" s="1" t="s">
        <v>23</v>
      </c>
      <c r="I1302" s="18">
        <v>40918.671493055554</v>
      </c>
      <c r="J1302" s="1" t="s">
        <v>544</v>
      </c>
      <c r="K1302" s="1" t="s">
        <v>18</v>
      </c>
      <c r="L1302" s="1" t="s">
        <v>19</v>
      </c>
      <c r="Q1302" s="21"/>
    </row>
    <row r="1303" spans="1:22" x14ac:dyDescent="0.15">
      <c r="A1303" s="1">
        <v>109716</v>
      </c>
      <c r="B1303" s="1">
        <v>0</v>
      </c>
      <c r="C1303" s="1" t="s">
        <v>26</v>
      </c>
      <c r="D1303" s="1" t="s">
        <v>27</v>
      </c>
      <c r="E1303" s="1" t="s">
        <v>3449</v>
      </c>
      <c r="F1303" s="1" t="s">
        <v>3450</v>
      </c>
      <c r="G1303" s="1" t="s">
        <v>23</v>
      </c>
      <c r="I1303" s="18">
        <v>40918.302511574075</v>
      </c>
      <c r="J1303" s="1" t="s">
        <v>190</v>
      </c>
      <c r="K1303" s="1" t="s">
        <v>18</v>
      </c>
      <c r="L1303" s="1" t="s">
        <v>19</v>
      </c>
      <c r="Q1303" s="21"/>
    </row>
    <row r="1304" spans="1:22" x14ac:dyDescent="0.15">
      <c r="A1304" s="1">
        <v>109556</v>
      </c>
      <c r="B1304" s="1">
        <v>0</v>
      </c>
      <c r="C1304" s="1" t="s">
        <v>26</v>
      </c>
      <c r="D1304" s="1" t="s">
        <v>27</v>
      </c>
      <c r="E1304" s="1" t="s">
        <v>1711</v>
      </c>
      <c r="F1304" s="1" t="s">
        <v>1712</v>
      </c>
      <c r="G1304" s="1" t="s">
        <v>23</v>
      </c>
      <c r="I1304" s="18">
        <v>40916.762395833335</v>
      </c>
      <c r="J1304" s="1" t="s">
        <v>544</v>
      </c>
      <c r="K1304" s="1" t="s">
        <v>18</v>
      </c>
      <c r="L1304" s="1" t="s">
        <v>19</v>
      </c>
      <c r="Q1304" s="21"/>
    </row>
    <row r="1305" spans="1:22" x14ac:dyDescent="0.15">
      <c r="A1305" s="1">
        <v>109174</v>
      </c>
      <c r="B1305" s="1">
        <v>0</v>
      </c>
      <c r="C1305" s="1" t="s">
        <v>26</v>
      </c>
      <c r="D1305" s="1" t="s">
        <v>3911</v>
      </c>
      <c r="E1305" s="1" t="s">
        <v>4038</v>
      </c>
      <c r="F1305" s="1" t="s">
        <v>4008</v>
      </c>
      <c r="G1305" s="1" t="s">
        <v>23</v>
      </c>
      <c r="I1305" s="18">
        <v>40912.871122685188</v>
      </c>
      <c r="J1305" s="1" t="s">
        <v>40</v>
      </c>
      <c r="K1305" s="1" t="s">
        <v>18</v>
      </c>
      <c r="L1305" s="1" t="s">
        <v>19</v>
      </c>
      <c r="Q1305" s="21"/>
    </row>
    <row r="1306" spans="1:22" x14ac:dyDescent="0.15">
      <c r="A1306" s="1">
        <v>108958</v>
      </c>
      <c r="B1306" s="1">
        <v>2</v>
      </c>
      <c r="C1306" s="1" t="s">
        <v>26</v>
      </c>
      <c r="D1306" s="1" t="s">
        <v>27</v>
      </c>
      <c r="E1306" s="1" t="s">
        <v>58</v>
      </c>
      <c r="F1306" s="1" t="s">
        <v>2603</v>
      </c>
      <c r="G1306" s="1" t="s">
        <v>23</v>
      </c>
      <c r="I1306" s="18">
        <v>40911.253009259257</v>
      </c>
      <c r="J1306" s="1" t="s">
        <v>40</v>
      </c>
      <c r="K1306" s="1" t="s">
        <v>18</v>
      </c>
      <c r="L1306" s="1" t="s">
        <v>19</v>
      </c>
      <c r="M1306" s="1">
        <v>118897</v>
      </c>
      <c r="N1306" s="1" t="s">
        <v>2604</v>
      </c>
      <c r="O1306" s="18">
        <v>40987.551678240743</v>
      </c>
      <c r="P1306" s="1" t="s">
        <v>148</v>
      </c>
      <c r="Q1306" s="21">
        <f t="shared" si="21"/>
        <v>76.298668981486117</v>
      </c>
      <c r="R1306" s="1">
        <v>118680</v>
      </c>
      <c r="S1306" s="1" t="s">
        <v>2604</v>
      </c>
      <c r="T1306" s="2" t="s">
        <v>4174</v>
      </c>
      <c r="U1306" s="1" t="s">
        <v>44</v>
      </c>
      <c r="V1306" s="1"/>
    </row>
    <row r="1307" spans="1:22" x14ac:dyDescent="0.15">
      <c r="A1307" s="1">
        <v>108871</v>
      </c>
      <c r="B1307" s="1">
        <v>1</v>
      </c>
      <c r="C1307" s="1" t="s">
        <v>2454</v>
      </c>
      <c r="D1307" s="1" t="s">
        <v>27</v>
      </c>
      <c r="E1307" s="1" t="s">
        <v>3622</v>
      </c>
      <c r="F1307" s="1" t="s">
        <v>3623</v>
      </c>
      <c r="G1307" s="1" t="s">
        <v>23</v>
      </c>
      <c r="I1307" s="18">
        <v>40907.795567129629</v>
      </c>
      <c r="J1307" s="1" t="s">
        <v>3624</v>
      </c>
      <c r="K1307" s="1" t="s">
        <v>3586</v>
      </c>
      <c r="L1307" s="1" t="s">
        <v>19</v>
      </c>
      <c r="M1307" s="1">
        <v>110372</v>
      </c>
      <c r="N1307" s="1" t="s">
        <v>3625</v>
      </c>
      <c r="O1307" s="18">
        <v>40924.564826388887</v>
      </c>
      <c r="P1307" s="1" t="s">
        <v>3626</v>
      </c>
      <c r="Q1307" s="21">
        <f t="shared" si="21"/>
        <v>16.769259259257524</v>
      </c>
      <c r="R1307" s="1"/>
    </row>
    <row r="1308" spans="1:22" x14ac:dyDescent="0.15">
      <c r="A1308" s="1">
        <v>108695</v>
      </c>
      <c r="B1308" s="1">
        <v>0</v>
      </c>
      <c r="C1308" s="1" t="s">
        <v>26</v>
      </c>
      <c r="D1308" s="1" t="s">
        <v>27</v>
      </c>
      <c r="E1308" s="1" t="s">
        <v>546</v>
      </c>
      <c r="F1308" s="1" t="s">
        <v>547</v>
      </c>
      <c r="G1308" s="1" t="s">
        <v>23</v>
      </c>
      <c r="I1308" s="18">
        <v>40904.803506944445</v>
      </c>
      <c r="J1308" s="1" t="s">
        <v>44</v>
      </c>
      <c r="K1308" s="1" t="s">
        <v>18</v>
      </c>
      <c r="L1308" s="1" t="s">
        <v>19</v>
      </c>
      <c r="Q1308" s="21"/>
    </row>
    <row r="1309" spans="1:22" x14ac:dyDescent="0.15">
      <c r="A1309" s="1">
        <v>108605</v>
      </c>
      <c r="B1309" s="1">
        <v>0</v>
      </c>
      <c r="C1309" s="1" t="s">
        <v>170</v>
      </c>
      <c r="D1309" s="1" t="s">
        <v>27</v>
      </c>
      <c r="E1309" s="1" t="s">
        <v>1708</v>
      </c>
      <c r="F1309" s="1" t="s">
        <v>1709</v>
      </c>
      <c r="G1309" s="1" t="s">
        <v>23</v>
      </c>
      <c r="I1309" s="18">
        <v>40902.863587962966</v>
      </c>
      <c r="J1309" s="1" t="s">
        <v>44</v>
      </c>
      <c r="K1309" s="1" t="s">
        <v>18</v>
      </c>
      <c r="L1309" s="1" t="s">
        <v>19</v>
      </c>
      <c r="Q1309" s="21"/>
    </row>
    <row r="1310" spans="1:22" x14ac:dyDescent="0.15">
      <c r="A1310" s="1">
        <v>108461</v>
      </c>
      <c r="B1310" s="1">
        <v>1</v>
      </c>
      <c r="C1310" s="1" t="s">
        <v>26</v>
      </c>
      <c r="D1310" s="1" t="s">
        <v>27</v>
      </c>
      <c r="E1310" s="1" t="s">
        <v>334</v>
      </c>
      <c r="F1310" s="1" t="s">
        <v>335</v>
      </c>
      <c r="G1310" s="1" t="s">
        <v>23</v>
      </c>
      <c r="I1310" s="18">
        <v>40899.818368055552</v>
      </c>
      <c r="J1310" s="1" t="s">
        <v>40</v>
      </c>
      <c r="K1310" s="1" t="s">
        <v>18</v>
      </c>
      <c r="L1310" s="1" t="s">
        <v>19</v>
      </c>
      <c r="M1310" s="1">
        <v>109537</v>
      </c>
      <c r="N1310" s="1" t="s">
        <v>336</v>
      </c>
      <c r="O1310" s="18">
        <v>40915.978541666664</v>
      </c>
      <c r="P1310" s="1" t="s">
        <v>190</v>
      </c>
      <c r="Q1310" s="21">
        <f t="shared" si="21"/>
        <v>16.160173611111531</v>
      </c>
      <c r="R1310" s="1"/>
    </row>
    <row r="1311" spans="1:22" x14ac:dyDescent="0.15">
      <c r="A1311" s="1">
        <v>108267</v>
      </c>
      <c r="B1311" s="1">
        <v>0</v>
      </c>
      <c r="C1311" s="1" t="s">
        <v>26</v>
      </c>
      <c r="D1311" s="1" t="s">
        <v>27</v>
      </c>
      <c r="E1311" s="1" t="s">
        <v>1785</v>
      </c>
      <c r="F1311" s="1" t="s">
        <v>1786</v>
      </c>
      <c r="G1311" s="1" t="s">
        <v>23</v>
      </c>
      <c r="I1311" s="18">
        <v>40898.35696759259</v>
      </c>
      <c r="J1311" s="1" t="s">
        <v>40</v>
      </c>
      <c r="K1311" s="1" t="s">
        <v>18</v>
      </c>
      <c r="L1311" s="1" t="s">
        <v>19</v>
      </c>
      <c r="Q1311" s="21"/>
    </row>
    <row r="1312" spans="1:22" x14ac:dyDescent="0.15">
      <c r="A1312" s="1">
        <v>108037</v>
      </c>
      <c r="B1312" s="1">
        <v>0</v>
      </c>
      <c r="C1312" s="1" t="s">
        <v>41</v>
      </c>
      <c r="D1312" s="1" t="s">
        <v>27</v>
      </c>
      <c r="E1312" s="1" t="s">
        <v>3002</v>
      </c>
      <c r="F1312" s="1" t="s">
        <v>3003</v>
      </c>
      <c r="G1312" s="1" t="s">
        <v>23</v>
      </c>
      <c r="I1312" s="18">
        <v>40896.405231481483</v>
      </c>
      <c r="J1312" s="1" t="s">
        <v>544</v>
      </c>
      <c r="K1312" s="1" t="s">
        <v>18</v>
      </c>
      <c r="L1312" s="1" t="s">
        <v>19</v>
      </c>
      <c r="Q1312" s="21"/>
    </row>
    <row r="1313" spans="1:22" x14ac:dyDescent="0.15">
      <c r="A1313" s="1">
        <v>108006</v>
      </c>
      <c r="B1313" s="1">
        <v>0</v>
      </c>
      <c r="C1313" s="1" t="s">
        <v>170</v>
      </c>
      <c r="D1313" s="1" t="s">
        <v>27</v>
      </c>
      <c r="E1313" s="1" t="s">
        <v>617</v>
      </c>
      <c r="F1313" s="1" t="s">
        <v>618</v>
      </c>
      <c r="G1313" s="1" t="s">
        <v>23</v>
      </c>
      <c r="I1313" s="18">
        <v>40896.017268518517</v>
      </c>
      <c r="J1313" s="1" t="s">
        <v>40</v>
      </c>
      <c r="K1313" s="1" t="s">
        <v>18</v>
      </c>
      <c r="L1313" s="1" t="s">
        <v>19</v>
      </c>
      <c r="Q1313" s="21"/>
    </row>
    <row r="1314" spans="1:22" x14ac:dyDescent="0.15">
      <c r="A1314" s="1">
        <v>107939</v>
      </c>
      <c r="B1314" s="1">
        <v>0</v>
      </c>
      <c r="C1314" s="1" t="s">
        <v>26</v>
      </c>
      <c r="D1314" s="1" t="s">
        <v>27</v>
      </c>
      <c r="E1314" s="1" t="s">
        <v>2996</v>
      </c>
      <c r="F1314" s="1" t="s">
        <v>1786</v>
      </c>
      <c r="G1314" s="1" t="s">
        <v>23</v>
      </c>
      <c r="I1314" s="18">
        <v>40894.136111111111</v>
      </c>
      <c r="J1314" s="1" t="s">
        <v>40</v>
      </c>
      <c r="K1314" s="1" t="s">
        <v>18</v>
      </c>
      <c r="L1314" s="1" t="s">
        <v>19</v>
      </c>
      <c r="Q1314" s="21"/>
    </row>
    <row r="1315" spans="1:22" x14ac:dyDescent="0.15">
      <c r="A1315" s="1">
        <v>107873</v>
      </c>
      <c r="B1315" s="1">
        <v>0</v>
      </c>
      <c r="C1315" s="1" t="s">
        <v>26</v>
      </c>
      <c r="D1315" s="1" t="s">
        <v>27</v>
      </c>
      <c r="E1315" s="1" t="s">
        <v>2182</v>
      </c>
      <c r="F1315" s="1" t="s">
        <v>2183</v>
      </c>
      <c r="G1315" s="1" t="s">
        <v>23</v>
      </c>
      <c r="I1315" s="18">
        <v>40893.722418981481</v>
      </c>
      <c r="J1315" s="1" t="s">
        <v>40</v>
      </c>
      <c r="K1315" s="1" t="s">
        <v>18</v>
      </c>
      <c r="L1315" s="1" t="s">
        <v>19</v>
      </c>
      <c r="Q1315" s="21"/>
    </row>
    <row r="1316" spans="1:22" x14ac:dyDescent="0.15">
      <c r="A1316" s="1">
        <v>107620</v>
      </c>
      <c r="B1316" s="1">
        <v>0</v>
      </c>
      <c r="C1316" s="1" t="s">
        <v>26</v>
      </c>
      <c r="D1316" s="1" t="s">
        <v>3911</v>
      </c>
      <c r="E1316" s="1" t="s">
        <v>4072</v>
      </c>
      <c r="F1316" s="1" t="s">
        <v>4073</v>
      </c>
      <c r="G1316" s="1" t="s">
        <v>540</v>
      </c>
      <c r="I1316" s="18">
        <v>40891.949328703704</v>
      </c>
      <c r="J1316" s="1" t="s">
        <v>238</v>
      </c>
      <c r="K1316" s="1" t="s">
        <v>18</v>
      </c>
      <c r="L1316" s="1" t="s">
        <v>19</v>
      </c>
      <c r="Q1316" s="21"/>
    </row>
    <row r="1317" spans="1:22" x14ac:dyDescent="0.15">
      <c r="A1317" s="1">
        <v>107616</v>
      </c>
      <c r="B1317" s="1">
        <v>0</v>
      </c>
      <c r="C1317" s="1" t="s">
        <v>26</v>
      </c>
      <c r="D1317" s="1" t="s">
        <v>27</v>
      </c>
      <c r="E1317" s="1" t="s">
        <v>635</v>
      </c>
      <c r="F1317" s="1" t="s">
        <v>636</v>
      </c>
      <c r="G1317" s="1"/>
      <c r="H1317" s="1"/>
      <c r="I1317" s="18">
        <v>40891.941631944443</v>
      </c>
      <c r="J1317" s="1" t="s">
        <v>238</v>
      </c>
      <c r="K1317" s="1" t="s">
        <v>18</v>
      </c>
      <c r="L1317" s="1" t="s">
        <v>19</v>
      </c>
      <c r="Q1317" s="21"/>
    </row>
    <row r="1318" spans="1:22" x14ac:dyDescent="0.15">
      <c r="A1318" s="1">
        <v>107277</v>
      </c>
      <c r="B1318" s="1">
        <v>0</v>
      </c>
      <c r="C1318" s="1" t="s">
        <v>26</v>
      </c>
      <c r="D1318" s="1" t="s">
        <v>27</v>
      </c>
      <c r="E1318" s="1" t="s">
        <v>846</v>
      </c>
      <c r="F1318" s="1" t="s">
        <v>847</v>
      </c>
      <c r="G1318" s="1" t="s">
        <v>23</v>
      </c>
      <c r="I1318" s="18">
        <v>40889.953310185185</v>
      </c>
      <c r="J1318" s="1" t="s">
        <v>241</v>
      </c>
      <c r="K1318" s="1" t="s">
        <v>18</v>
      </c>
      <c r="L1318" s="1" t="s">
        <v>19</v>
      </c>
      <c r="Q1318" s="21"/>
    </row>
    <row r="1319" spans="1:22" x14ac:dyDescent="0.15">
      <c r="A1319" s="1">
        <v>107258</v>
      </c>
      <c r="B1319" s="1">
        <v>0</v>
      </c>
      <c r="C1319" s="1" t="s">
        <v>26</v>
      </c>
      <c r="D1319" s="1" t="s">
        <v>27</v>
      </c>
      <c r="E1319" s="1" t="s">
        <v>2176</v>
      </c>
      <c r="F1319" s="1" t="s">
        <v>2177</v>
      </c>
      <c r="G1319" s="1" t="s">
        <v>23</v>
      </c>
      <c r="I1319" s="18">
        <v>40889.878761574073</v>
      </c>
      <c r="J1319" s="1" t="s">
        <v>398</v>
      </c>
      <c r="K1319" s="1" t="s">
        <v>18</v>
      </c>
      <c r="L1319" s="1" t="s">
        <v>19</v>
      </c>
      <c r="Q1319" s="21"/>
    </row>
    <row r="1320" spans="1:22" x14ac:dyDescent="0.15">
      <c r="A1320" s="1">
        <v>107182</v>
      </c>
      <c r="B1320" s="1">
        <v>0</v>
      </c>
      <c r="C1320" s="1" t="s">
        <v>3673</v>
      </c>
      <c r="D1320" s="1" t="s">
        <v>27</v>
      </c>
      <c r="E1320" s="1" t="s">
        <v>3674</v>
      </c>
      <c r="F1320" s="1" t="s">
        <v>3675</v>
      </c>
      <c r="G1320" s="1" t="s">
        <v>23</v>
      </c>
      <c r="I1320" s="18">
        <v>40889.297835648147</v>
      </c>
      <c r="J1320" s="1" t="s">
        <v>76</v>
      </c>
      <c r="K1320" s="1" t="s">
        <v>3586</v>
      </c>
      <c r="L1320" s="1" t="s">
        <v>19</v>
      </c>
      <c r="Q1320" s="21"/>
    </row>
    <row r="1321" spans="1:22" x14ac:dyDescent="0.15">
      <c r="A1321" s="1">
        <v>107128</v>
      </c>
      <c r="B1321" s="1">
        <v>0</v>
      </c>
      <c r="C1321" s="1" t="s">
        <v>170</v>
      </c>
      <c r="D1321" s="1" t="s">
        <v>27</v>
      </c>
      <c r="E1321" s="1" t="s">
        <v>2967</v>
      </c>
      <c r="F1321" s="1" t="s">
        <v>2968</v>
      </c>
      <c r="G1321" s="1" t="s">
        <v>23</v>
      </c>
      <c r="I1321" s="18">
        <v>40888.247071759259</v>
      </c>
      <c r="J1321" s="1" t="s">
        <v>376</v>
      </c>
      <c r="K1321" s="1" t="s">
        <v>18</v>
      </c>
      <c r="L1321" s="1" t="s">
        <v>19</v>
      </c>
      <c r="Q1321" s="21"/>
    </row>
    <row r="1322" spans="1:22" x14ac:dyDescent="0.15">
      <c r="A1322" s="1">
        <v>106672</v>
      </c>
      <c r="B1322" s="1">
        <v>0</v>
      </c>
      <c r="C1322" s="1" t="s">
        <v>26</v>
      </c>
      <c r="D1322" s="1" t="s">
        <v>27</v>
      </c>
      <c r="E1322" s="1" t="s">
        <v>754</v>
      </c>
      <c r="F1322" s="1" t="s">
        <v>755</v>
      </c>
      <c r="G1322" s="1" t="s">
        <v>23</v>
      </c>
      <c r="I1322" s="18">
        <v>40884.2968287037</v>
      </c>
      <c r="J1322" s="1" t="s">
        <v>339</v>
      </c>
      <c r="K1322" s="1" t="s">
        <v>18</v>
      </c>
      <c r="L1322" s="1" t="s">
        <v>19</v>
      </c>
      <c r="Q1322" s="21"/>
    </row>
    <row r="1323" spans="1:22" x14ac:dyDescent="0.15">
      <c r="A1323" s="1">
        <v>106560</v>
      </c>
      <c r="B1323" s="1">
        <v>0</v>
      </c>
      <c r="C1323" s="1" t="s">
        <v>170</v>
      </c>
      <c r="D1323" s="1" t="s">
        <v>3911</v>
      </c>
      <c r="E1323" s="1" t="s">
        <v>4075</v>
      </c>
      <c r="F1323" s="1" t="s">
        <v>4076</v>
      </c>
      <c r="G1323" s="1" t="s">
        <v>23</v>
      </c>
      <c r="I1323" s="18">
        <v>40883.743402777778</v>
      </c>
      <c r="J1323" s="1" t="s">
        <v>155</v>
      </c>
      <c r="K1323" s="1" t="s">
        <v>3586</v>
      </c>
      <c r="L1323" s="1" t="s">
        <v>19</v>
      </c>
      <c r="Q1323" s="21"/>
    </row>
    <row r="1324" spans="1:22" x14ac:dyDescent="0.15">
      <c r="A1324" s="1">
        <v>106558</v>
      </c>
      <c r="B1324" s="1">
        <v>0</v>
      </c>
      <c r="C1324" s="1" t="s">
        <v>170</v>
      </c>
      <c r="D1324" s="1" t="s">
        <v>3911</v>
      </c>
      <c r="E1324" s="1" t="s">
        <v>4079</v>
      </c>
      <c r="F1324" s="1" t="s">
        <v>4076</v>
      </c>
      <c r="G1324" s="1" t="s">
        <v>23</v>
      </c>
      <c r="I1324" s="18">
        <v>40883.725636574076</v>
      </c>
      <c r="J1324" s="1" t="s">
        <v>40</v>
      </c>
      <c r="K1324" s="1" t="s">
        <v>3586</v>
      </c>
      <c r="L1324" s="1" t="s">
        <v>19</v>
      </c>
      <c r="Q1324" s="21"/>
    </row>
    <row r="1325" spans="1:22" x14ac:dyDescent="0.15">
      <c r="A1325" s="1">
        <v>106556</v>
      </c>
      <c r="B1325" s="1">
        <v>0</v>
      </c>
      <c r="C1325" s="1" t="s">
        <v>26</v>
      </c>
      <c r="D1325" s="1" t="s">
        <v>3911</v>
      </c>
      <c r="E1325" s="1" t="s">
        <v>4007</v>
      </c>
      <c r="F1325" s="1" t="s">
        <v>4008</v>
      </c>
      <c r="G1325" s="1" t="s">
        <v>23</v>
      </c>
      <c r="I1325" s="18">
        <v>40883.722881944443</v>
      </c>
      <c r="J1325" s="1" t="s">
        <v>40</v>
      </c>
      <c r="K1325" s="1" t="s">
        <v>18</v>
      </c>
      <c r="L1325" s="1" t="s">
        <v>19</v>
      </c>
      <c r="Q1325" s="21"/>
    </row>
    <row r="1326" spans="1:22" x14ac:dyDescent="0.15">
      <c r="A1326" s="1">
        <v>106484</v>
      </c>
      <c r="B1326" s="1">
        <v>0</v>
      </c>
      <c r="C1326" s="1" t="s">
        <v>1892</v>
      </c>
      <c r="D1326" s="1" t="s">
        <v>27</v>
      </c>
      <c r="E1326" s="1" t="s">
        <v>1893</v>
      </c>
      <c r="F1326" s="1" t="s">
        <v>1894</v>
      </c>
      <c r="G1326" s="1" t="s">
        <v>23</v>
      </c>
      <c r="I1326" s="18">
        <v>40882.990393518521</v>
      </c>
      <c r="J1326" s="1" t="s">
        <v>544</v>
      </c>
      <c r="K1326" s="1" t="s">
        <v>18</v>
      </c>
      <c r="L1326" s="1" t="s">
        <v>19</v>
      </c>
      <c r="Q1326" s="21"/>
    </row>
    <row r="1327" spans="1:22" x14ac:dyDescent="0.15">
      <c r="A1327" s="1">
        <v>106441</v>
      </c>
      <c r="B1327" s="1">
        <v>0</v>
      </c>
      <c r="C1327" s="1" t="s">
        <v>26</v>
      </c>
      <c r="D1327" s="1" t="s">
        <v>27</v>
      </c>
      <c r="E1327" s="1" t="s">
        <v>3093</v>
      </c>
      <c r="F1327" s="1" t="s">
        <v>3094</v>
      </c>
      <c r="G1327" s="1" t="s">
        <v>23</v>
      </c>
      <c r="I1327" s="18">
        <v>40882.849062499998</v>
      </c>
      <c r="J1327" s="1" t="s">
        <v>190</v>
      </c>
      <c r="K1327" s="1" t="s">
        <v>18</v>
      </c>
      <c r="L1327" s="1" t="s">
        <v>19</v>
      </c>
      <c r="Q1327" s="21"/>
    </row>
    <row r="1328" spans="1:22" x14ac:dyDescent="0.15">
      <c r="A1328" s="1">
        <v>106413</v>
      </c>
      <c r="B1328" s="1">
        <v>2</v>
      </c>
      <c r="C1328" s="1" t="s">
        <v>26</v>
      </c>
      <c r="D1328" s="1" t="s">
        <v>27</v>
      </c>
      <c r="E1328" s="1" t="s">
        <v>473</v>
      </c>
      <c r="F1328" s="1" t="s">
        <v>2846</v>
      </c>
      <c r="G1328" s="1" t="s">
        <v>23</v>
      </c>
      <c r="I1328" s="18">
        <v>40882.744270833333</v>
      </c>
      <c r="J1328" s="1" t="s">
        <v>40</v>
      </c>
      <c r="K1328" s="1" t="s">
        <v>18</v>
      </c>
      <c r="L1328" s="1" t="s">
        <v>19</v>
      </c>
      <c r="M1328" s="1">
        <v>112438</v>
      </c>
      <c r="N1328" s="1" t="s">
        <v>2847</v>
      </c>
      <c r="O1328" s="18">
        <v>40941.412858796299</v>
      </c>
      <c r="P1328" s="1" t="s">
        <v>2848</v>
      </c>
      <c r="Q1328" s="21">
        <f t="shared" si="21"/>
        <v>58.66858796296583</v>
      </c>
      <c r="R1328" s="1">
        <v>112136</v>
      </c>
      <c r="S1328" s="1" t="s">
        <v>2847</v>
      </c>
      <c r="T1328" s="2" t="s">
        <v>4183</v>
      </c>
      <c r="U1328" s="1" t="s">
        <v>44</v>
      </c>
      <c r="V1328" s="1"/>
    </row>
    <row r="1329" spans="1:22" x14ac:dyDescent="0.15">
      <c r="A1329" s="1">
        <v>106309</v>
      </c>
      <c r="B1329" s="1">
        <v>0</v>
      </c>
      <c r="C1329" s="1" t="s">
        <v>26</v>
      </c>
      <c r="D1329" s="1" t="s">
        <v>27</v>
      </c>
      <c r="E1329" s="1" t="s">
        <v>2129</v>
      </c>
      <c r="F1329" s="1" t="s">
        <v>915</v>
      </c>
      <c r="G1329" s="1" t="s">
        <v>23</v>
      </c>
      <c r="I1329" s="18">
        <v>40881.153182870374</v>
      </c>
      <c r="J1329" s="1" t="s">
        <v>40</v>
      </c>
      <c r="K1329" s="1" t="s">
        <v>18</v>
      </c>
      <c r="L1329" s="1" t="s">
        <v>19</v>
      </c>
      <c r="Q1329" s="21"/>
    </row>
    <row r="1330" spans="1:22" x14ac:dyDescent="0.15">
      <c r="A1330" s="1">
        <v>105867</v>
      </c>
      <c r="B1330" s="1">
        <v>0</v>
      </c>
      <c r="C1330" s="1" t="s">
        <v>145</v>
      </c>
      <c r="D1330" s="1" t="s">
        <v>27</v>
      </c>
      <c r="E1330" s="1" t="s">
        <v>3118</v>
      </c>
      <c r="F1330" s="1" t="s">
        <v>3119</v>
      </c>
      <c r="G1330" s="1" t="s">
        <v>23</v>
      </c>
      <c r="I1330" s="18">
        <v>40877.543217592596</v>
      </c>
      <c r="J1330" s="1" t="s">
        <v>76</v>
      </c>
      <c r="K1330" s="1" t="s">
        <v>18</v>
      </c>
      <c r="L1330" s="1" t="s">
        <v>19</v>
      </c>
      <c r="Q1330" s="21"/>
    </row>
    <row r="1331" spans="1:22" x14ac:dyDescent="0.15">
      <c r="A1331" s="1">
        <v>105803</v>
      </c>
      <c r="B1331" s="1">
        <v>0</v>
      </c>
      <c r="C1331" s="1" t="s">
        <v>477</v>
      </c>
      <c r="D1331" s="1" t="s">
        <v>27</v>
      </c>
      <c r="E1331" s="1" t="s">
        <v>1863</v>
      </c>
      <c r="F1331" s="1" t="s">
        <v>1864</v>
      </c>
      <c r="G1331" s="1"/>
      <c r="H1331" s="1"/>
      <c r="I1331" s="18">
        <v>40877.013981481483</v>
      </c>
      <c r="J1331" s="1" t="s">
        <v>151</v>
      </c>
      <c r="K1331" s="1" t="s">
        <v>18</v>
      </c>
      <c r="L1331" s="1" t="s">
        <v>19</v>
      </c>
      <c r="Q1331" s="21"/>
    </row>
    <row r="1332" spans="1:22" x14ac:dyDescent="0.15">
      <c r="A1332" s="1">
        <v>105459</v>
      </c>
      <c r="B1332" s="1">
        <v>1</v>
      </c>
      <c r="C1332" s="1" t="s">
        <v>26</v>
      </c>
      <c r="D1332" s="1" t="s">
        <v>27</v>
      </c>
      <c r="E1332" s="1" t="s">
        <v>2130</v>
      </c>
      <c r="F1332" s="1" t="s">
        <v>2131</v>
      </c>
      <c r="G1332" s="1" t="s">
        <v>23</v>
      </c>
      <c r="I1332" s="18">
        <v>40873.324872685182</v>
      </c>
      <c r="J1332" s="1" t="s">
        <v>44</v>
      </c>
      <c r="K1332" s="1" t="s">
        <v>18</v>
      </c>
      <c r="L1332" s="1" t="s">
        <v>19</v>
      </c>
      <c r="M1332" s="1">
        <v>105648</v>
      </c>
      <c r="N1332" s="1" t="s">
        <v>2132</v>
      </c>
      <c r="O1332" s="18">
        <v>40876.010636574072</v>
      </c>
      <c r="P1332" s="1" t="s">
        <v>40</v>
      </c>
      <c r="Q1332" s="21">
        <f t="shared" si="21"/>
        <v>2.6857638888905058</v>
      </c>
      <c r="R1332" s="1"/>
    </row>
    <row r="1333" spans="1:22" x14ac:dyDescent="0.15">
      <c r="A1333" s="1">
        <v>105157</v>
      </c>
      <c r="B1333" s="1">
        <v>2</v>
      </c>
      <c r="C1333" s="1" t="s">
        <v>26</v>
      </c>
      <c r="D1333" s="1" t="s">
        <v>27</v>
      </c>
      <c r="E1333" s="1" t="s">
        <v>902</v>
      </c>
      <c r="F1333" s="1" t="s">
        <v>903</v>
      </c>
      <c r="G1333" s="1" t="s">
        <v>23</v>
      </c>
      <c r="I1333" s="18">
        <v>40869.852372685185</v>
      </c>
      <c r="J1333" s="1" t="s">
        <v>40</v>
      </c>
      <c r="K1333" s="1" t="s">
        <v>18</v>
      </c>
      <c r="L1333" s="1" t="s">
        <v>19</v>
      </c>
      <c r="M1333" s="1">
        <v>111022</v>
      </c>
      <c r="N1333" s="1" t="s">
        <v>904</v>
      </c>
      <c r="O1333" s="18">
        <v>40931.295312499999</v>
      </c>
      <c r="P1333" s="1" t="s">
        <v>190</v>
      </c>
      <c r="Q1333" s="21">
        <f t="shared" si="21"/>
        <v>61.442939814813144</v>
      </c>
      <c r="R1333" s="1">
        <v>106337</v>
      </c>
      <c r="S1333" s="1" t="s">
        <v>904</v>
      </c>
      <c r="T1333" s="4" t="s">
        <v>4150</v>
      </c>
      <c r="U1333" s="1" t="s">
        <v>44</v>
      </c>
      <c r="V1333" s="1"/>
    </row>
    <row r="1334" spans="1:22" x14ac:dyDescent="0.15">
      <c r="A1334" s="1">
        <v>104859</v>
      </c>
      <c r="B1334" s="1">
        <v>0</v>
      </c>
      <c r="C1334" s="1" t="s">
        <v>26</v>
      </c>
      <c r="D1334" s="1" t="s">
        <v>27</v>
      </c>
      <c r="E1334" s="1" t="s">
        <v>2924</v>
      </c>
      <c r="F1334" s="1" t="s">
        <v>2925</v>
      </c>
      <c r="G1334" s="1" t="s">
        <v>23</v>
      </c>
      <c r="I1334" s="18">
        <v>40866.4921875</v>
      </c>
      <c r="J1334" s="1" t="s">
        <v>261</v>
      </c>
      <c r="K1334" s="1" t="s">
        <v>18</v>
      </c>
      <c r="L1334" s="1" t="s">
        <v>19</v>
      </c>
      <c r="Q1334" s="21"/>
    </row>
    <row r="1335" spans="1:22" x14ac:dyDescent="0.15">
      <c r="A1335" s="1">
        <v>104529</v>
      </c>
      <c r="B1335" s="1">
        <v>0</v>
      </c>
      <c r="C1335" s="1" t="s">
        <v>477</v>
      </c>
      <c r="D1335" s="1" t="s">
        <v>27</v>
      </c>
      <c r="E1335" s="1" t="s">
        <v>478</v>
      </c>
      <c r="F1335" s="1" t="s">
        <v>479</v>
      </c>
      <c r="G1335" s="1" t="s">
        <v>23</v>
      </c>
      <c r="I1335" s="18">
        <v>40863.929675925923</v>
      </c>
      <c r="J1335" s="1" t="s">
        <v>408</v>
      </c>
      <c r="K1335" s="1" t="s">
        <v>18</v>
      </c>
      <c r="L1335" s="1" t="s">
        <v>19</v>
      </c>
      <c r="Q1335" s="21"/>
    </row>
    <row r="1336" spans="1:22" x14ac:dyDescent="0.15">
      <c r="A1336" s="1">
        <v>104325</v>
      </c>
      <c r="B1336" s="1">
        <v>0</v>
      </c>
      <c r="C1336" s="1" t="s">
        <v>26</v>
      </c>
      <c r="D1336" s="1" t="s">
        <v>27</v>
      </c>
      <c r="E1336" s="1" t="s">
        <v>58</v>
      </c>
      <c r="F1336" s="1" t="s">
        <v>2462</v>
      </c>
      <c r="G1336" s="1" t="s">
        <v>23</v>
      </c>
      <c r="I1336" s="18">
        <v>40862.716886574075</v>
      </c>
      <c r="J1336" s="1" t="s">
        <v>40</v>
      </c>
      <c r="K1336" s="1" t="s">
        <v>18</v>
      </c>
      <c r="L1336" s="1" t="s">
        <v>19</v>
      </c>
      <c r="Q1336" s="21"/>
    </row>
    <row r="1337" spans="1:22" x14ac:dyDescent="0.15">
      <c r="A1337" s="1">
        <v>104317</v>
      </c>
      <c r="B1337" s="1">
        <v>2</v>
      </c>
      <c r="C1337" s="1" t="s">
        <v>26</v>
      </c>
      <c r="D1337" s="1" t="s">
        <v>27</v>
      </c>
      <c r="E1337" s="1" t="s">
        <v>3110</v>
      </c>
      <c r="F1337" s="1" t="s">
        <v>3111</v>
      </c>
      <c r="G1337" s="1" t="s">
        <v>23</v>
      </c>
      <c r="I1337" s="18">
        <v>40862.668483796297</v>
      </c>
      <c r="J1337" s="1" t="s">
        <v>40</v>
      </c>
      <c r="K1337" s="1" t="s">
        <v>18</v>
      </c>
      <c r="L1337" s="1" t="s">
        <v>19</v>
      </c>
      <c r="M1337" s="1">
        <v>112436</v>
      </c>
      <c r="N1337" s="1" t="s">
        <v>3112</v>
      </c>
      <c r="O1337" s="18">
        <v>40941.406006944446</v>
      </c>
      <c r="P1337" s="1" t="s">
        <v>2848</v>
      </c>
      <c r="Q1337" s="21">
        <f t="shared" si="21"/>
        <v>78.737523148149194</v>
      </c>
      <c r="R1337" s="1">
        <v>112107</v>
      </c>
      <c r="S1337" s="1" t="s">
        <v>3112</v>
      </c>
      <c r="T1337" s="2" t="s">
        <v>4188</v>
      </c>
      <c r="U1337" s="1" t="s">
        <v>44</v>
      </c>
      <c r="V1337" s="1"/>
    </row>
    <row r="1338" spans="1:22" x14ac:dyDescent="0.15">
      <c r="A1338" s="1">
        <v>104151</v>
      </c>
      <c r="B1338" s="1">
        <v>0</v>
      </c>
      <c r="C1338" s="1" t="s">
        <v>26</v>
      </c>
      <c r="D1338" s="1" t="s">
        <v>27</v>
      </c>
      <c r="E1338" s="1" t="s">
        <v>1355</v>
      </c>
      <c r="F1338" s="1" t="s">
        <v>1356</v>
      </c>
      <c r="G1338" s="1" t="s">
        <v>540</v>
      </c>
      <c r="I1338" s="18">
        <v>40861.731944444444</v>
      </c>
      <c r="J1338" s="1" t="s">
        <v>241</v>
      </c>
      <c r="K1338" s="1" t="s">
        <v>18</v>
      </c>
      <c r="L1338" s="1" t="s">
        <v>19</v>
      </c>
      <c r="Q1338" s="21"/>
    </row>
    <row r="1339" spans="1:22" x14ac:dyDescent="0.15">
      <c r="A1339" s="1">
        <v>104056</v>
      </c>
      <c r="B1339" s="1">
        <v>0</v>
      </c>
      <c r="C1339" s="1" t="s">
        <v>194</v>
      </c>
      <c r="D1339" s="1" t="s">
        <v>27</v>
      </c>
      <c r="E1339" s="1" t="s">
        <v>1389</v>
      </c>
      <c r="F1339" s="1" t="s">
        <v>1390</v>
      </c>
      <c r="G1339" s="1"/>
      <c r="H1339" s="1"/>
      <c r="I1339" s="18">
        <v>40860.589895833335</v>
      </c>
      <c r="J1339" s="1" t="s">
        <v>190</v>
      </c>
      <c r="K1339" s="1" t="s">
        <v>18</v>
      </c>
      <c r="L1339" s="1" t="s">
        <v>19</v>
      </c>
      <c r="Q1339" s="21"/>
    </row>
    <row r="1340" spans="1:22" x14ac:dyDescent="0.15">
      <c r="A1340" s="1">
        <v>104011</v>
      </c>
      <c r="B1340" s="1">
        <v>0</v>
      </c>
      <c r="C1340" s="1" t="s">
        <v>145</v>
      </c>
      <c r="D1340" s="1" t="s">
        <v>27</v>
      </c>
      <c r="E1340" s="1" t="s">
        <v>2276</v>
      </c>
      <c r="F1340" s="1" t="s">
        <v>2277</v>
      </c>
      <c r="G1340" s="1" t="s">
        <v>23</v>
      </c>
      <c r="I1340" s="18">
        <v>40859.549826388888</v>
      </c>
      <c r="J1340" s="1" t="s">
        <v>261</v>
      </c>
      <c r="K1340" s="1" t="s">
        <v>18</v>
      </c>
      <c r="L1340" s="1" t="s">
        <v>19</v>
      </c>
      <c r="Q1340" s="21"/>
    </row>
    <row r="1341" spans="1:22" x14ac:dyDescent="0.15">
      <c r="A1341" s="1">
        <v>103921</v>
      </c>
      <c r="B1341" s="1">
        <v>0</v>
      </c>
      <c r="C1341" s="1" t="s">
        <v>2972</v>
      </c>
      <c r="D1341" s="1" t="s">
        <v>27</v>
      </c>
      <c r="E1341" s="1" t="s">
        <v>2973</v>
      </c>
      <c r="F1341" s="1" t="s">
        <v>2974</v>
      </c>
      <c r="G1341" s="1" t="s">
        <v>23</v>
      </c>
      <c r="I1341" s="18">
        <v>40858.74150462963</v>
      </c>
      <c r="J1341" s="1" t="s">
        <v>544</v>
      </c>
      <c r="K1341" s="1" t="s">
        <v>18</v>
      </c>
      <c r="L1341" s="1" t="s">
        <v>19</v>
      </c>
      <c r="Q1341" s="21"/>
    </row>
    <row r="1342" spans="1:22" x14ac:dyDescent="0.15">
      <c r="A1342" s="1">
        <v>103259</v>
      </c>
      <c r="B1342" s="1">
        <v>0</v>
      </c>
      <c r="C1342" s="1" t="s">
        <v>145</v>
      </c>
      <c r="D1342" s="1" t="s">
        <v>27</v>
      </c>
      <c r="E1342" s="1" t="s">
        <v>1668</v>
      </c>
      <c r="F1342" s="1" t="s">
        <v>1669</v>
      </c>
      <c r="G1342" s="1" t="s">
        <v>23</v>
      </c>
      <c r="I1342" s="18">
        <v>40854.843564814815</v>
      </c>
      <c r="J1342" s="1" t="s">
        <v>958</v>
      </c>
      <c r="K1342" s="1" t="s">
        <v>18</v>
      </c>
      <c r="L1342" s="1" t="s">
        <v>19</v>
      </c>
      <c r="Q1342" s="21"/>
    </row>
    <row r="1343" spans="1:22" x14ac:dyDescent="0.15">
      <c r="A1343" s="1">
        <v>103126</v>
      </c>
      <c r="B1343" s="1">
        <v>0</v>
      </c>
      <c r="C1343" s="1" t="s">
        <v>26</v>
      </c>
      <c r="D1343" s="1" t="s">
        <v>27</v>
      </c>
      <c r="E1343" s="1" t="s">
        <v>3269</v>
      </c>
      <c r="F1343" s="1" t="s">
        <v>3270</v>
      </c>
      <c r="G1343" s="1" t="s">
        <v>23</v>
      </c>
      <c r="I1343" s="18">
        <v>40852.649560185186</v>
      </c>
      <c r="J1343" s="1" t="s">
        <v>398</v>
      </c>
      <c r="K1343" s="1" t="s">
        <v>18</v>
      </c>
      <c r="L1343" s="1" t="s">
        <v>19</v>
      </c>
      <c r="Q1343" s="21"/>
    </row>
    <row r="1344" spans="1:22" x14ac:dyDescent="0.15">
      <c r="A1344" s="1">
        <v>102359</v>
      </c>
      <c r="B1344" s="1">
        <v>0</v>
      </c>
      <c r="C1344" s="1" t="s">
        <v>26</v>
      </c>
      <c r="D1344" s="1" t="s">
        <v>27</v>
      </c>
      <c r="E1344" s="1" t="s">
        <v>1648</v>
      </c>
      <c r="F1344" s="1" t="s">
        <v>1649</v>
      </c>
      <c r="G1344" s="1" t="s">
        <v>23</v>
      </c>
      <c r="I1344" s="18">
        <v>40847.571111111109</v>
      </c>
      <c r="J1344" s="1" t="s">
        <v>544</v>
      </c>
      <c r="K1344" s="1" t="s">
        <v>18</v>
      </c>
      <c r="L1344" s="1" t="s">
        <v>19</v>
      </c>
      <c r="Q1344" s="21"/>
    </row>
    <row r="1345" spans="1:18" x14ac:dyDescent="0.15">
      <c r="A1345" s="1">
        <v>102242</v>
      </c>
      <c r="B1345" s="1">
        <v>0</v>
      </c>
      <c r="C1345" s="1" t="s">
        <v>26</v>
      </c>
      <c r="D1345" s="1" t="s">
        <v>27</v>
      </c>
      <c r="E1345" s="1" t="s">
        <v>1165</v>
      </c>
      <c r="F1345" s="1" t="s">
        <v>1166</v>
      </c>
      <c r="G1345" s="1" t="s">
        <v>23</v>
      </c>
      <c r="I1345" s="18">
        <v>40845.331967592596</v>
      </c>
      <c r="J1345" s="1" t="s">
        <v>40</v>
      </c>
      <c r="K1345" s="1" t="s">
        <v>18</v>
      </c>
      <c r="L1345" s="1" t="s">
        <v>19</v>
      </c>
      <c r="Q1345" s="21"/>
    </row>
    <row r="1346" spans="1:18" x14ac:dyDescent="0.15">
      <c r="A1346" s="1">
        <v>102037</v>
      </c>
      <c r="B1346" s="1">
        <v>0</v>
      </c>
      <c r="C1346" s="1" t="s">
        <v>26</v>
      </c>
      <c r="D1346" s="1" t="s">
        <v>27</v>
      </c>
      <c r="E1346" s="1" t="s">
        <v>1117</v>
      </c>
      <c r="F1346" s="1" t="s">
        <v>1118</v>
      </c>
      <c r="G1346" s="1" t="s">
        <v>23</v>
      </c>
      <c r="I1346" s="18">
        <v>40844.240474537037</v>
      </c>
      <c r="J1346" s="1" t="s">
        <v>40</v>
      </c>
      <c r="K1346" s="1" t="s">
        <v>18</v>
      </c>
      <c r="L1346" s="1" t="s">
        <v>19</v>
      </c>
      <c r="Q1346" s="21"/>
    </row>
    <row r="1347" spans="1:18" x14ac:dyDescent="0.15">
      <c r="A1347" s="1">
        <v>101624</v>
      </c>
      <c r="B1347" s="1">
        <v>0</v>
      </c>
      <c r="C1347" s="1" t="s">
        <v>1252</v>
      </c>
      <c r="D1347" s="1" t="s">
        <v>27</v>
      </c>
      <c r="E1347" s="1" t="s">
        <v>1253</v>
      </c>
      <c r="F1347" s="1" t="s">
        <v>1254</v>
      </c>
      <c r="G1347" s="1"/>
      <c r="H1347" s="1"/>
      <c r="I1347" s="18">
        <v>40842.063437500001</v>
      </c>
      <c r="J1347" s="1" t="s">
        <v>1255</v>
      </c>
      <c r="K1347" s="1" t="s">
        <v>18</v>
      </c>
      <c r="L1347" s="1" t="s">
        <v>19</v>
      </c>
      <c r="Q1347" s="21"/>
    </row>
    <row r="1348" spans="1:18" x14ac:dyDescent="0.15">
      <c r="A1348" s="1">
        <v>101580</v>
      </c>
      <c r="B1348" s="1">
        <v>0</v>
      </c>
      <c r="C1348" s="1" t="s">
        <v>26</v>
      </c>
      <c r="D1348" s="1" t="s">
        <v>27</v>
      </c>
      <c r="E1348" s="1" t="s">
        <v>2584</v>
      </c>
      <c r="F1348" s="1" t="s">
        <v>2585</v>
      </c>
      <c r="G1348" s="1" t="s">
        <v>23</v>
      </c>
      <c r="I1348" s="18">
        <v>40841.868437500001</v>
      </c>
      <c r="J1348" s="1" t="s">
        <v>2235</v>
      </c>
      <c r="K1348" s="1" t="s">
        <v>18</v>
      </c>
      <c r="L1348" s="1" t="s">
        <v>19</v>
      </c>
      <c r="Q1348" s="21"/>
    </row>
    <row r="1349" spans="1:18" x14ac:dyDescent="0.15">
      <c r="A1349" s="1">
        <v>101458</v>
      </c>
      <c r="B1349" s="1">
        <v>0</v>
      </c>
      <c r="D1349" s="1" t="s">
        <v>27</v>
      </c>
      <c r="E1349" s="1" t="s">
        <v>2188</v>
      </c>
      <c r="F1349" s="1" t="s">
        <v>2189</v>
      </c>
      <c r="G1349" s="1"/>
      <c r="H1349" s="1"/>
      <c r="I1349" s="18">
        <v>40841.310706018521</v>
      </c>
      <c r="J1349" s="1" t="s">
        <v>190</v>
      </c>
      <c r="K1349" s="1" t="s">
        <v>18</v>
      </c>
      <c r="L1349" s="1" t="s">
        <v>19</v>
      </c>
      <c r="Q1349" s="21"/>
    </row>
    <row r="1350" spans="1:18" x14ac:dyDescent="0.15">
      <c r="A1350" s="1">
        <v>101235</v>
      </c>
      <c r="B1350" s="1">
        <v>0</v>
      </c>
      <c r="C1350" s="1" t="s">
        <v>3557</v>
      </c>
      <c r="D1350" s="1" t="s">
        <v>27</v>
      </c>
      <c r="E1350" s="1" t="s">
        <v>3558</v>
      </c>
      <c r="F1350" s="1" t="s">
        <v>3559</v>
      </c>
      <c r="G1350" s="1" t="s">
        <v>23</v>
      </c>
      <c r="I1350" s="18">
        <v>40838.072106481479</v>
      </c>
      <c r="J1350" s="1" t="s">
        <v>3560</v>
      </c>
      <c r="K1350" s="1" t="s">
        <v>18</v>
      </c>
      <c r="L1350" s="1" t="s">
        <v>19</v>
      </c>
      <c r="Q1350" s="21"/>
    </row>
    <row r="1351" spans="1:18" x14ac:dyDescent="0.15">
      <c r="A1351" s="1">
        <v>101172</v>
      </c>
      <c r="B1351" s="1">
        <v>0</v>
      </c>
      <c r="C1351" s="1" t="s">
        <v>549</v>
      </c>
      <c r="D1351" s="1" t="s">
        <v>27</v>
      </c>
      <c r="E1351" s="1" t="s">
        <v>1713</v>
      </c>
      <c r="F1351" s="1" t="s">
        <v>1714</v>
      </c>
      <c r="G1351" s="1"/>
      <c r="H1351" s="1"/>
      <c r="I1351" s="18">
        <v>40837.748032407406</v>
      </c>
      <c r="J1351" s="1" t="s">
        <v>1715</v>
      </c>
      <c r="K1351" s="1" t="s">
        <v>18</v>
      </c>
      <c r="L1351" s="1" t="s">
        <v>19</v>
      </c>
      <c r="Q1351" s="21"/>
    </row>
    <row r="1352" spans="1:18" x14ac:dyDescent="0.15">
      <c r="A1352" s="1">
        <v>101065</v>
      </c>
      <c r="B1352" s="1">
        <v>1</v>
      </c>
      <c r="C1352" s="1" t="s">
        <v>26</v>
      </c>
      <c r="D1352" s="1" t="s">
        <v>27</v>
      </c>
      <c r="E1352" s="1" t="s">
        <v>1454</v>
      </c>
      <c r="F1352" s="1" t="s">
        <v>1455</v>
      </c>
      <c r="G1352" s="1" t="s">
        <v>23</v>
      </c>
      <c r="I1352" s="18">
        <v>40836.855219907404</v>
      </c>
      <c r="J1352" s="1" t="s">
        <v>40</v>
      </c>
      <c r="K1352" s="1" t="s">
        <v>18</v>
      </c>
      <c r="L1352" s="1" t="s">
        <v>19</v>
      </c>
      <c r="M1352" s="1">
        <v>105363</v>
      </c>
      <c r="N1352" s="1" t="s">
        <v>1456</v>
      </c>
      <c r="O1352" s="18">
        <v>40871.46465277778</v>
      </c>
      <c r="P1352" s="1" t="s">
        <v>1457</v>
      </c>
      <c r="Q1352" s="21">
        <f t="shared" ref="Q1352:Q1413" si="22">ABS(O1352-I1352)</f>
        <v>34.609432870376622</v>
      </c>
      <c r="R1352" s="1"/>
    </row>
    <row r="1353" spans="1:18" x14ac:dyDescent="0.15">
      <c r="A1353" s="1">
        <v>101018</v>
      </c>
      <c r="B1353" s="1">
        <v>0</v>
      </c>
      <c r="C1353" s="1" t="s">
        <v>1199</v>
      </c>
      <c r="D1353" s="1" t="s">
        <v>27</v>
      </c>
      <c r="E1353" s="1" t="s">
        <v>1200</v>
      </c>
      <c r="F1353" s="1" t="s">
        <v>1201</v>
      </c>
      <c r="G1353" s="1" t="s">
        <v>23</v>
      </c>
      <c r="I1353" s="18">
        <v>40836.653865740744</v>
      </c>
      <c r="J1353" s="1" t="s">
        <v>40</v>
      </c>
      <c r="K1353" s="1" t="s">
        <v>18</v>
      </c>
      <c r="L1353" s="1" t="s">
        <v>19</v>
      </c>
      <c r="Q1353" s="21"/>
    </row>
    <row r="1354" spans="1:18" x14ac:dyDescent="0.15">
      <c r="A1354" s="1">
        <v>100958</v>
      </c>
      <c r="B1354" s="1">
        <v>0</v>
      </c>
      <c r="C1354" s="1" t="s">
        <v>26</v>
      </c>
      <c r="D1354" s="1" t="s">
        <v>27</v>
      </c>
      <c r="E1354" s="1" t="s">
        <v>2761</v>
      </c>
      <c r="F1354" s="1" t="s">
        <v>1455</v>
      </c>
      <c r="G1354" s="1" t="s">
        <v>23</v>
      </c>
      <c r="I1354" s="18">
        <v>40835.995532407411</v>
      </c>
      <c r="J1354" s="1" t="s">
        <v>40</v>
      </c>
      <c r="K1354" s="1" t="s">
        <v>18</v>
      </c>
      <c r="L1354" s="1" t="s">
        <v>19</v>
      </c>
      <c r="Q1354" s="21"/>
    </row>
    <row r="1355" spans="1:18" x14ac:dyDescent="0.15">
      <c r="A1355" s="1">
        <v>100526</v>
      </c>
      <c r="B1355" s="1">
        <v>0</v>
      </c>
      <c r="C1355" s="1" t="s">
        <v>26</v>
      </c>
      <c r="D1355" s="1" t="s">
        <v>27</v>
      </c>
      <c r="E1355" s="1" t="s">
        <v>2357</v>
      </c>
      <c r="F1355" s="1" t="s">
        <v>1201</v>
      </c>
      <c r="G1355" s="1" t="s">
        <v>23</v>
      </c>
      <c r="I1355" s="18">
        <v>40833.048229166663</v>
      </c>
      <c r="J1355" s="1" t="s">
        <v>40</v>
      </c>
      <c r="K1355" s="1" t="s">
        <v>18</v>
      </c>
      <c r="L1355" s="1" t="s">
        <v>19</v>
      </c>
      <c r="Q1355" s="21"/>
    </row>
    <row r="1356" spans="1:18" x14ac:dyDescent="0.15">
      <c r="A1356" s="1">
        <v>100465</v>
      </c>
      <c r="B1356" s="1">
        <v>0</v>
      </c>
      <c r="D1356" s="1" t="s">
        <v>27</v>
      </c>
      <c r="E1356" s="1" t="s">
        <v>2889</v>
      </c>
      <c r="F1356" s="1" t="s">
        <v>2890</v>
      </c>
      <c r="G1356" s="1"/>
      <c r="H1356" s="1"/>
      <c r="I1356" s="18">
        <v>40831.767974537041</v>
      </c>
      <c r="J1356" s="1" t="s">
        <v>190</v>
      </c>
      <c r="K1356" s="1" t="s">
        <v>18</v>
      </c>
      <c r="L1356" s="1" t="s">
        <v>19</v>
      </c>
      <c r="Q1356" s="21"/>
    </row>
    <row r="1357" spans="1:18" x14ac:dyDescent="0.15">
      <c r="A1357" s="1">
        <v>100459</v>
      </c>
      <c r="B1357" s="1">
        <v>0</v>
      </c>
      <c r="C1357" s="1" t="s">
        <v>26</v>
      </c>
      <c r="D1357" s="1" t="s">
        <v>27</v>
      </c>
      <c r="E1357" s="1" t="s">
        <v>585</v>
      </c>
      <c r="F1357" s="1" t="s">
        <v>586</v>
      </c>
      <c r="G1357" s="1" t="s">
        <v>23</v>
      </c>
      <c r="I1357" s="18">
        <v>40831.633240740739</v>
      </c>
      <c r="J1357" s="1" t="s">
        <v>40</v>
      </c>
      <c r="K1357" s="1" t="s">
        <v>18</v>
      </c>
      <c r="L1357" s="1" t="s">
        <v>19</v>
      </c>
      <c r="Q1357" s="21"/>
    </row>
    <row r="1358" spans="1:18" x14ac:dyDescent="0.15">
      <c r="A1358" s="1">
        <v>100322</v>
      </c>
      <c r="B1358" s="1">
        <v>1</v>
      </c>
      <c r="C1358" s="1" t="s">
        <v>145</v>
      </c>
      <c r="D1358" s="1" t="s">
        <v>27</v>
      </c>
      <c r="E1358" s="1" t="s">
        <v>275</v>
      </c>
      <c r="F1358" s="1" t="s">
        <v>276</v>
      </c>
      <c r="G1358" s="1" t="s">
        <v>23</v>
      </c>
      <c r="I1358" s="18">
        <v>40830.531412037039</v>
      </c>
      <c r="J1358" s="1" t="s">
        <v>277</v>
      </c>
      <c r="K1358" s="1" t="s">
        <v>18</v>
      </c>
      <c r="L1358" s="1" t="s">
        <v>19</v>
      </c>
      <c r="M1358" s="1">
        <v>100601</v>
      </c>
      <c r="N1358" s="1" t="s">
        <v>278</v>
      </c>
      <c r="O1358" s="18">
        <v>40833.815937500003</v>
      </c>
      <c r="P1358" s="1" t="s">
        <v>279</v>
      </c>
      <c r="Q1358" s="21">
        <f t="shared" si="22"/>
        <v>3.2845254629646661</v>
      </c>
      <c r="R1358" s="1"/>
    </row>
    <row r="1359" spans="1:18" x14ac:dyDescent="0.15">
      <c r="A1359" s="1">
        <v>100177</v>
      </c>
      <c r="B1359" s="1">
        <v>0</v>
      </c>
      <c r="C1359" s="1" t="s">
        <v>26</v>
      </c>
      <c r="D1359" s="1" t="s">
        <v>27</v>
      </c>
      <c r="E1359" s="1" t="s">
        <v>2389</v>
      </c>
      <c r="F1359" s="1" t="s">
        <v>2390</v>
      </c>
      <c r="G1359" s="1"/>
      <c r="H1359" s="1"/>
      <c r="I1359" s="18">
        <v>40829.674386574072</v>
      </c>
      <c r="J1359" s="1" t="s">
        <v>2235</v>
      </c>
      <c r="K1359" s="1" t="s">
        <v>18</v>
      </c>
      <c r="L1359" s="1" t="s">
        <v>19</v>
      </c>
      <c r="Q1359" s="21"/>
    </row>
    <row r="1360" spans="1:18" x14ac:dyDescent="0.15">
      <c r="A1360" s="1">
        <v>100059</v>
      </c>
      <c r="B1360" s="1">
        <v>0</v>
      </c>
      <c r="C1360" s="1" t="s">
        <v>26</v>
      </c>
      <c r="D1360" s="1" t="s">
        <v>27</v>
      </c>
      <c r="E1360" s="1" t="s">
        <v>2079</v>
      </c>
      <c r="F1360" s="1" t="s">
        <v>2080</v>
      </c>
      <c r="G1360" s="1" t="s">
        <v>23</v>
      </c>
      <c r="I1360" s="18">
        <v>40828.69902777778</v>
      </c>
      <c r="J1360" s="1" t="s">
        <v>44</v>
      </c>
      <c r="K1360" s="1" t="s">
        <v>18</v>
      </c>
      <c r="L1360" s="1" t="s">
        <v>19</v>
      </c>
      <c r="Q1360" s="21"/>
    </row>
    <row r="1361" spans="1:18" x14ac:dyDescent="0.15">
      <c r="A1361" s="1">
        <v>99880</v>
      </c>
      <c r="B1361" s="1">
        <v>0</v>
      </c>
      <c r="C1361" s="1" t="s">
        <v>26</v>
      </c>
      <c r="D1361" s="1" t="s">
        <v>27</v>
      </c>
      <c r="E1361" s="1" t="s">
        <v>1728</v>
      </c>
      <c r="F1361" s="1" t="s">
        <v>1729</v>
      </c>
      <c r="G1361" s="1" t="s">
        <v>23</v>
      </c>
      <c r="I1361" s="18">
        <v>40827.765798611108</v>
      </c>
      <c r="J1361" s="1" t="s">
        <v>40</v>
      </c>
      <c r="K1361" s="1" t="s">
        <v>18</v>
      </c>
      <c r="L1361" s="1" t="s">
        <v>19</v>
      </c>
      <c r="Q1361" s="21"/>
    </row>
    <row r="1362" spans="1:18" x14ac:dyDescent="0.15">
      <c r="A1362" s="1">
        <v>99732</v>
      </c>
      <c r="B1362" s="1">
        <v>0</v>
      </c>
      <c r="C1362" s="1" t="s">
        <v>26</v>
      </c>
      <c r="D1362" s="1" t="s">
        <v>27</v>
      </c>
      <c r="E1362" s="1" t="s">
        <v>520</v>
      </c>
      <c r="F1362" s="1" t="s">
        <v>521</v>
      </c>
      <c r="G1362" s="1" t="s">
        <v>23</v>
      </c>
      <c r="I1362" s="18">
        <v>40826.791516203702</v>
      </c>
      <c r="J1362" s="1" t="s">
        <v>40</v>
      </c>
      <c r="K1362" s="1" t="s">
        <v>18</v>
      </c>
      <c r="L1362" s="1" t="s">
        <v>19</v>
      </c>
      <c r="Q1362" s="21"/>
    </row>
    <row r="1363" spans="1:18" x14ac:dyDescent="0.15">
      <c r="A1363" s="1">
        <v>99615</v>
      </c>
      <c r="B1363" s="1">
        <v>0</v>
      </c>
      <c r="C1363" s="1" t="s">
        <v>26</v>
      </c>
      <c r="D1363" s="1" t="s">
        <v>27</v>
      </c>
      <c r="E1363" s="1" t="s">
        <v>406</v>
      </c>
      <c r="F1363" s="1" t="s">
        <v>881</v>
      </c>
      <c r="G1363" s="1" t="s">
        <v>23</v>
      </c>
      <c r="I1363" s="18">
        <v>40825.230694444443</v>
      </c>
      <c r="J1363" s="1" t="s">
        <v>40</v>
      </c>
      <c r="K1363" s="1" t="s">
        <v>18</v>
      </c>
      <c r="L1363" s="1" t="s">
        <v>19</v>
      </c>
      <c r="Q1363" s="21"/>
    </row>
    <row r="1364" spans="1:18" x14ac:dyDescent="0.15">
      <c r="A1364" s="1">
        <v>99603</v>
      </c>
      <c r="B1364" s="1">
        <v>0</v>
      </c>
      <c r="C1364" s="1" t="s">
        <v>26</v>
      </c>
      <c r="D1364" s="1" t="s">
        <v>27</v>
      </c>
      <c r="E1364" s="1" t="s">
        <v>1550</v>
      </c>
      <c r="F1364" s="1" t="s">
        <v>1201</v>
      </c>
      <c r="G1364" s="1" t="s">
        <v>23</v>
      </c>
      <c r="I1364" s="18">
        <v>40824.973055555558</v>
      </c>
      <c r="J1364" s="1" t="s">
        <v>40</v>
      </c>
      <c r="K1364" s="1" t="s">
        <v>18</v>
      </c>
      <c r="L1364" s="1" t="s">
        <v>19</v>
      </c>
      <c r="Q1364" s="21"/>
    </row>
    <row r="1365" spans="1:18" x14ac:dyDescent="0.15">
      <c r="A1365" s="1">
        <v>99597</v>
      </c>
      <c r="B1365" s="1">
        <v>1</v>
      </c>
      <c r="C1365" s="1" t="s">
        <v>26</v>
      </c>
      <c r="D1365" s="1" t="s">
        <v>27</v>
      </c>
      <c r="E1365" s="1" t="s">
        <v>2045</v>
      </c>
      <c r="F1365" s="1" t="s">
        <v>1201</v>
      </c>
      <c r="G1365" s="1" t="s">
        <v>23</v>
      </c>
      <c r="I1365" s="18">
        <v>40824.918749999997</v>
      </c>
      <c r="J1365" s="1" t="s">
        <v>40</v>
      </c>
      <c r="K1365" s="1" t="s">
        <v>18</v>
      </c>
      <c r="L1365" s="1" t="s">
        <v>19</v>
      </c>
      <c r="M1365" s="1">
        <v>101158</v>
      </c>
      <c r="N1365" s="1" t="s">
        <v>2046</v>
      </c>
      <c r="O1365" s="18">
        <v>40837.653483796297</v>
      </c>
      <c r="P1365" s="1" t="s">
        <v>44</v>
      </c>
      <c r="Q1365" s="21">
        <f t="shared" si="22"/>
        <v>12.734733796300134</v>
      </c>
      <c r="R1365" s="1"/>
    </row>
    <row r="1366" spans="1:18" x14ac:dyDescent="0.15">
      <c r="A1366" s="1">
        <v>99596</v>
      </c>
      <c r="B1366" s="1">
        <v>0</v>
      </c>
      <c r="C1366" s="1" t="s">
        <v>549</v>
      </c>
      <c r="D1366" s="1" t="s">
        <v>27</v>
      </c>
      <c r="E1366" s="1" t="s">
        <v>1040</v>
      </c>
      <c r="F1366" s="1" t="s">
        <v>1041</v>
      </c>
      <c r="G1366" s="1" t="s">
        <v>23</v>
      </c>
      <c r="I1366" s="18">
        <v>40824.916979166665</v>
      </c>
      <c r="J1366" s="1" t="s">
        <v>40</v>
      </c>
      <c r="K1366" s="1" t="s">
        <v>18</v>
      </c>
      <c r="L1366" s="1" t="s">
        <v>19</v>
      </c>
      <c r="Q1366" s="21"/>
    </row>
    <row r="1367" spans="1:18" x14ac:dyDescent="0.15">
      <c r="A1367" s="1">
        <v>99553</v>
      </c>
      <c r="B1367" s="1">
        <v>1</v>
      </c>
      <c r="C1367" s="1" t="s">
        <v>1231</v>
      </c>
      <c r="D1367" s="1" t="s">
        <v>27</v>
      </c>
      <c r="E1367" s="1" t="s">
        <v>1232</v>
      </c>
      <c r="F1367" s="1" t="s">
        <v>1233</v>
      </c>
      <c r="G1367" s="1" t="s">
        <v>23</v>
      </c>
      <c r="I1367" s="18">
        <v>40823.966319444444</v>
      </c>
      <c r="J1367" s="1" t="s">
        <v>1234</v>
      </c>
      <c r="K1367" s="1" t="s">
        <v>18</v>
      </c>
      <c r="L1367" s="1" t="s">
        <v>19</v>
      </c>
      <c r="M1367" s="1">
        <v>100104</v>
      </c>
      <c r="N1367" s="1" t="s">
        <v>1235</v>
      </c>
      <c r="O1367" s="18">
        <v>40828.87740740741</v>
      </c>
      <c r="P1367" s="1" t="s">
        <v>1236</v>
      </c>
      <c r="Q1367" s="21">
        <f t="shared" si="22"/>
        <v>4.9110879629661213</v>
      </c>
      <c r="R1367" s="1"/>
    </row>
    <row r="1368" spans="1:18" x14ac:dyDescent="0.15">
      <c r="A1368" s="1">
        <v>99465</v>
      </c>
      <c r="B1368" s="1">
        <v>0</v>
      </c>
      <c r="C1368" s="1" t="s">
        <v>26</v>
      </c>
      <c r="D1368" s="1" t="s">
        <v>27</v>
      </c>
      <c r="E1368" s="1" t="s">
        <v>1490</v>
      </c>
      <c r="F1368" s="1" t="s">
        <v>1491</v>
      </c>
      <c r="G1368" s="1" t="s">
        <v>23</v>
      </c>
      <c r="I1368" s="18">
        <v>40823.647164351853</v>
      </c>
      <c r="J1368" s="1" t="s">
        <v>1492</v>
      </c>
      <c r="K1368" s="1" t="s">
        <v>18</v>
      </c>
      <c r="L1368" s="1" t="s">
        <v>19</v>
      </c>
      <c r="Q1368" s="21"/>
    </row>
    <row r="1369" spans="1:18" x14ac:dyDescent="0.15">
      <c r="A1369" s="1">
        <v>99348</v>
      </c>
      <c r="B1369" s="1">
        <v>0</v>
      </c>
      <c r="C1369" s="1" t="s">
        <v>26</v>
      </c>
      <c r="D1369" s="1" t="s">
        <v>27</v>
      </c>
      <c r="E1369" s="1" t="s">
        <v>2088</v>
      </c>
      <c r="F1369" s="1" t="s">
        <v>586</v>
      </c>
      <c r="G1369" s="1" t="s">
        <v>23</v>
      </c>
      <c r="I1369" s="18">
        <v>40822.727199074077</v>
      </c>
      <c r="J1369" s="1" t="s">
        <v>40</v>
      </c>
      <c r="K1369" s="1" t="s">
        <v>18</v>
      </c>
      <c r="L1369" s="1" t="s">
        <v>19</v>
      </c>
      <c r="Q1369" s="21"/>
    </row>
    <row r="1370" spans="1:18" x14ac:dyDescent="0.15">
      <c r="A1370" s="1">
        <v>99338</v>
      </c>
      <c r="B1370" s="1">
        <v>0</v>
      </c>
      <c r="C1370" s="1" t="s">
        <v>26</v>
      </c>
      <c r="D1370" s="1" t="s">
        <v>27</v>
      </c>
      <c r="E1370" s="1" t="s">
        <v>2692</v>
      </c>
      <c r="F1370" s="1" t="s">
        <v>586</v>
      </c>
      <c r="G1370" s="1" t="s">
        <v>23</v>
      </c>
      <c r="I1370" s="18">
        <v>40822.689791666664</v>
      </c>
      <c r="J1370" s="1" t="s">
        <v>2235</v>
      </c>
      <c r="K1370" s="1" t="s">
        <v>18</v>
      </c>
      <c r="L1370" s="1" t="s">
        <v>19</v>
      </c>
      <c r="Q1370" s="21"/>
    </row>
    <row r="1371" spans="1:18" x14ac:dyDescent="0.15">
      <c r="A1371" s="1">
        <v>99294</v>
      </c>
      <c r="B1371" s="1">
        <v>0</v>
      </c>
      <c r="C1371" s="1" t="s">
        <v>26</v>
      </c>
      <c r="D1371" s="1" t="s">
        <v>27</v>
      </c>
      <c r="E1371" s="1" t="s">
        <v>1258</v>
      </c>
      <c r="F1371" s="1" t="s">
        <v>628</v>
      </c>
      <c r="G1371" s="1" t="s">
        <v>23</v>
      </c>
      <c r="I1371" s="18">
        <v>40822.289571759262</v>
      </c>
      <c r="J1371" s="1" t="s">
        <v>44</v>
      </c>
      <c r="K1371" s="1" t="s">
        <v>18</v>
      </c>
      <c r="L1371" s="1" t="s">
        <v>19</v>
      </c>
      <c r="Q1371" s="21"/>
    </row>
    <row r="1372" spans="1:18" x14ac:dyDescent="0.15">
      <c r="A1372" s="1">
        <v>99229</v>
      </c>
      <c r="B1372" s="1">
        <v>0</v>
      </c>
      <c r="C1372" s="1" t="s">
        <v>26</v>
      </c>
      <c r="D1372" s="1" t="s">
        <v>27</v>
      </c>
      <c r="E1372" s="1" t="s">
        <v>2403</v>
      </c>
      <c r="F1372" s="1" t="s">
        <v>2404</v>
      </c>
      <c r="G1372" s="1" t="s">
        <v>23</v>
      </c>
      <c r="I1372" s="18">
        <v>40821.846319444441</v>
      </c>
      <c r="J1372" s="1" t="s">
        <v>40</v>
      </c>
      <c r="K1372" s="1" t="s">
        <v>18</v>
      </c>
      <c r="L1372" s="1" t="s">
        <v>19</v>
      </c>
      <c r="Q1372" s="21"/>
    </row>
    <row r="1373" spans="1:18" x14ac:dyDescent="0.15">
      <c r="A1373" s="1">
        <v>99211</v>
      </c>
      <c r="B1373" s="1">
        <v>0</v>
      </c>
      <c r="C1373" s="1" t="s">
        <v>26</v>
      </c>
      <c r="D1373" s="1" t="s">
        <v>27</v>
      </c>
      <c r="E1373" s="1" t="s">
        <v>3046</v>
      </c>
      <c r="F1373" s="1" t="s">
        <v>3047</v>
      </c>
      <c r="G1373" s="1" t="s">
        <v>23</v>
      </c>
      <c r="I1373" s="18">
        <v>40821.763553240744</v>
      </c>
      <c r="J1373" s="1" t="s">
        <v>44</v>
      </c>
      <c r="K1373" s="1" t="s">
        <v>18</v>
      </c>
      <c r="L1373" s="1" t="s">
        <v>19</v>
      </c>
      <c r="Q1373" s="21"/>
    </row>
    <row r="1374" spans="1:18" x14ac:dyDescent="0.15">
      <c r="A1374" s="1">
        <v>99167</v>
      </c>
      <c r="B1374" s="1">
        <v>0</v>
      </c>
      <c r="C1374" s="1" t="s">
        <v>843</v>
      </c>
      <c r="D1374" s="1" t="s">
        <v>27</v>
      </c>
      <c r="E1374" s="1" t="s">
        <v>2869</v>
      </c>
      <c r="F1374" s="1" t="s">
        <v>2870</v>
      </c>
      <c r="G1374" s="1" t="s">
        <v>23</v>
      </c>
      <c r="I1374" s="18">
        <v>40821.619375000002</v>
      </c>
      <c r="J1374" s="1" t="s">
        <v>958</v>
      </c>
      <c r="K1374" s="1" t="s">
        <v>18</v>
      </c>
      <c r="L1374" s="1" t="s">
        <v>19</v>
      </c>
      <c r="Q1374" s="21"/>
    </row>
    <row r="1375" spans="1:18" x14ac:dyDescent="0.15">
      <c r="A1375" s="1">
        <v>99138</v>
      </c>
      <c r="B1375" s="1">
        <v>0</v>
      </c>
      <c r="C1375" s="1" t="s">
        <v>26</v>
      </c>
      <c r="D1375" s="1" t="s">
        <v>27</v>
      </c>
      <c r="E1375" s="1" t="s">
        <v>1591</v>
      </c>
      <c r="F1375" s="1" t="s">
        <v>1592</v>
      </c>
      <c r="G1375" s="1" t="s">
        <v>23</v>
      </c>
      <c r="I1375" s="18">
        <v>40821.306944444441</v>
      </c>
      <c r="J1375" s="1" t="s">
        <v>44</v>
      </c>
      <c r="K1375" s="1" t="s">
        <v>18</v>
      </c>
      <c r="L1375" s="1" t="s">
        <v>19</v>
      </c>
      <c r="Q1375" s="21"/>
    </row>
    <row r="1376" spans="1:18" x14ac:dyDescent="0.15">
      <c r="A1376" s="1">
        <v>99104</v>
      </c>
      <c r="B1376" s="1">
        <v>0</v>
      </c>
      <c r="C1376" s="1" t="s">
        <v>26</v>
      </c>
      <c r="D1376" s="1" t="s">
        <v>27</v>
      </c>
      <c r="E1376" s="1" t="s">
        <v>1574</v>
      </c>
      <c r="F1376" s="1" t="s">
        <v>888</v>
      </c>
      <c r="G1376" s="1" t="s">
        <v>23</v>
      </c>
      <c r="I1376" s="18">
        <v>40820.946793981479</v>
      </c>
      <c r="J1376" s="1" t="s">
        <v>398</v>
      </c>
      <c r="K1376" s="1" t="s">
        <v>18</v>
      </c>
      <c r="L1376" s="1" t="s">
        <v>19</v>
      </c>
      <c r="Q1376" s="21"/>
    </row>
    <row r="1377" spans="1:22" x14ac:dyDescent="0.15">
      <c r="A1377" s="1">
        <v>99016</v>
      </c>
      <c r="B1377" s="1">
        <v>1</v>
      </c>
      <c r="C1377" s="1" t="s">
        <v>170</v>
      </c>
      <c r="D1377" s="1" t="s">
        <v>27</v>
      </c>
      <c r="E1377" s="1" t="s">
        <v>362</v>
      </c>
      <c r="F1377" s="1" t="s">
        <v>363</v>
      </c>
      <c r="G1377" s="1" t="s">
        <v>23</v>
      </c>
      <c r="I1377" s="18">
        <v>40820.550995370373</v>
      </c>
      <c r="J1377" s="1" t="s">
        <v>364</v>
      </c>
      <c r="K1377" s="1" t="s">
        <v>18</v>
      </c>
      <c r="L1377" s="1" t="s">
        <v>19</v>
      </c>
      <c r="M1377" s="1">
        <v>75559</v>
      </c>
      <c r="N1377" s="1" t="s">
        <v>365</v>
      </c>
      <c r="O1377" s="18">
        <v>40612.170983796299</v>
      </c>
      <c r="P1377" s="1" t="s">
        <v>366</v>
      </c>
      <c r="Q1377" s="21">
        <f t="shared" si="22"/>
        <v>208.38001157407416</v>
      </c>
      <c r="R1377" s="1"/>
    </row>
    <row r="1378" spans="1:22" x14ac:dyDescent="0.15">
      <c r="A1378" s="1">
        <v>98773</v>
      </c>
      <c r="B1378" s="1">
        <v>0</v>
      </c>
      <c r="C1378" s="1" t="s">
        <v>170</v>
      </c>
      <c r="D1378" s="1" t="s">
        <v>27</v>
      </c>
      <c r="E1378" s="1" t="s">
        <v>2882</v>
      </c>
      <c r="F1378" s="1" t="s">
        <v>2883</v>
      </c>
      <c r="G1378" s="1" t="s">
        <v>23</v>
      </c>
      <c r="I1378" s="18">
        <v>40817.549907407411</v>
      </c>
      <c r="J1378" s="1" t="s">
        <v>958</v>
      </c>
      <c r="K1378" s="1" t="s">
        <v>18</v>
      </c>
      <c r="L1378" s="1" t="s">
        <v>19</v>
      </c>
      <c r="Q1378" s="21"/>
    </row>
    <row r="1379" spans="1:22" x14ac:dyDescent="0.15">
      <c r="A1379" s="1">
        <v>98582</v>
      </c>
      <c r="B1379" s="1">
        <v>0</v>
      </c>
      <c r="C1379" s="1" t="s">
        <v>682</v>
      </c>
      <c r="D1379" s="1" t="s">
        <v>27</v>
      </c>
      <c r="E1379" s="1" t="s">
        <v>2092</v>
      </c>
      <c r="F1379" s="1" t="s">
        <v>888</v>
      </c>
      <c r="G1379" s="1" t="s">
        <v>23</v>
      </c>
      <c r="I1379" s="18">
        <v>40815.764247685183</v>
      </c>
      <c r="J1379" s="1" t="s">
        <v>2017</v>
      </c>
      <c r="K1379" s="1" t="s">
        <v>18</v>
      </c>
      <c r="L1379" s="1" t="s">
        <v>19</v>
      </c>
      <c r="Q1379" s="21"/>
    </row>
    <row r="1380" spans="1:22" x14ac:dyDescent="0.15">
      <c r="A1380" s="1">
        <v>98556</v>
      </c>
      <c r="B1380" s="1">
        <v>0</v>
      </c>
      <c r="C1380" s="1" t="s">
        <v>26</v>
      </c>
      <c r="D1380" s="1" t="s">
        <v>27</v>
      </c>
      <c r="E1380" s="1" t="s">
        <v>2200</v>
      </c>
      <c r="F1380" s="1" t="s">
        <v>628</v>
      </c>
      <c r="G1380" s="1" t="s">
        <v>23</v>
      </c>
      <c r="I1380" s="18">
        <v>40815.664641203701</v>
      </c>
      <c r="J1380" s="1" t="s">
        <v>44</v>
      </c>
      <c r="K1380" s="1" t="s">
        <v>18</v>
      </c>
      <c r="L1380" s="1" t="s">
        <v>19</v>
      </c>
      <c r="Q1380" s="21"/>
    </row>
    <row r="1381" spans="1:22" x14ac:dyDescent="0.15">
      <c r="A1381" s="1">
        <v>98089</v>
      </c>
      <c r="B1381" s="1">
        <v>0</v>
      </c>
      <c r="C1381" s="1" t="s">
        <v>3599</v>
      </c>
      <c r="D1381" s="1" t="s">
        <v>27</v>
      </c>
      <c r="E1381" s="1" t="s">
        <v>3600</v>
      </c>
      <c r="F1381" s="1" t="s">
        <v>3601</v>
      </c>
      <c r="G1381" s="1" t="s">
        <v>159</v>
      </c>
      <c r="I1381" s="18">
        <v>40812.886053240742</v>
      </c>
      <c r="J1381" s="1" t="s">
        <v>3602</v>
      </c>
      <c r="K1381" s="1" t="s">
        <v>3586</v>
      </c>
      <c r="L1381" s="1" t="s">
        <v>19</v>
      </c>
      <c r="Q1381" s="21"/>
    </row>
    <row r="1382" spans="1:22" x14ac:dyDescent="0.15">
      <c r="A1382" s="1">
        <v>98064</v>
      </c>
      <c r="B1382" s="1">
        <v>0</v>
      </c>
      <c r="C1382" s="1" t="s">
        <v>26</v>
      </c>
      <c r="D1382" s="1" t="s">
        <v>27</v>
      </c>
      <c r="E1382" s="1" t="s">
        <v>2591</v>
      </c>
      <c r="F1382" s="1" t="s">
        <v>628</v>
      </c>
      <c r="G1382" s="1" t="s">
        <v>23</v>
      </c>
      <c r="I1382" s="18">
        <v>40812.775358796294</v>
      </c>
      <c r="J1382" s="1" t="s">
        <v>44</v>
      </c>
      <c r="K1382" s="1" t="s">
        <v>18</v>
      </c>
      <c r="L1382" s="1" t="s">
        <v>19</v>
      </c>
      <c r="Q1382" s="21"/>
    </row>
    <row r="1383" spans="1:22" x14ac:dyDescent="0.15">
      <c r="A1383" s="1">
        <v>97994</v>
      </c>
      <c r="B1383" s="1">
        <v>0</v>
      </c>
      <c r="C1383" s="1" t="s">
        <v>26</v>
      </c>
      <c r="D1383" s="1" t="s">
        <v>27</v>
      </c>
      <c r="E1383" s="1" t="s">
        <v>3195</v>
      </c>
      <c r="F1383" s="1" t="s">
        <v>94</v>
      </c>
      <c r="G1383" s="1" t="s">
        <v>23</v>
      </c>
      <c r="I1383" s="18">
        <v>40812.134872685187</v>
      </c>
      <c r="J1383" s="1" t="s">
        <v>40</v>
      </c>
      <c r="K1383" s="1" t="s">
        <v>18</v>
      </c>
      <c r="L1383" s="1" t="s">
        <v>19</v>
      </c>
      <c r="Q1383" s="21"/>
    </row>
    <row r="1384" spans="1:22" x14ac:dyDescent="0.15">
      <c r="A1384" s="1">
        <v>97952</v>
      </c>
      <c r="B1384" s="1">
        <v>0</v>
      </c>
      <c r="C1384" s="1" t="s">
        <v>26</v>
      </c>
      <c r="D1384" s="1" t="s">
        <v>27</v>
      </c>
      <c r="E1384" s="1" t="s">
        <v>887</v>
      </c>
      <c r="F1384" s="1" t="s">
        <v>888</v>
      </c>
      <c r="G1384" s="1" t="s">
        <v>23</v>
      </c>
      <c r="I1384" s="18">
        <v>40811.241319444445</v>
      </c>
      <c r="J1384" s="1" t="s">
        <v>40</v>
      </c>
      <c r="K1384" s="1" t="s">
        <v>18</v>
      </c>
      <c r="L1384" s="1" t="s">
        <v>19</v>
      </c>
      <c r="Q1384" s="21"/>
    </row>
    <row r="1385" spans="1:22" x14ac:dyDescent="0.15">
      <c r="A1385" s="1">
        <v>97784</v>
      </c>
      <c r="B1385" s="1">
        <v>0</v>
      </c>
      <c r="C1385" s="1" t="s">
        <v>145</v>
      </c>
      <c r="D1385" s="1" t="s">
        <v>27</v>
      </c>
      <c r="E1385" s="1" t="s">
        <v>961</v>
      </c>
      <c r="F1385" s="1" t="s">
        <v>962</v>
      </c>
      <c r="G1385" s="1" t="s">
        <v>23</v>
      </c>
      <c r="I1385" s="18">
        <v>40809.762743055559</v>
      </c>
      <c r="J1385" s="1" t="s">
        <v>40</v>
      </c>
      <c r="K1385" s="1" t="s">
        <v>18</v>
      </c>
      <c r="L1385" s="1" t="s">
        <v>19</v>
      </c>
      <c r="Q1385" s="21"/>
    </row>
    <row r="1386" spans="1:22" x14ac:dyDescent="0.15">
      <c r="A1386" s="1">
        <v>97608</v>
      </c>
      <c r="B1386" s="1">
        <v>2</v>
      </c>
      <c r="C1386" s="1" t="s">
        <v>26</v>
      </c>
      <c r="D1386" s="1" t="s">
        <v>27</v>
      </c>
      <c r="E1386" s="1" t="s">
        <v>2232</v>
      </c>
      <c r="F1386" s="1" t="s">
        <v>2233</v>
      </c>
      <c r="G1386" s="1" t="s">
        <v>23</v>
      </c>
      <c r="I1386" s="18">
        <v>40808.669618055559</v>
      </c>
      <c r="J1386" s="1" t="s">
        <v>40</v>
      </c>
      <c r="K1386" s="1" t="s">
        <v>18</v>
      </c>
      <c r="L1386" s="1" t="s">
        <v>19</v>
      </c>
      <c r="M1386" s="1">
        <v>99296</v>
      </c>
      <c r="N1386" s="1" t="s">
        <v>2234</v>
      </c>
      <c r="O1386" s="18">
        <v>40822.29315972222</v>
      </c>
      <c r="P1386" s="1" t="s">
        <v>44</v>
      </c>
      <c r="Q1386" s="21">
        <f t="shared" si="22"/>
        <v>13.623541666660458</v>
      </c>
      <c r="R1386" s="1">
        <v>98672</v>
      </c>
      <c r="S1386" s="1" t="s">
        <v>2234</v>
      </c>
      <c r="T1386" s="2" t="s">
        <v>4170</v>
      </c>
      <c r="U1386" s="1" t="s">
        <v>2235</v>
      </c>
      <c r="V1386" s="1"/>
    </row>
    <row r="1387" spans="1:22" x14ac:dyDescent="0.15">
      <c r="A1387" s="1">
        <v>97599</v>
      </c>
      <c r="B1387" s="1">
        <v>0</v>
      </c>
      <c r="C1387" s="1" t="s">
        <v>26</v>
      </c>
      <c r="D1387" s="1" t="s">
        <v>27</v>
      </c>
      <c r="E1387" s="1" t="s">
        <v>627</v>
      </c>
      <c r="F1387" s="1" t="s">
        <v>628</v>
      </c>
      <c r="G1387" s="1" t="s">
        <v>23</v>
      </c>
      <c r="I1387" s="18">
        <v>40808.647673611114</v>
      </c>
      <c r="J1387" s="1" t="s">
        <v>40</v>
      </c>
      <c r="K1387" s="1" t="s">
        <v>18</v>
      </c>
      <c r="L1387" s="1" t="s">
        <v>19</v>
      </c>
      <c r="Q1387" s="21"/>
    </row>
    <row r="1388" spans="1:22" x14ac:dyDescent="0.15">
      <c r="A1388" s="1">
        <v>97546</v>
      </c>
      <c r="B1388" s="1">
        <v>0</v>
      </c>
      <c r="C1388" s="1" t="s">
        <v>26</v>
      </c>
      <c r="D1388" s="1" t="s">
        <v>27</v>
      </c>
      <c r="E1388" s="1" t="s">
        <v>2588</v>
      </c>
      <c r="F1388" s="1" t="s">
        <v>2589</v>
      </c>
      <c r="G1388" s="1" t="s">
        <v>23</v>
      </c>
      <c r="I1388" s="18">
        <v>40808.112800925926</v>
      </c>
      <c r="J1388" s="1" t="s">
        <v>40</v>
      </c>
      <c r="K1388" s="1" t="s">
        <v>18</v>
      </c>
      <c r="L1388" s="1" t="s">
        <v>19</v>
      </c>
      <c r="Q1388" s="21"/>
    </row>
    <row r="1389" spans="1:22" x14ac:dyDescent="0.15">
      <c r="A1389" s="1">
        <v>97148</v>
      </c>
      <c r="B1389" s="1">
        <v>0</v>
      </c>
      <c r="C1389" s="1" t="s">
        <v>3191</v>
      </c>
      <c r="D1389" s="1" t="s">
        <v>27</v>
      </c>
      <c r="E1389" s="1" t="s">
        <v>3192</v>
      </c>
      <c r="F1389" s="1" t="s">
        <v>3193</v>
      </c>
      <c r="G1389" s="1" t="s">
        <v>23</v>
      </c>
      <c r="I1389" s="18">
        <v>40805.926180555558</v>
      </c>
      <c r="J1389" s="1" t="s">
        <v>3194</v>
      </c>
      <c r="K1389" s="1" t="s">
        <v>18</v>
      </c>
      <c r="L1389" s="1" t="s">
        <v>19</v>
      </c>
      <c r="Q1389" s="21"/>
    </row>
    <row r="1390" spans="1:22" x14ac:dyDescent="0.15">
      <c r="A1390" s="1">
        <v>97006</v>
      </c>
      <c r="B1390" s="1">
        <v>0</v>
      </c>
      <c r="C1390" s="1" t="s">
        <v>26</v>
      </c>
      <c r="D1390" s="1" t="s">
        <v>27</v>
      </c>
      <c r="E1390" s="1" t="s">
        <v>3288</v>
      </c>
      <c r="F1390" s="1" t="s">
        <v>3289</v>
      </c>
      <c r="G1390" s="1" t="s">
        <v>23</v>
      </c>
      <c r="I1390" s="18">
        <v>40804.269791666666</v>
      </c>
      <c r="J1390" s="1" t="s">
        <v>40</v>
      </c>
      <c r="K1390" s="1" t="s">
        <v>18</v>
      </c>
      <c r="L1390" s="1" t="s">
        <v>19</v>
      </c>
      <c r="Q1390" s="21"/>
    </row>
    <row r="1391" spans="1:22" x14ac:dyDescent="0.15">
      <c r="A1391" s="1">
        <v>96902</v>
      </c>
      <c r="B1391" s="1">
        <v>0</v>
      </c>
      <c r="C1391" s="1" t="s">
        <v>26</v>
      </c>
      <c r="D1391" s="1" t="s">
        <v>27</v>
      </c>
      <c r="E1391" s="1" t="s">
        <v>1972</v>
      </c>
      <c r="F1391" s="1" t="s">
        <v>1973</v>
      </c>
      <c r="G1391" s="1" t="s">
        <v>23</v>
      </c>
      <c r="I1391" s="18">
        <v>40802.872928240744</v>
      </c>
      <c r="J1391" s="1" t="s">
        <v>44</v>
      </c>
      <c r="K1391" s="1" t="s">
        <v>18</v>
      </c>
      <c r="L1391" s="1" t="s">
        <v>19</v>
      </c>
      <c r="Q1391" s="21"/>
    </row>
    <row r="1392" spans="1:22" x14ac:dyDescent="0.15">
      <c r="A1392" s="1">
        <v>96665</v>
      </c>
      <c r="B1392" s="1">
        <v>0</v>
      </c>
      <c r="C1392" s="1" t="s">
        <v>26</v>
      </c>
      <c r="D1392" s="1" t="s">
        <v>27</v>
      </c>
      <c r="E1392" s="1" t="s">
        <v>93</v>
      </c>
      <c r="F1392" s="1" t="s">
        <v>94</v>
      </c>
      <c r="G1392" s="1" t="s">
        <v>23</v>
      </c>
      <c r="I1392" s="18">
        <v>40801.327627314815</v>
      </c>
      <c r="J1392" s="1" t="s">
        <v>40</v>
      </c>
      <c r="K1392" s="1" t="s">
        <v>18</v>
      </c>
      <c r="L1392" s="1" t="s">
        <v>19</v>
      </c>
      <c r="Q1392" s="21"/>
    </row>
    <row r="1393" spans="1:22" x14ac:dyDescent="0.15">
      <c r="A1393" s="1">
        <v>96444</v>
      </c>
      <c r="B1393" s="1">
        <v>0</v>
      </c>
      <c r="C1393" s="1" t="s">
        <v>26</v>
      </c>
      <c r="D1393" s="1" t="s">
        <v>27</v>
      </c>
      <c r="E1393" s="1" t="s">
        <v>3411</v>
      </c>
      <c r="F1393" s="1" t="s">
        <v>359</v>
      </c>
      <c r="G1393" s="1" t="s">
        <v>23</v>
      </c>
      <c r="I1393" s="18">
        <v>40799.698055555556</v>
      </c>
      <c r="J1393" s="1" t="s">
        <v>40</v>
      </c>
      <c r="K1393" s="1" t="s">
        <v>18</v>
      </c>
      <c r="L1393" s="1" t="s">
        <v>19</v>
      </c>
      <c r="Q1393" s="21"/>
    </row>
    <row r="1394" spans="1:22" x14ac:dyDescent="0.15">
      <c r="A1394" s="1">
        <v>96292</v>
      </c>
      <c r="B1394" s="1">
        <v>0</v>
      </c>
      <c r="C1394" s="1" t="s">
        <v>50</v>
      </c>
      <c r="D1394" s="1" t="s">
        <v>27</v>
      </c>
      <c r="E1394" s="1" t="s">
        <v>51</v>
      </c>
      <c r="F1394" s="1" t="s">
        <v>52</v>
      </c>
      <c r="G1394" s="1" t="s">
        <v>23</v>
      </c>
      <c r="I1394" s="18">
        <v>40798.77480324074</v>
      </c>
      <c r="J1394" s="1" t="s">
        <v>40</v>
      </c>
      <c r="K1394" s="1" t="s">
        <v>18</v>
      </c>
      <c r="L1394" s="1" t="s">
        <v>19</v>
      </c>
      <c r="Q1394" s="21"/>
    </row>
    <row r="1395" spans="1:22" x14ac:dyDescent="0.15">
      <c r="A1395" s="1">
        <v>96150</v>
      </c>
      <c r="B1395" s="1">
        <v>0</v>
      </c>
      <c r="C1395" s="1" t="s">
        <v>26</v>
      </c>
      <c r="D1395" s="1" t="s">
        <v>27</v>
      </c>
      <c r="E1395" s="1" t="s">
        <v>3365</v>
      </c>
      <c r="F1395" s="1" t="s">
        <v>3366</v>
      </c>
      <c r="G1395" s="1" t="s">
        <v>23</v>
      </c>
      <c r="I1395" s="18">
        <v>40796.701111111113</v>
      </c>
      <c r="J1395" s="1" t="s">
        <v>40</v>
      </c>
      <c r="K1395" s="1" t="s">
        <v>18</v>
      </c>
      <c r="L1395" s="1" t="s">
        <v>19</v>
      </c>
      <c r="Q1395" s="21"/>
    </row>
    <row r="1396" spans="1:22" x14ac:dyDescent="0.15">
      <c r="A1396" s="1">
        <v>96131</v>
      </c>
      <c r="B1396" s="1">
        <v>1</v>
      </c>
      <c r="C1396" s="1" t="s">
        <v>843</v>
      </c>
      <c r="D1396" s="1" t="s">
        <v>27</v>
      </c>
      <c r="E1396" s="1" t="s">
        <v>1019</v>
      </c>
      <c r="F1396" s="1" t="s">
        <v>1020</v>
      </c>
      <c r="G1396" s="1" t="s">
        <v>540</v>
      </c>
      <c r="I1396" s="18">
        <v>40796.338391203702</v>
      </c>
      <c r="J1396" s="1" t="s">
        <v>1021</v>
      </c>
      <c r="K1396" s="1" t="s">
        <v>18</v>
      </c>
      <c r="L1396" s="1" t="s">
        <v>19</v>
      </c>
      <c r="M1396" s="1">
        <v>96542</v>
      </c>
      <c r="N1396" s="1" t="s">
        <v>1022</v>
      </c>
      <c r="O1396" s="18">
        <v>40800.246215277781</v>
      </c>
      <c r="P1396" s="1" t="s">
        <v>1023</v>
      </c>
      <c r="Q1396" s="21">
        <f t="shared" si="22"/>
        <v>3.9078240740782348</v>
      </c>
      <c r="R1396" s="1"/>
    </row>
    <row r="1397" spans="1:22" x14ac:dyDescent="0.15">
      <c r="A1397" s="1">
        <v>95920</v>
      </c>
      <c r="B1397" s="1">
        <v>0</v>
      </c>
      <c r="C1397" s="1" t="s">
        <v>145</v>
      </c>
      <c r="D1397" s="1" t="s">
        <v>27</v>
      </c>
      <c r="E1397" s="1" t="s">
        <v>956</v>
      </c>
      <c r="F1397" s="1" t="s">
        <v>957</v>
      </c>
      <c r="G1397" s="1"/>
      <c r="H1397" s="1"/>
      <c r="I1397" s="18">
        <v>40794.957916666666</v>
      </c>
      <c r="J1397" s="1" t="s">
        <v>958</v>
      </c>
      <c r="K1397" s="1" t="s">
        <v>18</v>
      </c>
      <c r="L1397" s="1" t="s">
        <v>19</v>
      </c>
      <c r="Q1397" s="21"/>
    </row>
    <row r="1398" spans="1:22" x14ac:dyDescent="0.15">
      <c r="A1398" s="1">
        <v>95841</v>
      </c>
      <c r="B1398" s="1">
        <v>0</v>
      </c>
      <c r="C1398" s="1" t="s">
        <v>26</v>
      </c>
      <c r="D1398" s="1" t="s">
        <v>3911</v>
      </c>
      <c r="E1398" s="1" t="s">
        <v>3940</v>
      </c>
      <c r="F1398" s="1" t="s">
        <v>3941</v>
      </c>
      <c r="G1398" s="1" t="s">
        <v>23</v>
      </c>
      <c r="I1398" s="18">
        <v>40794.710104166668</v>
      </c>
      <c r="J1398" s="1" t="s">
        <v>40</v>
      </c>
      <c r="K1398" s="1" t="s">
        <v>18</v>
      </c>
      <c r="L1398" s="1" t="s">
        <v>19</v>
      </c>
      <c r="Q1398" s="21"/>
    </row>
    <row r="1399" spans="1:22" x14ac:dyDescent="0.15">
      <c r="A1399" s="1">
        <v>95761</v>
      </c>
      <c r="B1399" s="1">
        <v>1</v>
      </c>
      <c r="C1399" s="1" t="s">
        <v>26</v>
      </c>
      <c r="D1399" s="1" t="s">
        <v>27</v>
      </c>
      <c r="E1399" s="1" t="s">
        <v>1690</v>
      </c>
      <c r="F1399" s="1" t="s">
        <v>94</v>
      </c>
      <c r="G1399" s="1" t="s">
        <v>23</v>
      </c>
      <c r="I1399" s="18">
        <v>40794.133148148147</v>
      </c>
      <c r="J1399" s="1" t="s">
        <v>40</v>
      </c>
      <c r="K1399" s="1" t="s">
        <v>18</v>
      </c>
      <c r="L1399" s="1" t="s">
        <v>19</v>
      </c>
      <c r="M1399" s="1">
        <v>84770</v>
      </c>
      <c r="N1399" s="1" t="s">
        <v>1691</v>
      </c>
      <c r="O1399" s="18">
        <v>40696.869560185187</v>
      </c>
      <c r="P1399" s="1" t="s">
        <v>552</v>
      </c>
      <c r="Q1399" s="21">
        <f t="shared" si="22"/>
        <v>97.263587962959718</v>
      </c>
      <c r="R1399" s="1"/>
    </row>
    <row r="1400" spans="1:22" x14ac:dyDescent="0.15">
      <c r="A1400" s="1">
        <v>95672</v>
      </c>
      <c r="B1400" s="1">
        <v>0</v>
      </c>
      <c r="C1400" s="1" t="s">
        <v>26</v>
      </c>
      <c r="D1400" s="1" t="s">
        <v>27</v>
      </c>
      <c r="E1400" s="1" t="s">
        <v>1488</v>
      </c>
      <c r="F1400" s="1" t="s">
        <v>1489</v>
      </c>
      <c r="G1400" s="1" t="s">
        <v>23</v>
      </c>
      <c r="I1400" s="18">
        <v>40793.693657407406</v>
      </c>
      <c r="J1400" s="1" t="s">
        <v>40</v>
      </c>
      <c r="K1400" s="1" t="s">
        <v>18</v>
      </c>
      <c r="L1400" s="1" t="s">
        <v>19</v>
      </c>
      <c r="Q1400" s="21"/>
    </row>
    <row r="1401" spans="1:22" x14ac:dyDescent="0.15">
      <c r="A1401" s="1">
        <v>95520</v>
      </c>
      <c r="B1401" s="1">
        <v>0</v>
      </c>
      <c r="C1401" s="1" t="s">
        <v>26</v>
      </c>
      <c r="D1401" s="1" t="s">
        <v>27</v>
      </c>
      <c r="E1401" s="1" t="s">
        <v>893</v>
      </c>
      <c r="F1401" s="1" t="s">
        <v>894</v>
      </c>
      <c r="G1401" s="1" t="s">
        <v>23</v>
      </c>
      <c r="I1401" s="18">
        <v>40792.74659722222</v>
      </c>
      <c r="J1401" s="1" t="s">
        <v>40</v>
      </c>
      <c r="K1401" s="1" t="s">
        <v>18</v>
      </c>
      <c r="L1401" s="1" t="s">
        <v>19</v>
      </c>
      <c r="Q1401" s="21"/>
    </row>
    <row r="1402" spans="1:22" x14ac:dyDescent="0.15">
      <c r="A1402" s="1">
        <v>95499</v>
      </c>
      <c r="B1402" s="1">
        <v>0</v>
      </c>
      <c r="C1402" s="1" t="s">
        <v>26</v>
      </c>
      <c r="D1402" s="1" t="s">
        <v>27</v>
      </c>
      <c r="E1402" s="1" t="s">
        <v>1838</v>
      </c>
      <c r="F1402" s="1" t="s">
        <v>1839</v>
      </c>
      <c r="G1402" s="1" t="s">
        <v>23</v>
      </c>
      <c r="I1402" s="18">
        <v>40792.68650462963</v>
      </c>
      <c r="J1402" s="1" t="s">
        <v>40</v>
      </c>
      <c r="K1402" s="1" t="s">
        <v>18</v>
      </c>
      <c r="L1402" s="1" t="s">
        <v>19</v>
      </c>
      <c r="Q1402" s="21"/>
    </row>
    <row r="1403" spans="1:22" x14ac:dyDescent="0.15">
      <c r="A1403" s="1">
        <v>95360</v>
      </c>
      <c r="B1403" s="1">
        <v>0</v>
      </c>
      <c r="C1403" s="1" t="s">
        <v>26</v>
      </c>
      <c r="D1403" s="1" t="s">
        <v>27</v>
      </c>
      <c r="E1403" s="1" t="s">
        <v>427</v>
      </c>
      <c r="F1403" s="1" t="s">
        <v>428</v>
      </c>
      <c r="G1403" s="1" t="s">
        <v>23</v>
      </c>
      <c r="I1403" s="18">
        <v>40790.21130787037</v>
      </c>
      <c r="J1403" s="1" t="s">
        <v>40</v>
      </c>
      <c r="K1403" s="1" t="s">
        <v>18</v>
      </c>
      <c r="L1403" s="1" t="s">
        <v>19</v>
      </c>
      <c r="Q1403" s="21"/>
    </row>
    <row r="1404" spans="1:22" x14ac:dyDescent="0.15">
      <c r="A1404" s="1">
        <v>95359</v>
      </c>
      <c r="B1404" s="1">
        <v>1</v>
      </c>
      <c r="C1404" s="1" t="s">
        <v>26</v>
      </c>
      <c r="D1404" s="1" t="s">
        <v>27</v>
      </c>
      <c r="E1404" s="1" t="s">
        <v>3261</v>
      </c>
      <c r="F1404" s="1" t="s">
        <v>888</v>
      </c>
      <c r="G1404" s="1" t="s">
        <v>23</v>
      </c>
      <c r="I1404" s="18">
        <v>40790.208854166667</v>
      </c>
      <c r="J1404" s="1" t="s">
        <v>40</v>
      </c>
      <c r="K1404" s="1" t="s">
        <v>18</v>
      </c>
      <c r="L1404" s="1" t="s">
        <v>19</v>
      </c>
      <c r="M1404" s="1">
        <v>95423</v>
      </c>
      <c r="N1404" s="1" t="s">
        <v>3262</v>
      </c>
      <c r="O1404" s="18">
        <v>40791.56391203704</v>
      </c>
      <c r="P1404" s="1" t="s">
        <v>3263</v>
      </c>
      <c r="Q1404" s="21">
        <f t="shared" si="22"/>
        <v>1.3550578703725478</v>
      </c>
      <c r="R1404" s="1"/>
    </row>
    <row r="1405" spans="1:22" x14ac:dyDescent="0.15">
      <c r="A1405" s="1">
        <v>95072</v>
      </c>
      <c r="B1405" s="1">
        <v>2</v>
      </c>
      <c r="C1405" s="1" t="s">
        <v>26</v>
      </c>
      <c r="D1405" s="1" t="s">
        <v>27</v>
      </c>
      <c r="E1405" s="1" t="s">
        <v>2055</v>
      </c>
      <c r="F1405" s="1" t="s">
        <v>2056</v>
      </c>
      <c r="G1405" s="1" t="s">
        <v>23</v>
      </c>
      <c r="I1405" s="18">
        <v>40787.72</v>
      </c>
      <c r="J1405" s="1" t="s">
        <v>40</v>
      </c>
      <c r="K1405" s="1" t="s">
        <v>18</v>
      </c>
      <c r="L1405" s="1" t="s">
        <v>19</v>
      </c>
      <c r="M1405" s="1">
        <v>99232</v>
      </c>
      <c r="N1405" s="1" t="s">
        <v>2057</v>
      </c>
      <c r="O1405" s="18">
        <v>40821.851319444446</v>
      </c>
      <c r="P1405" s="1" t="s">
        <v>408</v>
      </c>
      <c r="Q1405" s="21">
        <f t="shared" si="22"/>
        <v>34.131319444444671</v>
      </c>
      <c r="R1405" s="1">
        <v>96958</v>
      </c>
      <c r="S1405" s="1" t="s">
        <v>2057</v>
      </c>
      <c r="T1405" s="2" t="s">
        <v>4169</v>
      </c>
      <c r="U1405" s="1" t="s">
        <v>261</v>
      </c>
      <c r="V1405" s="1"/>
    </row>
    <row r="1406" spans="1:22" x14ac:dyDescent="0.15">
      <c r="A1406" s="1">
        <v>94810</v>
      </c>
      <c r="B1406" s="1">
        <v>0</v>
      </c>
      <c r="C1406" s="1" t="s">
        <v>26</v>
      </c>
      <c r="D1406" s="1" t="s">
        <v>27</v>
      </c>
      <c r="E1406" s="1" t="s">
        <v>3199</v>
      </c>
      <c r="F1406" s="1" t="s">
        <v>359</v>
      </c>
      <c r="G1406" s="1" t="s">
        <v>23</v>
      </c>
      <c r="I1406" s="18">
        <v>40785.922233796293</v>
      </c>
      <c r="J1406" s="1" t="s">
        <v>40</v>
      </c>
      <c r="K1406" s="1" t="s">
        <v>18</v>
      </c>
      <c r="L1406" s="1" t="s">
        <v>19</v>
      </c>
      <c r="Q1406" s="21"/>
    </row>
    <row r="1407" spans="1:22" x14ac:dyDescent="0.15">
      <c r="A1407" s="1">
        <v>94809</v>
      </c>
      <c r="B1407" s="1">
        <v>0</v>
      </c>
      <c r="C1407" s="1" t="s">
        <v>26</v>
      </c>
      <c r="D1407" s="1" t="s">
        <v>27</v>
      </c>
      <c r="E1407" s="1" t="s">
        <v>358</v>
      </c>
      <c r="F1407" s="1" t="s">
        <v>359</v>
      </c>
      <c r="G1407" s="1" t="s">
        <v>23</v>
      </c>
      <c r="I1407" s="18">
        <v>40785.915000000001</v>
      </c>
      <c r="J1407" s="1" t="s">
        <v>40</v>
      </c>
      <c r="K1407" s="1" t="s">
        <v>18</v>
      </c>
      <c r="L1407" s="1" t="s">
        <v>19</v>
      </c>
      <c r="Q1407" s="21"/>
    </row>
    <row r="1408" spans="1:22" x14ac:dyDescent="0.15">
      <c r="A1408" s="1">
        <v>94273</v>
      </c>
      <c r="B1408" s="1">
        <v>0</v>
      </c>
      <c r="C1408" s="1" t="s">
        <v>26</v>
      </c>
      <c r="D1408" s="1" t="s">
        <v>27</v>
      </c>
      <c r="E1408" s="1" t="s">
        <v>387</v>
      </c>
      <c r="F1408" s="1" t="s">
        <v>388</v>
      </c>
      <c r="G1408" s="1"/>
      <c r="H1408" s="1"/>
      <c r="I1408" s="18">
        <v>40780.770185185182</v>
      </c>
      <c r="J1408" s="1" t="s">
        <v>389</v>
      </c>
      <c r="K1408" s="1" t="s">
        <v>18</v>
      </c>
      <c r="L1408" s="1" t="s">
        <v>19</v>
      </c>
      <c r="Q1408" s="21"/>
    </row>
    <row r="1409" spans="1:22" x14ac:dyDescent="0.15">
      <c r="A1409" s="1">
        <v>93788</v>
      </c>
      <c r="B1409" s="1">
        <v>0</v>
      </c>
      <c r="C1409" s="1" t="s">
        <v>133</v>
      </c>
      <c r="D1409" s="1" t="s">
        <v>27</v>
      </c>
      <c r="E1409" s="1" t="s">
        <v>2818</v>
      </c>
      <c r="F1409" s="1" t="s">
        <v>2819</v>
      </c>
      <c r="G1409" s="1" t="s">
        <v>23</v>
      </c>
      <c r="I1409" s="18">
        <v>40777.866805555554</v>
      </c>
      <c r="J1409" s="1" t="s">
        <v>44</v>
      </c>
      <c r="K1409" s="1" t="s">
        <v>18</v>
      </c>
      <c r="L1409" s="1" t="s">
        <v>19</v>
      </c>
      <c r="Q1409" s="21"/>
    </row>
    <row r="1410" spans="1:22" x14ac:dyDescent="0.15">
      <c r="A1410" s="1">
        <v>93587</v>
      </c>
      <c r="B1410" s="1">
        <v>1</v>
      </c>
      <c r="C1410" s="1" t="s">
        <v>26</v>
      </c>
      <c r="D1410" s="1" t="s">
        <v>27</v>
      </c>
      <c r="E1410" s="1" t="s">
        <v>1900</v>
      </c>
      <c r="F1410" s="1" t="s">
        <v>1901</v>
      </c>
      <c r="G1410" s="1" t="s">
        <v>23</v>
      </c>
      <c r="I1410" s="18">
        <v>40775.218032407407</v>
      </c>
      <c r="J1410" s="1" t="s">
        <v>40</v>
      </c>
      <c r="K1410" s="1" t="s">
        <v>18</v>
      </c>
      <c r="L1410" s="1" t="s">
        <v>19</v>
      </c>
      <c r="M1410" s="1">
        <v>93132</v>
      </c>
      <c r="N1410" s="1" t="s">
        <v>1902</v>
      </c>
      <c r="O1410" s="18">
        <v>40771.863171296296</v>
      </c>
      <c r="P1410" s="1" t="s">
        <v>44</v>
      </c>
      <c r="Q1410" s="21">
        <f t="shared" si="22"/>
        <v>3.3548611111109494</v>
      </c>
      <c r="R1410" s="1"/>
    </row>
    <row r="1411" spans="1:22" x14ac:dyDescent="0.15">
      <c r="A1411" s="1">
        <v>93420</v>
      </c>
      <c r="B1411" s="1">
        <v>0</v>
      </c>
      <c r="C1411" s="1" t="s">
        <v>26</v>
      </c>
      <c r="D1411" s="1" t="s">
        <v>27</v>
      </c>
      <c r="E1411" s="1" t="s">
        <v>1716</v>
      </c>
      <c r="F1411" s="1" t="s">
        <v>1717</v>
      </c>
      <c r="G1411" s="1" t="s">
        <v>23</v>
      </c>
      <c r="I1411" s="18">
        <v>40773.878148148149</v>
      </c>
      <c r="J1411" s="1" t="s">
        <v>44</v>
      </c>
      <c r="K1411" s="1" t="s">
        <v>18</v>
      </c>
      <c r="L1411" s="1" t="s">
        <v>19</v>
      </c>
      <c r="Q1411" s="21"/>
    </row>
    <row r="1412" spans="1:22" x14ac:dyDescent="0.15">
      <c r="A1412" s="1">
        <v>93416</v>
      </c>
      <c r="B1412" s="1">
        <v>0</v>
      </c>
      <c r="D1412" s="1" t="s">
        <v>27</v>
      </c>
      <c r="E1412" s="1" t="s">
        <v>2372</v>
      </c>
      <c r="F1412" s="1" t="s">
        <v>2373</v>
      </c>
      <c r="G1412" s="1"/>
      <c r="H1412" s="1"/>
      <c r="I1412" s="18">
        <v>40773.865706018521</v>
      </c>
      <c r="J1412" s="1" t="s">
        <v>279</v>
      </c>
      <c r="K1412" s="1" t="s">
        <v>18</v>
      </c>
      <c r="L1412" s="1" t="s">
        <v>19</v>
      </c>
      <c r="Q1412" s="21"/>
    </row>
    <row r="1413" spans="1:22" x14ac:dyDescent="0.15">
      <c r="A1413" s="1">
        <v>93106</v>
      </c>
      <c r="B1413" s="1">
        <v>1</v>
      </c>
      <c r="C1413" s="1" t="s">
        <v>2454</v>
      </c>
      <c r="D1413" s="1" t="s">
        <v>27</v>
      </c>
      <c r="E1413" s="1" t="s">
        <v>2455</v>
      </c>
      <c r="F1413" s="1" t="s">
        <v>2456</v>
      </c>
      <c r="G1413" s="1" t="s">
        <v>23</v>
      </c>
      <c r="I1413" s="18">
        <v>40771.775462962964</v>
      </c>
      <c r="J1413" s="1" t="s">
        <v>2457</v>
      </c>
      <c r="K1413" s="1" t="s">
        <v>18</v>
      </c>
      <c r="L1413" s="1" t="s">
        <v>19</v>
      </c>
      <c r="M1413" s="1">
        <v>97050</v>
      </c>
      <c r="N1413" s="1" t="s">
        <v>2458</v>
      </c>
      <c r="O1413" s="18">
        <v>40804.933217592596</v>
      </c>
      <c r="P1413" s="1" t="s">
        <v>860</v>
      </c>
      <c r="Q1413" s="21">
        <f t="shared" si="22"/>
        <v>33.157754629632109</v>
      </c>
      <c r="R1413" s="1"/>
    </row>
    <row r="1414" spans="1:22" x14ac:dyDescent="0.15">
      <c r="A1414" s="1">
        <v>92959</v>
      </c>
      <c r="B1414" s="1">
        <v>0</v>
      </c>
      <c r="C1414" s="1" t="s">
        <v>26</v>
      </c>
      <c r="D1414" s="1" t="s">
        <v>27</v>
      </c>
      <c r="E1414" s="1" t="s">
        <v>3299</v>
      </c>
      <c r="F1414" s="1" t="s">
        <v>3300</v>
      </c>
      <c r="G1414" s="1" t="s">
        <v>23</v>
      </c>
      <c r="I1414" s="18">
        <v>40770.921747685185</v>
      </c>
      <c r="J1414" s="1" t="s">
        <v>544</v>
      </c>
      <c r="K1414" s="1" t="s">
        <v>18</v>
      </c>
      <c r="L1414" s="1" t="s">
        <v>19</v>
      </c>
      <c r="Q1414" s="21"/>
    </row>
    <row r="1415" spans="1:22" x14ac:dyDescent="0.15">
      <c r="A1415" s="1">
        <v>92769</v>
      </c>
      <c r="B1415" s="1">
        <v>0</v>
      </c>
      <c r="C1415" s="1" t="s">
        <v>26</v>
      </c>
      <c r="D1415" s="1" t="s">
        <v>27</v>
      </c>
      <c r="E1415" s="1" t="s">
        <v>562</v>
      </c>
      <c r="F1415" s="1" t="s">
        <v>563</v>
      </c>
      <c r="G1415" s="1" t="s">
        <v>23</v>
      </c>
      <c r="I1415" s="18">
        <v>40768.609027777777</v>
      </c>
      <c r="J1415" s="1" t="s">
        <v>40</v>
      </c>
      <c r="K1415" s="1" t="s">
        <v>18</v>
      </c>
      <c r="L1415" s="1" t="s">
        <v>19</v>
      </c>
      <c r="Q1415" s="21"/>
    </row>
    <row r="1416" spans="1:22" x14ac:dyDescent="0.15">
      <c r="A1416" s="1">
        <v>92651</v>
      </c>
      <c r="B1416" s="1">
        <v>2</v>
      </c>
      <c r="C1416" s="1" t="s">
        <v>26</v>
      </c>
      <c r="D1416" s="1" t="s">
        <v>27</v>
      </c>
      <c r="E1416" s="1" t="s">
        <v>3033</v>
      </c>
      <c r="F1416" s="1" t="s">
        <v>3034</v>
      </c>
      <c r="G1416" s="1" t="s">
        <v>23</v>
      </c>
      <c r="I1416" s="18">
        <v>40767.60633101852</v>
      </c>
      <c r="J1416" s="1" t="s">
        <v>40</v>
      </c>
      <c r="K1416" s="1" t="s">
        <v>18</v>
      </c>
      <c r="L1416" s="1" t="s">
        <v>19</v>
      </c>
      <c r="M1416" s="1">
        <v>94427</v>
      </c>
      <c r="N1416" s="1" t="s">
        <v>3035</v>
      </c>
      <c r="O1416" s="18">
        <v>40781.85528935185</v>
      </c>
      <c r="P1416" s="1" t="s">
        <v>44</v>
      </c>
      <c r="Q1416" s="21">
        <f t="shared" ref="Q1416:Q1477" si="23">ABS(O1416-I1416)</f>
        <v>14.248958333329938</v>
      </c>
      <c r="R1416" s="1">
        <v>91275</v>
      </c>
      <c r="S1416" s="1" t="s">
        <v>3035</v>
      </c>
      <c r="T1416" s="4" t="s">
        <v>4185</v>
      </c>
      <c r="U1416" s="1" t="s">
        <v>261</v>
      </c>
      <c r="V1416" s="1"/>
    </row>
    <row r="1417" spans="1:22" x14ac:dyDescent="0.15">
      <c r="A1417" s="1">
        <v>92621</v>
      </c>
      <c r="B1417" s="1">
        <v>0</v>
      </c>
      <c r="C1417" s="1" t="s">
        <v>26</v>
      </c>
      <c r="D1417" s="1" t="s">
        <v>27</v>
      </c>
      <c r="E1417" s="1" t="s">
        <v>1107</v>
      </c>
      <c r="F1417" s="1" t="s">
        <v>1108</v>
      </c>
      <c r="G1417" s="1" t="s">
        <v>23</v>
      </c>
      <c r="I1417" s="18">
        <v>40767.301585648151</v>
      </c>
      <c r="J1417" s="1" t="s">
        <v>40</v>
      </c>
      <c r="K1417" s="1" t="s">
        <v>18</v>
      </c>
      <c r="L1417" s="1" t="s">
        <v>19</v>
      </c>
      <c r="Q1417" s="21"/>
    </row>
    <row r="1418" spans="1:22" x14ac:dyDescent="0.15">
      <c r="A1418" s="1">
        <v>92226</v>
      </c>
      <c r="B1418" s="1">
        <v>1</v>
      </c>
      <c r="C1418" s="1" t="s">
        <v>26</v>
      </c>
      <c r="D1418" s="1" t="s">
        <v>27</v>
      </c>
      <c r="E1418" s="1" t="s">
        <v>2694</v>
      </c>
      <c r="F1418" s="1" t="s">
        <v>359</v>
      </c>
      <c r="G1418" s="1" t="s">
        <v>23</v>
      </c>
      <c r="I1418" s="18">
        <v>40764.892743055556</v>
      </c>
      <c r="J1418" s="1" t="s">
        <v>40</v>
      </c>
      <c r="K1418" s="1" t="s">
        <v>18</v>
      </c>
      <c r="L1418" s="1" t="s">
        <v>19</v>
      </c>
      <c r="M1418" s="1">
        <v>93134</v>
      </c>
      <c r="N1418" s="1" t="s">
        <v>2695</v>
      </c>
      <c r="O1418" s="18">
        <v>40771.869270833333</v>
      </c>
      <c r="P1418" s="1" t="s">
        <v>44</v>
      </c>
      <c r="Q1418" s="21">
        <f t="shared" si="23"/>
        <v>6.976527777776937</v>
      </c>
      <c r="R1418" s="1"/>
    </row>
    <row r="1419" spans="1:22" x14ac:dyDescent="0.15">
      <c r="A1419" s="1">
        <v>91972</v>
      </c>
      <c r="B1419" s="1">
        <v>0</v>
      </c>
      <c r="C1419" s="1" t="s">
        <v>26</v>
      </c>
      <c r="D1419" s="1" t="s">
        <v>27</v>
      </c>
      <c r="E1419" s="1" t="s">
        <v>1049</v>
      </c>
      <c r="F1419" s="1" t="s">
        <v>1050</v>
      </c>
      <c r="G1419" s="1" t="s">
        <v>23</v>
      </c>
      <c r="I1419" s="18">
        <v>40762.645150462966</v>
      </c>
      <c r="J1419" s="1" t="s">
        <v>40</v>
      </c>
      <c r="K1419" s="1" t="s">
        <v>18</v>
      </c>
      <c r="L1419" s="1" t="s">
        <v>19</v>
      </c>
      <c r="Q1419" s="21"/>
    </row>
    <row r="1420" spans="1:22" x14ac:dyDescent="0.15">
      <c r="A1420" s="1">
        <v>91921</v>
      </c>
      <c r="B1420" s="1">
        <v>0</v>
      </c>
      <c r="C1420" s="1" t="s">
        <v>26</v>
      </c>
      <c r="D1420" s="1" t="s">
        <v>27</v>
      </c>
      <c r="E1420" s="1" t="s">
        <v>2629</v>
      </c>
      <c r="F1420" s="1" t="s">
        <v>359</v>
      </c>
      <c r="G1420" s="1" t="s">
        <v>23</v>
      </c>
      <c r="I1420" s="18">
        <v>40761.602418981478</v>
      </c>
      <c r="J1420" s="1" t="s">
        <v>40</v>
      </c>
      <c r="K1420" s="1" t="s">
        <v>18</v>
      </c>
      <c r="L1420" s="1" t="s">
        <v>19</v>
      </c>
      <c r="Q1420" s="21"/>
    </row>
    <row r="1421" spans="1:22" x14ac:dyDescent="0.15">
      <c r="A1421" s="1">
        <v>91911</v>
      </c>
      <c r="B1421" s="1">
        <v>1</v>
      </c>
      <c r="C1421" s="1" t="s">
        <v>26</v>
      </c>
      <c r="D1421" s="1" t="s">
        <v>27</v>
      </c>
      <c r="E1421" s="1" t="s">
        <v>2176</v>
      </c>
      <c r="F1421" s="1" t="s">
        <v>3061</v>
      </c>
      <c r="G1421" s="1" t="s">
        <v>23</v>
      </c>
      <c r="I1421" s="18">
        <v>40761.322650462964</v>
      </c>
      <c r="J1421" s="1" t="s">
        <v>40</v>
      </c>
      <c r="K1421" s="1" t="s">
        <v>18</v>
      </c>
      <c r="L1421" s="1" t="s">
        <v>19</v>
      </c>
      <c r="M1421" s="1">
        <v>100002</v>
      </c>
      <c r="N1421" s="1" t="s">
        <v>3062</v>
      </c>
      <c r="O1421" s="18">
        <v>40828.25403935185</v>
      </c>
      <c r="P1421" s="1" t="s">
        <v>44</v>
      </c>
      <c r="Q1421" s="21">
        <f t="shared" si="23"/>
        <v>66.931388888886431</v>
      </c>
      <c r="R1421" s="1"/>
    </row>
    <row r="1422" spans="1:22" x14ac:dyDescent="0.15">
      <c r="A1422" s="1">
        <v>91801</v>
      </c>
      <c r="B1422" s="1">
        <v>0</v>
      </c>
      <c r="C1422" s="1" t="s">
        <v>26</v>
      </c>
      <c r="D1422" s="1" t="s">
        <v>27</v>
      </c>
      <c r="E1422" s="1" t="s">
        <v>127</v>
      </c>
      <c r="F1422" s="1" t="s">
        <v>128</v>
      </c>
      <c r="G1422" s="1" t="s">
        <v>23</v>
      </c>
      <c r="I1422" s="18">
        <v>40760.593333333331</v>
      </c>
      <c r="J1422" s="1" t="s">
        <v>40</v>
      </c>
      <c r="K1422" s="1" t="s">
        <v>18</v>
      </c>
      <c r="L1422" s="1" t="s">
        <v>19</v>
      </c>
      <c r="Q1422" s="21"/>
    </row>
    <row r="1423" spans="1:22" x14ac:dyDescent="0.15">
      <c r="A1423" s="1">
        <v>91665</v>
      </c>
      <c r="B1423" s="1">
        <v>0</v>
      </c>
      <c r="D1423" s="1" t="s">
        <v>27</v>
      </c>
      <c r="E1423" s="1" t="s">
        <v>188</v>
      </c>
      <c r="F1423" s="1" t="s">
        <v>189</v>
      </c>
      <c r="G1423" s="1"/>
      <c r="H1423" s="1"/>
      <c r="I1423" s="18">
        <v>40759.57916666667</v>
      </c>
      <c r="J1423" s="1" t="s">
        <v>190</v>
      </c>
      <c r="K1423" s="1" t="s">
        <v>18</v>
      </c>
      <c r="L1423" s="1" t="s">
        <v>19</v>
      </c>
      <c r="Q1423" s="21"/>
    </row>
    <row r="1424" spans="1:22" x14ac:dyDescent="0.15">
      <c r="A1424" s="1">
        <v>91517</v>
      </c>
      <c r="B1424" s="1">
        <v>1</v>
      </c>
      <c r="C1424" s="1" t="s">
        <v>170</v>
      </c>
      <c r="D1424" s="1" t="s">
        <v>27</v>
      </c>
      <c r="E1424" s="1" t="s">
        <v>2580</v>
      </c>
      <c r="F1424" s="1" t="s">
        <v>2581</v>
      </c>
      <c r="G1424" s="1"/>
      <c r="H1424" s="1"/>
      <c r="I1424" s="18">
        <v>40758.634467592594</v>
      </c>
      <c r="J1424" s="1" t="s">
        <v>2582</v>
      </c>
      <c r="K1424" s="1" t="s">
        <v>18</v>
      </c>
      <c r="L1424" s="1" t="s">
        <v>19</v>
      </c>
      <c r="M1424" s="1">
        <v>91572</v>
      </c>
      <c r="N1424" s="1" t="s">
        <v>2583</v>
      </c>
      <c r="O1424" s="18">
        <v>40758.818692129629</v>
      </c>
      <c r="P1424" s="1" t="s">
        <v>148</v>
      </c>
      <c r="Q1424" s="21">
        <f t="shared" si="23"/>
        <v>0.18422453703533392</v>
      </c>
      <c r="R1424" s="1"/>
    </row>
    <row r="1425" spans="1:18" x14ac:dyDescent="0.15">
      <c r="A1425" s="1">
        <v>91197</v>
      </c>
      <c r="B1425" s="1">
        <v>0</v>
      </c>
      <c r="C1425" s="1" t="s">
        <v>2945</v>
      </c>
      <c r="D1425" s="1" t="s">
        <v>27</v>
      </c>
      <c r="E1425" s="1" t="s">
        <v>2946</v>
      </c>
      <c r="F1425" s="1" t="s">
        <v>2947</v>
      </c>
      <c r="G1425" s="1"/>
      <c r="H1425" s="1"/>
      <c r="I1425" s="18">
        <v>40756.529027777775</v>
      </c>
      <c r="J1425" s="1" t="s">
        <v>148</v>
      </c>
      <c r="K1425" s="1" t="s">
        <v>18</v>
      </c>
      <c r="L1425" s="1" t="s">
        <v>19</v>
      </c>
      <c r="Q1425" s="21"/>
    </row>
    <row r="1426" spans="1:18" x14ac:dyDescent="0.15">
      <c r="A1426" s="1">
        <v>91120</v>
      </c>
      <c r="B1426" s="1">
        <v>0</v>
      </c>
      <c r="D1426" s="1" t="s">
        <v>27</v>
      </c>
      <c r="E1426" s="1" t="s">
        <v>2807</v>
      </c>
      <c r="F1426" s="1" t="s">
        <v>2808</v>
      </c>
      <c r="G1426" s="1"/>
      <c r="H1426" s="1"/>
      <c r="I1426" s="18">
        <v>40755.405763888892</v>
      </c>
      <c r="J1426" s="1" t="s">
        <v>958</v>
      </c>
      <c r="K1426" s="1" t="s">
        <v>18</v>
      </c>
      <c r="L1426" s="1" t="s">
        <v>19</v>
      </c>
      <c r="Q1426" s="21"/>
    </row>
    <row r="1427" spans="1:18" x14ac:dyDescent="0.15">
      <c r="A1427" s="1">
        <v>91093</v>
      </c>
      <c r="B1427" s="1">
        <v>0</v>
      </c>
      <c r="C1427" s="1" t="s">
        <v>1119</v>
      </c>
      <c r="D1427" s="1" t="s">
        <v>27</v>
      </c>
      <c r="E1427" s="1" t="s">
        <v>1120</v>
      </c>
      <c r="F1427" s="1" t="s">
        <v>1121</v>
      </c>
      <c r="G1427" s="1" t="s">
        <v>23</v>
      </c>
      <c r="I1427" s="18">
        <v>40754.590486111112</v>
      </c>
      <c r="J1427" s="1" t="s">
        <v>40</v>
      </c>
      <c r="K1427" s="1" t="s">
        <v>18</v>
      </c>
      <c r="L1427" s="1" t="s">
        <v>19</v>
      </c>
      <c r="Q1427" s="21"/>
    </row>
    <row r="1428" spans="1:18" x14ac:dyDescent="0.15">
      <c r="A1428" s="1">
        <v>91092</v>
      </c>
      <c r="B1428" s="1">
        <v>1</v>
      </c>
      <c r="C1428" s="1" t="s">
        <v>26</v>
      </c>
      <c r="D1428" s="1" t="s">
        <v>27</v>
      </c>
      <c r="E1428" s="1" t="s">
        <v>2758</v>
      </c>
      <c r="F1428" s="1" t="s">
        <v>2759</v>
      </c>
      <c r="G1428" s="1" t="s">
        <v>23</v>
      </c>
      <c r="I1428" s="18">
        <v>40754.582743055558</v>
      </c>
      <c r="J1428" s="1" t="s">
        <v>40</v>
      </c>
      <c r="K1428" s="1" t="s">
        <v>18</v>
      </c>
      <c r="L1428" s="1" t="s">
        <v>19</v>
      </c>
      <c r="M1428" s="1">
        <v>91945</v>
      </c>
      <c r="N1428" s="1" t="s">
        <v>2760</v>
      </c>
      <c r="O1428" s="18">
        <v>40761.965509259258</v>
      </c>
      <c r="P1428" s="1" t="s">
        <v>544</v>
      </c>
      <c r="Q1428" s="21">
        <f t="shared" si="23"/>
        <v>7.3827662037001573</v>
      </c>
      <c r="R1428" s="1"/>
    </row>
    <row r="1429" spans="1:18" x14ac:dyDescent="0.15">
      <c r="A1429" s="1">
        <v>90668</v>
      </c>
      <c r="B1429" s="1">
        <v>0</v>
      </c>
      <c r="C1429" s="1" t="s">
        <v>26</v>
      </c>
      <c r="D1429" s="1" t="s">
        <v>27</v>
      </c>
      <c r="E1429" s="1" t="s">
        <v>2010</v>
      </c>
      <c r="F1429" s="1" t="s">
        <v>2011</v>
      </c>
      <c r="G1429" s="1" t="s">
        <v>23</v>
      </c>
      <c r="I1429" s="18">
        <v>40751.638807870368</v>
      </c>
      <c r="J1429" s="1" t="s">
        <v>44</v>
      </c>
      <c r="K1429" s="1" t="s">
        <v>18</v>
      </c>
      <c r="L1429" s="1" t="s">
        <v>19</v>
      </c>
      <c r="Q1429" s="21"/>
    </row>
    <row r="1430" spans="1:18" x14ac:dyDescent="0.15">
      <c r="A1430" s="1">
        <v>90495</v>
      </c>
      <c r="B1430" s="1">
        <v>0</v>
      </c>
      <c r="C1430" s="1" t="s">
        <v>170</v>
      </c>
      <c r="D1430" s="1" t="s">
        <v>3911</v>
      </c>
      <c r="E1430" s="1" t="s">
        <v>4045</v>
      </c>
      <c r="F1430" s="1" t="s">
        <v>4046</v>
      </c>
      <c r="G1430" s="1" t="s">
        <v>23</v>
      </c>
      <c r="I1430" s="18">
        <v>40750.456793981481</v>
      </c>
      <c r="J1430" s="1" t="s">
        <v>4047</v>
      </c>
      <c r="K1430" s="1" t="s">
        <v>18</v>
      </c>
      <c r="L1430" s="1" t="s">
        <v>19</v>
      </c>
      <c r="Q1430" s="21"/>
    </row>
    <row r="1431" spans="1:18" x14ac:dyDescent="0.15">
      <c r="A1431" s="1">
        <v>89836</v>
      </c>
      <c r="B1431" s="1">
        <v>0</v>
      </c>
      <c r="D1431" s="1" t="s">
        <v>27</v>
      </c>
      <c r="E1431" s="1" t="s">
        <v>3668</v>
      </c>
      <c r="F1431" s="1" t="s">
        <v>3669</v>
      </c>
      <c r="G1431" s="1" t="s">
        <v>159</v>
      </c>
      <c r="I1431" s="18">
        <v>40744.16337962963</v>
      </c>
      <c r="J1431" s="1" t="s">
        <v>151</v>
      </c>
      <c r="K1431" s="1" t="s">
        <v>3586</v>
      </c>
      <c r="L1431" s="1" t="s">
        <v>19</v>
      </c>
      <c r="Q1431" s="21"/>
    </row>
    <row r="1432" spans="1:18" x14ac:dyDescent="0.15">
      <c r="A1432" s="1">
        <v>89678</v>
      </c>
      <c r="B1432" s="1">
        <v>0</v>
      </c>
      <c r="C1432" s="1" t="s">
        <v>26</v>
      </c>
      <c r="D1432" s="1" t="s">
        <v>27</v>
      </c>
      <c r="E1432" s="1" t="s">
        <v>1362</v>
      </c>
      <c r="F1432" s="1" t="s">
        <v>1363</v>
      </c>
      <c r="G1432" s="1" t="s">
        <v>23</v>
      </c>
      <c r="I1432" s="18">
        <v>40743.13554398148</v>
      </c>
      <c r="J1432" s="1" t="s">
        <v>40</v>
      </c>
      <c r="K1432" s="1" t="s">
        <v>18</v>
      </c>
      <c r="L1432" s="1" t="s">
        <v>19</v>
      </c>
      <c r="Q1432" s="21"/>
    </row>
    <row r="1433" spans="1:18" x14ac:dyDescent="0.15">
      <c r="A1433" s="1">
        <v>89599</v>
      </c>
      <c r="B1433" s="1">
        <v>0</v>
      </c>
      <c r="C1433" s="1" t="s">
        <v>26</v>
      </c>
      <c r="D1433" s="1" t="s">
        <v>27</v>
      </c>
      <c r="E1433" s="1" t="s">
        <v>1794</v>
      </c>
      <c r="F1433" s="1" t="s">
        <v>1795</v>
      </c>
      <c r="G1433" s="1" t="s">
        <v>23</v>
      </c>
      <c r="I1433" s="18">
        <v>40742.587430555555</v>
      </c>
      <c r="J1433" s="1" t="s">
        <v>40</v>
      </c>
      <c r="K1433" s="1" t="s">
        <v>18</v>
      </c>
      <c r="L1433" s="1" t="s">
        <v>19</v>
      </c>
      <c r="Q1433" s="21"/>
    </row>
    <row r="1434" spans="1:18" x14ac:dyDescent="0.15">
      <c r="A1434" s="1">
        <v>89580</v>
      </c>
      <c r="B1434" s="1">
        <v>0</v>
      </c>
      <c r="C1434" s="1" t="s">
        <v>26</v>
      </c>
      <c r="D1434" s="1" t="s">
        <v>27</v>
      </c>
      <c r="E1434" s="1" t="s">
        <v>821</v>
      </c>
      <c r="F1434" s="1" t="s">
        <v>822</v>
      </c>
      <c r="G1434" s="1" t="s">
        <v>23</v>
      </c>
      <c r="I1434" s="18">
        <v>40742.341527777775</v>
      </c>
      <c r="J1434" s="1" t="s">
        <v>40</v>
      </c>
      <c r="K1434" s="1" t="s">
        <v>18</v>
      </c>
      <c r="L1434" s="1" t="s">
        <v>19</v>
      </c>
      <c r="Q1434" s="21"/>
    </row>
    <row r="1435" spans="1:18" x14ac:dyDescent="0.15">
      <c r="A1435" s="1">
        <v>89575</v>
      </c>
      <c r="B1435" s="1">
        <v>0</v>
      </c>
      <c r="C1435" s="1" t="s">
        <v>26</v>
      </c>
      <c r="D1435" s="1" t="s">
        <v>27</v>
      </c>
      <c r="E1435" s="1" t="s">
        <v>2086</v>
      </c>
      <c r="F1435" s="1" t="s">
        <v>2087</v>
      </c>
      <c r="G1435" s="1" t="s">
        <v>23</v>
      </c>
      <c r="I1435" s="18">
        <v>40742.284629629627</v>
      </c>
      <c r="J1435" s="1" t="s">
        <v>40</v>
      </c>
      <c r="K1435" s="1" t="s">
        <v>18</v>
      </c>
      <c r="L1435" s="1" t="s">
        <v>19</v>
      </c>
      <c r="Q1435" s="21"/>
    </row>
    <row r="1436" spans="1:18" x14ac:dyDescent="0.15">
      <c r="A1436" s="1">
        <v>89552</v>
      </c>
      <c r="B1436" s="1">
        <v>0</v>
      </c>
      <c r="C1436" s="1" t="s">
        <v>26</v>
      </c>
      <c r="D1436" s="1" t="s">
        <v>27</v>
      </c>
      <c r="E1436" s="1" t="s">
        <v>1286</v>
      </c>
      <c r="F1436" s="1" t="s">
        <v>1287</v>
      </c>
      <c r="G1436" s="1" t="s">
        <v>23</v>
      </c>
      <c r="I1436" s="18">
        <v>40741.675821759258</v>
      </c>
      <c r="J1436" s="1" t="s">
        <v>40</v>
      </c>
      <c r="K1436" s="1" t="s">
        <v>18</v>
      </c>
      <c r="L1436" s="1" t="s">
        <v>19</v>
      </c>
      <c r="Q1436" s="21"/>
    </row>
    <row r="1437" spans="1:18" x14ac:dyDescent="0.15">
      <c r="A1437" s="1">
        <v>89522</v>
      </c>
      <c r="B1437" s="1">
        <v>0</v>
      </c>
      <c r="C1437" s="1" t="s">
        <v>26</v>
      </c>
      <c r="D1437" s="1" t="s">
        <v>27</v>
      </c>
      <c r="E1437" s="1" t="s">
        <v>1944</v>
      </c>
      <c r="F1437" s="1" t="s">
        <v>1945</v>
      </c>
      <c r="G1437" s="1" t="s">
        <v>23</v>
      </c>
      <c r="I1437" s="18">
        <v>40740.827986111108</v>
      </c>
      <c r="J1437" s="1" t="s">
        <v>40</v>
      </c>
      <c r="K1437" s="1" t="s">
        <v>18</v>
      </c>
      <c r="L1437" s="1" t="s">
        <v>19</v>
      </c>
      <c r="Q1437" s="21"/>
    </row>
    <row r="1438" spans="1:18" x14ac:dyDescent="0.15">
      <c r="A1438" s="1">
        <v>89493</v>
      </c>
      <c r="B1438" s="1">
        <v>0</v>
      </c>
      <c r="C1438" s="1" t="s">
        <v>60</v>
      </c>
      <c r="D1438" s="1" t="s">
        <v>27</v>
      </c>
      <c r="E1438" s="1" t="s">
        <v>61</v>
      </c>
      <c r="F1438" s="1" t="s">
        <v>62</v>
      </c>
      <c r="G1438" s="1" t="s">
        <v>23</v>
      </c>
      <c r="I1438" s="18">
        <v>40740.310046296298</v>
      </c>
      <c r="J1438" s="1" t="s">
        <v>40</v>
      </c>
      <c r="K1438" s="1" t="s">
        <v>18</v>
      </c>
      <c r="L1438" s="1" t="s">
        <v>19</v>
      </c>
      <c r="Q1438" s="21"/>
    </row>
    <row r="1439" spans="1:18" x14ac:dyDescent="0.15">
      <c r="A1439" s="1">
        <v>89402</v>
      </c>
      <c r="B1439" s="1">
        <v>0</v>
      </c>
      <c r="D1439" s="1" t="s">
        <v>27</v>
      </c>
      <c r="E1439" s="1" t="s">
        <v>1160</v>
      </c>
      <c r="F1439" s="1" t="s">
        <v>1161</v>
      </c>
      <c r="G1439" s="1"/>
      <c r="H1439" s="1"/>
      <c r="I1439" s="18">
        <v>40739.386238425926</v>
      </c>
      <c r="J1439" s="1" t="s">
        <v>836</v>
      </c>
      <c r="K1439" s="1" t="s">
        <v>18</v>
      </c>
      <c r="L1439" s="1" t="s">
        <v>19</v>
      </c>
      <c r="Q1439" s="21"/>
    </row>
    <row r="1440" spans="1:18" x14ac:dyDescent="0.15">
      <c r="A1440" s="1">
        <v>89330</v>
      </c>
      <c r="B1440" s="1">
        <v>0</v>
      </c>
      <c r="C1440" s="1" t="s">
        <v>26</v>
      </c>
      <c r="D1440" s="1" t="s">
        <v>27</v>
      </c>
      <c r="E1440" s="1" t="s">
        <v>2690</v>
      </c>
      <c r="F1440" s="1" t="s">
        <v>2691</v>
      </c>
      <c r="G1440" s="1" t="s">
        <v>23</v>
      </c>
      <c r="I1440" s="18">
        <v>40738.740034722221</v>
      </c>
      <c r="J1440" s="1" t="s">
        <v>44</v>
      </c>
      <c r="K1440" s="1" t="s">
        <v>18</v>
      </c>
      <c r="L1440" s="1" t="s">
        <v>19</v>
      </c>
      <c r="Q1440" s="21"/>
    </row>
    <row r="1441" spans="1:22" x14ac:dyDescent="0.15">
      <c r="A1441" s="1">
        <v>89219</v>
      </c>
      <c r="B1441" s="1">
        <v>1</v>
      </c>
      <c r="C1441" s="1" t="s">
        <v>26</v>
      </c>
      <c r="D1441" s="1" t="s">
        <v>27</v>
      </c>
      <c r="E1441" s="1" t="s">
        <v>2300</v>
      </c>
      <c r="F1441" s="1" t="s">
        <v>2301</v>
      </c>
      <c r="G1441" s="1"/>
      <c r="H1441" s="1"/>
      <c r="I1441" s="18">
        <v>40737.791851851849</v>
      </c>
      <c r="J1441" s="1" t="s">
        <v>544</v>
      </c>
      <c r="K1441" s="1" t="s">
        <v>18</v>
      </c>
      <c r="L1441" s="1" t="s">
        <v>19</v>
      </c>
      <c r="M1441" s="1">
        <v>93119</v>
      </c>
      <c r="N1441" s="1" t="s">
        <v>2302</v>
      </c>
      <c r="O1441" s="18">
        <v>40771.810740740744</v>
      </c>
      <c r="P1441" s="1" t="s">
        <v>44</v>
      </c>
      <c r="Q1441" s="21">
        <f t="shared" si="23"/>
        <v>34.018888888895162</v>
      </c>
      <c r="R1441" s="1"/>
    </row>
    <row r="1442" spans="1:22" x14ac:dyDescent="0.15">
      <c r="A1442" s="1">
        <v>89142</v>
      </c>
      <c r="B1442" s="1">
        <v>0</v>
      </c>
      <c r="C1442" s="1" t="s">
        <v>477</v>
      </c>
      <c r="D1442" s="1" t="s">
        <v>27</v>
      </c>
      <c r="E1442" s="1" t="s">
        <v>1316</v>
      </c>
      <c r="F1442" s="1" t="s">
        <v>1317</v>
      </c>
      <c r="G1442" s="1"/>
      <c r="H1442" s="1"/>
      <c r="I1442" s="18">
        <v>40737.370891203704</v>
      </c>
      <c r="J1442" s="1" t="s">
        <v>190</v>
      </c>
      <c r="K1442" s="1" t="s">
        <v>18</v>
      </c>
      <c r="L1442" s="1" t="s">
        <v>19</v>
      </c>
      <c r="Q1442" s="21"/>
    </row>
    <row r="1443" spans="1:22" x14ac:dyDescent="0.15">
      <c r="A1443" s="1">
        <v>88889</v>
      </c>
      <c r="B1443" s="1">
        <v>0</v>
      </c>
      <c r="C1443" s="1" t="s">
        <v>26</v>
      </c>
      <c r="D1443" s="1" t="s">
        <v>27</v>
      </c>
      <c r="E1443" s="1" t="s">
        <v>90</v>
      </c>
      <c r="F1443" s="1" t="s">
        <v>91</v>
      </c>
      <c r="G1443" s="1" t="s">
        <v>23</v>
      </c>
      <c r="I1443" s="18">
        <v>40735.269791666666</v>
      </c>
      <c r="J1443" s="1" t="s">
        <v>92</v>
      </c>
      <c r="K1443" s="1" t="s">
        <v>18</v>
      </c>
      <c r="L1443" s="1" t="s">
        <v>19</v>
      </c>
      <c r="Q1443" s="21"/>
    </row>
    <row r="1444" spans="1:22" x14ac:dyDescent="0.15">
      <c r="A1444" s="1">
        <v>88846</v>
      </c>
      <c r="B1444" s="1">
        <v>0</v>
      </c>
      <c r="C1444" s="1" t="s">
        <v>26</v>
      </c>
      <c r="D1444" s="1" t="s">
        <v>27</v>
      </c>
      <c r="E1444" s="1" t="s">
        <v>2859</v>
      </c>
      <c r="F1444" s="1" t="s">
        <v>2860</v>
      </c>
      <c r="G1444" s="1" t="s">
        <v>23</v>
      </c>
      <c r="I1444" s="18">
        <v>40734.317118055558</v>
      </c>
      <c r="J1444" s="1" t="s">
        <v>44</v>
      </c>
      <c r="K1444" s="1" t="s">
        <v>18</v>
      </c>
      <c r="L1444" s="1" t="s">
        <v>19</v>
      </c>
      <c r="Q1444" s="21"/>
    </row>
    <row r="1445" spans="1:22" x14ac:dyDescent="0.15">
      <c r="A1445" s="1">
        <v>88730</v>
      </c>
      <c r="B1445" s="1">
        <v>0</v>
      </c>
      <c r="C1445" s="1" t="s">
        <v>26</v>
      </c>
      <c r="D1445" s="1" t="s">
        <v>27</v>
      </c>
      <c r="E1445" s="1" t="s">
        <v>743</v>
      </c>
      <c r="F1445" s="1" t="s">
        <v>744</v>
      </c>
      <c r="G1445" s="1" t="s">
        <v>23</v>
      </c>
      <c r="I1445" s="18">
        <v>40732.223715277774</v>
      </c>
      <c r="J1445" s="1" t="s">
        <v>40</v>
      </c>
      <c r="K1445" s="1" t="s">
        <v>18</v>
      </c>
      <c r="L1445" s="1" t="s">
        <v>19</v>
      </c>
      <c r="Q1445" s="21"/>
    </row>
    <row r="1446" spans="1:22" x14ac:dyDescent="0.15">
      <c r="A1446" s="1">
        <v>88723</v>
      </c>
      <c r="B1446" s="1">
        <v>0</v>
      </c>
      <c r="C1446" s="1" t="s">
        <v>133</v>
      </c>
      <c r="D1446" s="1" t="s">
        <v>27</v>
      </c>
      <c r="E1446" s="1" t="s">
        <v>214</v>
      </c>
      <c r="F1446" s="1" t="s">
        <v>215</v>
      </c>
      <c r="G1446" s="1" t="s">
        <v>23</v>
      </c>
      <c r="I1446" s="18">
        <v>40732.039641203701</v>
      </c>
      <c r="J1446" s="1" t="s">
        <v>216</v>
      </c>
      <c r="K1446" s="1" t="s">
        <v>18</v>
      </c>
      <c r="L1446" s="1" t="s">
        <v>19</v>
      </c>
      <c r="Q1446" s="21"/>
    </row>
    <row r="1447" spans="1:22" x14ac:dyDescent="0.15">
      <c r="A1447" s="1">
        <v>88684</v>
      </c>
      <c r="B1447" s="1">
        <v>0</v>
      </c>
      <c r="C1447" s="1" t="s">
        <v>26</v>
      </c>
      <c r="D1447" s="1" t="s">
        <v>27</v>
      </c>
      <c r="E1447" s="1" t="s">
        <v>2683</v>
      </c>
      <c r="F1447" s="1" t="s">
        <v>2684</v>
      </c>
      <c r="G1447" s="1" t="s">
        <v>23</v>
      </c>
      <c r="I1447" s="18">
        <v>40731.769456018519</v>
      </c>
      <c r="J1447" s="1" t="s">
        <v>40</v>
      </c>
      <c r="K1447" s="1" t="s">
        <v>18</v>
      </c>
      <c r="L1447" s="1" t="s">
        <v>19</v>
      </c>
      <c r="Q1447" s="21"/>
    </row>
    <row r="1448" spans="1:22" x14ac:dyDescent="0.15">
      <c r="A1448" s="1">
        <v>88670</v>
      </c>
      <c r="B1448" s="1">
        <v>1</v>
      </c>
      <c r="C1448" s="1" t="s">
        <v>26</v>
      </c>
      <c r="D1448" s="1" t="s">
        <v>27</v>
      </c>
      <c r="E1448" s="1" t="s">
        <v>2416</v>
      </c>
      <c r="F1448" s="1" t="s">
        <v>2417</v>
      </c>
      <c r="G1448" s="1" t="s">
        <v>23</v>
      </c>
      <c r="I1448" s="18">
        <v>40731.684548611112</v>
      </c>
      <c r="J1448" s="1" t="s">
        <v>40</v>
      </c>
      <c r="K1448" s="1" t="s">
        <v>18</v>
      </c>
      <c r="L1448" s="1" t="s">
        <v>19</v>
      </c>
      <c r="M1448" s="1">
        <v>88683</v>
      </c>
      <c r="N1448" s="1" t="s">
        <v>2418</v>
      </c>
      <c r="O1448" s="18">
        <v>40731.765185185184</v>
      </c>
      <c r="P1448" s="1" t="s">
        <v>44</v>
      </c>
      <c r="Q1448" s="21">
        <f t="shared" si="23"/>
        <v>8.0636574071832001E-2</v>
      </c>
      <c r="R1448" s="1"/>
    </row>
    <row r="1449" spans="1:22" x14ac:dyDescent="0.15">
      <c r="A1449" s="1">
        <v>88591</v>
      </c>
      <c r="B1449" s="1">
        <v>0</v>
      </c>
      <c r="C1449" s="1" t="s">
        <v>145</v>
      </c>
      <c r="D1449" s="1" t="s">
        <v>27</v>
      </c>
      <c r="E1449" s="1" t="s">
        <v>2917</v>
      </c>
      <c r="F1449" s="1" t="s">
        <v>2918</v>
      </c>
      <c r="G1449" s="1" t="s">
        <v>23</v>
      </c>
      <c r="I1449" s="18">
        <v>40730.870312500003</v>
      </c>
      <c r="J1449" s="1" t="s">
        <v>958</v>
      </c>
      <c r="K1449" s="1" t="s">
        <v>18</v>
      </c>
      <c r="L1449" s="1" t="s">
        <v>19</v>
      </c>
      <c r="Q1449" s="21"/>
    </row>
    <row r="1450" spans="1:22" x14ac:dyDescent="0.15">
      <c r="A1450" s="1">
        <v>88216</v>
      </c>
      <c r="B1450" s="1">
        <v>0</v>
      </c>
      <c r="C1450" s="1" t="s">
        <v>26</v>
      </c>
      <c r="D1450" s="1" t="s">
        <v>27</v>
      </c>
      <c r="E1450" s="1" t="s">
        <v>63</v>
      </c>
      <c r="F1450" s="1" t="s">
        <v>64</v>
      </c>
      <c r="G1450" s="1" t="s">
        <v>23</v>
      </c>
      <c r="I1450" s="18">
        <v>40725.802754629629</v>
      </c>
      <c r="J1450" s="1" t="s">
        <v>44</v>
      </c>
      <c r="K1450" s="1" t="s">
        <v>18</v>
      </c>
      <c r="L1450" s="1" t="s">
        <v>19</v>
      </c>
      <c r="Q1450" s="21"/>
    </row>
    <row r="1451" spans="1:22" x14ac:dyDescent="0.15">
      <c r="A1451" s="1">
        <v>87925</v>
      </c>
      <c r="B1451" s="1">
        <v>0</v>
      </c>
      <c r="C1451" s="1" t="s">
        <v>26</v>
      </c>
      <c r="D1451" s="1" t="s">
        <v>27</v>
      </c>
      <c r="E1451" s="1" t="s">
        <v>2997</v>
      </c>
      <c r="F1451" s="1" t="s">
        <v>2998</v>
      </c>
      <c r="G1451" s="1" t="s">
        <v>23</v>
      </c>
      <c r="I1451" s="18">
        <v>40723.752974537034</v>
      </c>
      <c r="J1451" s="1" t="s">
        <v>44</v>
      </c>
      <c r="K1451" s="1" t="s">
        <v>18</v>
      </c>
      <c r="L1451" s="1" t="s">
        <v>19</v>
      </c>
      <c r="Q1451" s="21"/>
    </row>
    <row r="1452" spans="1:22" x14ac:dyDescent="0.15">
      <c r="A1452" s="1">
        <v>87862</v>
      </c>
      <c r="B1452" s="1">
        <v>0</v>
      </c>
      <c r="C1452" s="1" t="s">
        <v>26</v>
      </c>
      <c r="D1452" s="1" t="s">
        <v>27</v>
      </c>
      <c r="E1452" s="1" t="s">
        <v>2765</v>
      </c>
      <c r="F1452" s="1" t="s">
        <v>2766</v>
      </c>
      <c r="G1452" s="1" t="s">
        <v>23</v>
      </c>
      <c r="I1452" s="18">
        <v>40723.144780092596</v>
      </c>
      <c r="J1452" s="1" t="s">
        <v>40</v>
      </c>
      <c r="K1452" s="1" t="s">
        <v>18</v>
      </c>
      <c r="L1452" s="1" t="s">
        <v>19</v>
      </c>
      <c r="Q1452" s="21"/>
    </row>
    <row r="1453" spans="1:22" x14ac:dyDescent="0.15">
      <c r="A1453" s="1">
        <v>87729</v>
      </c>
      <c r="B1453" s="1">
        <v>2</v>
      </c>
      <c r="C1453" s="1" t="s">
        <v>26</v>
      </c>
      <c r="D1453" s="1" t="s">
        <v>27</v>
      </c>
      <c r="E1453" s="1" t="s">
        <v>2642</v>
      </c>
      <c r="F1453" s="1" t="s">
        <v>2643</v>
      </c>
      <c r="G1453" s="1" t="s">
        <v>23</v>
      </c>
      <c r="I1453" s="18">
        <v>40722.372569444444</v>
      </c>
      <c r="J1453" s="1" t="s">
        <v>44</v>
      </c>
      <c r="K1453" s="1" t="s">
        <v>18</v>
      </c>
      <c r="L1453" s="1" t="s">
        <v>19</v>
      </c>
      <c r="M1453" s="1">
        <v>89061</v>
      </c>
      <c r="N1453" s="1" t="s">
        <v>2644</v>
      </c>
      <c r="O1453" s="18">
        <v>40736.723622685182</v>
      </c>
      <c r="P1453" s="1" t="s">
        <v>2645</v>
      </c>
      <c r="Q1453" s="21">
        <f t="shared" si="23"/>
        <v>14.351053240738111</v>
      </c>
      <c r="R1453" s="1">
        <v>87593</v>
      </c>
      <c r="S1453" s="1" t="s">
        <v>2644</v>
      </c>
      <c r="T1453" s="2" t="s">
        <v>4182</v>
      </c>
      <c r="U1453" s="1" t="s">
        <v>2646</v>
      </c>
      <c r="V1453" s="1"/>
    </row>
    <row r="1454" spans="1:22" x14ac:dyDescent="0.15">
      <c r="A1454" s="1">
        <v>87548</v>
      </c>
      <c r="B1454" s="1">
        <v>0</v>
      </c>
      <c r="C1454" s="1" t="s">
        <v>26</v>
      </c>
      <c r="D1454" s="1" t="s">
        <v>27</v>
      </c>
      <c r="E1454" s="1" t="s">
        <v>3051</v>
      </c>
      <c r="F1454" s="1" t="s">
        <v>3052</v>
      </c>
      <c r="G1454" s="1" t="s">
        <v>23</v>
      </c>
      <c r="I1454" s="18">
        <v>40720.663611111115</v>
      </c>
      <c r="J1454" s="1" t="s">
        <v>40</v>
      </c>
      <c r="K1454" s="1" t="s">
        <v>18</v>
      </c>
      <c r="L1454" s="1" t="s">
        <v>19</v>
      </c>
      <c r="Q1454" s="21"/>
    </row>
    <row r="1455" spans="1:22" x14ac:dyDescent="0.15">
      <c r="A1455" s="1">
        <v>87227</v>
      </c>
      <c r="B1455" s="1">
        <v>0</v>
      </c>
      <c r="C1455" s="1" t="s">
        <v>26</v>
      </c>
      <c r="D1455" s="1" t="s">
        <v>27</v>
      </c>
      <c r="E1455" s="1" t="s">
        <v>3485</v>
      </c>
      <c r="F1455" s="1" t="s">
        <v>3486</v>
      </c>
      <c r="G1455" s="1" t="s">
        <v>23</v>
      </c>
      <c r="I1455" s="18">
        <v>40717.408449074072</v>
      </c>
      <c r="J1455" s="1" t="s">
        <v>44</v>
      </c>
      <c r="K1455" s="1" t="s">
        <v>18</v>
      </c>
      <c r="L1455" s="1" t="s">
        <v>19</v>
      </c>
      <c r="Q1455" s="21"/>
    </row>
    <row r="1456" spans="1:22" x14ac:dyDescent="0.15">
      <c r="A1456" s="1">
        <v>87148</v>
      </c>
      <c r="B1456" s="1">
        <v>0</v>
      </c>
      <c r="D1456" s="1" t="s">
        <v>27</v>
      </c>
      <c r="E1456" s="1" t="s">
        <v>2574</v>
      </c>
      <c r="F1456" s="1" t="s">
        <v>2575</v>
      </c>
      <c r="G1456" s="1" t="s">
        <v>23</v>
      </c>
      <c r="I1456" s="18">
        <v>40716.875347222223</v>
      </c>
      <c r="J1456" s="1" t="s">
        <v>44</v>
      </c>
      <c r="K1456" s="1" t="s">
        <v>18</v>
      </c>
      <c r="L1456" s="1" t="s">
        <v>19</v>
      </c>
      <c r="Q1456" s="21"/>
    </row>
    <row r="1457" spans="1:26" x14ac:dyDescent="0.15">
      <c r="A1457" s="1">
        <v>86900</v>
      </c>
      <c r="B1457" s="1">
        <v>0</v>
      </c>
      <c r="C1457" s="1" t="s">
        <v>170</v>
      </c>
      <c r="D1457" s="1" t="s">
        <v>27</v>
      </c>
      <c r="E1457" s="1" t="s">
        <v>1582</v>
      </c>
      <c r="F1457" s="1" t="s">
        <v>1583</v>
      </c>
      <c r="G1457" s="1"/>
      <c r="H1457" s="1"/>
      <c r="I1457" s="18">
        <v>40715.206516203703</v>
      </c>
      <c r="J1457" s="1" t="s">
        <v>836</v>
      </c>
      <c r="K1457" s="1" t="s">
        <v>18</v>
      </c>
      <c r="L1457" s="1" t="s">
        <v>19</v>
      </c>
      <c r="Q1457" s="21"/>
    </row>
    <row r="1458" spans="1:26" x14ac:dyDescent="0.15">
      <c r="A1458" s="1">
        <v>86758</v>
      </c>
      <c r="B1458" s="1">
        <v>0</v>
      </c>
      <c r="C1458" s="1" t="s">
        <v>170</v>
      </c>
      <c r="D1458" s="1" t="s">
        <v>27</v>
      </c>
      <c r="E1458" s="1" t="s">
        <v>171</v>
      </c>
      <c r="F1458" s="1" t="s">
        <v>172</v>
      </c>
      <c r="G1458" s="1" t="s">
        <v>23</v>
      </c>
      <c r="I1458" s="18">
        <v>40714.404189814813</v>
      </c>
      <c r="J1458" s="1" t="s">
        <v>173</v>
      </c>
      <c r="K1458" s="1" t="s">
        <v>18</v>
      </c>
      <c r="L1458" s="1" t="s">
        <v>19</v>
      </c>
      <c r="Q1458" s="21"/>
    </row>
    <row r="1459" spans="1:26" x14ac:dyDescent="0.15">
      <c r="A1459" s="1">
        <v>86705</v>
      </c>
      <c r="B1459" s="1">
        <v>0</v>
      </c>
      <c r="C1459" s="1" t="s">
        <v>26</v>
      </c>
      <c r="D1459" s="1" t="s">
        <v>27</v>
      </c>
      <c r="E1459" s="1" t="s">
        <v>2289</v>
      </c>
      <c r="F1459" s="1" t="s">
        <v>2290</v>
      </c>
      <c r="G1459" s="1" t="s">
        <v>23</v>
      </c>
      <c r="I1459" s="18">
        <v>40713.63175925926</v>
      </c>
      <c r="J1459" s="1" t="s">
        <v>40</v>
      </c>
      <c r="K1459" s="1" t="s">
        <v>18</v>
      </c>
      <c r="L1459" s="1" t="s">
        <v>19</v>
      </c>
      <c r="Q1459" s="21"/>
    </row>
    <row r="1460" spans="1:26" x14ac:dyDescent="0.15">
      <c r="A1460" s="1">
        <v>86648</v>
      </c>
      <c r="B1460" s="1">
        <v>0</v>
      </c>
      <c r="C1460" s="1" t="s">
        <v>26</v>
      </c>
      <c r="D1460" s="1" t="s">
        <v>27</v>
      </c>
      <c r="E1460" s="1" t="s">
        <v>2512</v>
      </c>
      <c r="F1460" s="1" t="s">
        <v>2513</v>
      </c>
      <c r="G1460" s="1" t="s">
        <v>23</v>
      </c>
      <c r="I1460" s="18">
        <v>40712.674143518518</v>
      </c>
      <c r="J1460" s="1" t="s">
        <v>40</v>
      </c>
      <c r="K1460" s="1" t="s">
        <v>18</v>
      </c>
      <c r="L1460" s="1" t="s">
        <v>19</v>
      </c>
      <c r="Q1460" s="21"/>
    </row>
    <row r="1461" spans="1:26" x14ac:dyDescent="0.15">
      <c r="A1461" s="1">
        <v>86609</v>
      </c>
      <c r="B1461" s="1">
        <v>0</v>
      </c>
      <c r="C1461" s="1" t="s">
        <v>26</v>
      </c>
      <c r="D1461" s="1" t="s">
        <v>27</v>
      </c>
      <c r="E1461" s="1" t="s">
        <v>2562</v>
      </c>
      <c r="F1461" s="1" t="s">
        <v>2563</v>
      </c>
      <c r="G1461" s="1" t="s">
        <v>23</v>
      </c>
      <c r="I1461" s="18">
        <v>40712.11146990741</v>
      </c>
      <c r="J1461" s="1" t="s">
        <v>40</v>
      </c>
      <c r="K1461" s="1" t="s">
        <v>18</v>
      </c>
      <c r="L1461" s="1" t="s">
        <v>19</v>
      </c>
      <c r="Q1461" s="21"/>
    </row>
    <row r="1462" spans="1:26" x14ac:dyDescent="0.15">
      <c r="A1462" s="1">
        <v>86502</v>
      </c>
      <c r="B1462" s="1">
        <v>0</v>
      </c>
      <c r="C1462" s="1" t="s">
        <v>26</v>
      </c>
      <c r="D1462" s="1" t="s">
        <v>27</v>
      </c>
      <c r="E1462" s="1" t="s">
        <v>1532</v>
      </c>
      <c r="F1462" s="1" t="s">
        <v>1533</v>
      </c>
      <c r="G1462" s="1" t="s">
        <v>23</v>
      </c>
      <c r="I1462" s="18">
        <v>40711.607303240744</v>
      </c>
      <c r="J1462" s="1" t="s">
        <v>44</v>
      </c>
      <c r="K1462" s="1" t="s">
        <v>18</v>
      </c>
      <c r="L1462" s="1" t="s">
        <v>19</v>
      </c>
      <c r="Q1462" s="21"/>
    </row>
    <row r="1463" spans="1:26" x14ac:dyDescent="0.15">
      <c r="A1463" s="1">
        <v>86367</v>
      </c>
      <c r="B1463" s="1">
        <v>0</v>
      </c>
      <c r="C1463" s="1" t="s">
        <v>26</v>
      </c>
      <c r="D1463" s="1" t="s">
        <v>27</v>
      </c>
      <c r="E1463" s="1" t="s">
        <v>3236</v>
      </c>
      <c r="F1463" s="1" t="s">
        <v>3237</v>
      </c>
      <c r="G1463" s="1" t="s">
        <v>23</v>
      </c>
      <c r="I1463" s="18">
        <v>40710.850057870368</v>
      </c>
      <c r="J1463" s="1" t="s">
        <v>40</v>
      </c>
      <c r="K1463" s="1" t="s">
        <v>18</v>
      </c>
      <c r="L1463" s="1" t="s">
        <v>19</v>
      </c>
      <c r="Q1463" s="21"/>
    </row>
    <row r="1464" spans="1:26" x14ac:dyDescent="0.15">
      <c r="A1464" s="1">
        <v>85943</v>
      </c>
      <c r="B1464" s="1">
        <v>0</v>
      </c>
      <c r="C1464" s="1" t="s">
        <v>26</v>
      </c>
      <c r="D1464" s="1" t="s">
        <v>27</v>
      </c>
      <c r="E1464" s="1" t="s">
        <v>1849</v>
      </c>
      <c r="F1464" s="1" t="s">
        <v>1850</v>
      </c>
      <c r="G1464" s="1" t="s">
        <v>23</v>
      </c>
      <c r="I1464" s="18">
        <v>40707.809849537036</v>
      </c>
      <c r="J1464" s="1" t="s">
        <v>40</v>
      </c>
      <c r="K1464" s="1" t="s">
        <v>18</v>
      </c>
      <c r="L1464" s="1" t="s">
        <v>19</v>
      </c>
      <c r="Q1464" s="21"/>
    </row>
    <row r="1465" spans="1:26" x14ac:dyDescent="0.15">
      <c r="A1465" s="1">
        <v>85808</v>
      </c>
      <c r="B1465" s="1">
        <v>3</v>
      </c>
      <c r="C1465" s="1" t="s">
        <v>1804</v>
      </c>
      <c r="D1465" s="1" t="s">
        <v>27</v>
      </c>
      <c r="E1465" s="1" t="s">
        <v>1805</v>
      </c>
      <c r="F1465" s="1" t="s">
        <v>1806</v>
      </c>
      <c r="G1465" s="1"/>
      <c r="H1465" s="1"/>
      <c r="I1465" s="18">
        <v>40705.690752314818</v>
      </c>
      <c r="J1465" s="1" t="s">
        <v>263</v>
      </c>
      <c r="K1465" s="1" t="s">
        <v>18</v>
      </c>
      <c r="L1465" s="1" t="s">
        <v>19</v>
      </c>
      <c r="M1465" s="1">
        <v>87881</v>
      </c>
      <c r="N1465" s="1" t="s">
        <v>1807</v>
      </c>
      <c r="O1465" s="18">
        <v>40723.425787037035</v>
      </c>
      <c r="P1465" s="1" t="s">
        <v>190</v>
      </c>
      <c r="Q1465" s="21">
        <f t="shared" si="23"/>
        <v>17.735034722216369</v>
      </c>
      <c r="R1465" s="1">
        <v>86234</v>
      </c>
      <c r="S1465" s="1" t="s">
        <v>1807</v>
      </c>
      <c r="T1465" s="2" t="s">
        <v>4158</v>
      </c>
      <c r="U1465" s="1" t="s">
        <v>1808</v>
      </c>
      <c r="V1465" s="1">
        <v>81254</v>
      </c>
      <c r="W1465" s="1" t="s">
        <v>1807</v>
      </c>
      <c r="X1465" s="5" t="s">
        <v>4159</v>
      </c>
      <c r="Y1465" s="1" t="s">
        <v>1809</v>
      </c>
      <c r="Z1465" s="1"/>
    </row>
    <row r="1466" spans="1:26" x14ac:dyDescent="0.15">
      <c r="A1466" s="1">
        <v>85418</v>
      </c>
      <c r="B1466" s="1">
        <v>1</v>
      </c>
      <c r="C1466" s="1" t="s">
        <v>26</v>
      </c>
      <c r="D1466" s="1" t="s">
        <v>27</v>
      </c>
      <c r="E1466" s="1" t="s">
        <v>442</v>
      </c>
      <c r="F1466" s="1" t="s">
        <v>443</v>
      </c>
      <c r="G1466" s="1" t="s">
        <v>23</v>
      </c>
      <c r="I1466" s="18">
        <v>40702.802685185183</v>
      </c>
      <c r="J1466" s="1" t="s">
        <v>44</v>
      </c>
      <c r="K1466" s="1" t="s">
        <v>18</v>
      </c>
      <c r="L1466" s="1" t="s">
        <v>19</v>
      </c>
      <c r="M1466" s="1">
        <v>84852</v>
      </c>
      <c r="N1466" s="1" t="s">
        <v>444</v>
      </c>
      <c r="O1466" s="18">
        <v>40697.604467592595</v>
      </c>
      <c r="P1466" s="1" t="s">
        <v>445</v>
      </c>
      <c r="Q1466" s="21">
        <f t="shared" si="23"/>
        <v>5.1982175925877527</v>
      </c>
      <c r="R1466" s="1"/>
    </row>
    <row r="1467" spans="1:26" x14ac:dyDescent="0.15">
      <c r="A1467" s="1">
        <v>85302</v>
      </c>
      <c r="B1467" s="1">
        <v>1</v>
      </c>
      <c r="C1467" s="1" t="s">
        <v>26</v>
      </c>
      <c r="D1467" s="1" t="s">
        <v>27</v>
      </c>
      <c r="E1467" s="1" t="s">
        <v>2374</v>
      </c>
      <c r="F1467" s="1" t="s">
        <v>2375</v>
      </c>
      <c r="G1467" s="1" t="s">
        <v>23</v>
      </c>
      <c r="I1467" s="18">
        <v>40702.237326388888</v>
      </c>
      <c r="J1467" s="1" t="s">
        <v>40</v>
      </c>
      <c r="K1467" s="1" t="s">
        <v>18</v>
      </c>
      <c r="L1467" s="1" t="s">
        <v>19</v>
      </c>
      <c r="M1467" s="1">
        <v>85272</v>
      </c>
      <c r="N1467" s="1" t="s">
        <v>2376</v>
      </c>
      <c r="O1467" s="18">
        <v>40702.02684027778</v>
      </c>
      <c r="P1467" s="1" t="s">
        <v>238</v>
      </c>
      <c r="Q1467" s="21">
        <f t="shared" si="23"/>
        <v>0.21048611110745696</v>
      </c>
      <c r="R1467" s="1"/>
    </row>
    <row r="1468" spans="1:26" x14ac:dyDescent="0.15">
      <c r="A1468" s="1">
        <v>85211</v>
      </c>
      <c r="B1468" s="1">
        <v>0</v>
      </c>
      <c r="C1468" s="1" t="s">
        <v>26</v>
      </c>
      <c r="D1468" s="1" t="s">
        <v>27</v>
      </c>
      <c r="E1468" s="1" t="s">
        <v>2758</v>
      </c>
      <c r="F1468" s="1" t="s">
        <v>3563</v>
      </c>
      <c r="G1468" s="1" t="s">
        <v>23</v>
      </c>
      <c r="I1468" s="18">
        <v>40701.762615740743</v>
      </c>
      <c r="J1468" s="1" t="s">
        <v>44</v>
      </c>
      <c r="K1468" s="1" t="s">
        <v>18</v>
      </c>
      <c r="L1468" s="1" t="s">
        <v>19</v>
      </c>
      <c r="Q1468" s="21"/>
    </row>
    <row r="1469" spans="1:26" x14ac:dyDescent="0.15">
      <c r="A1469" s="1">
        <v>85177</v>
      </c>
      <c r="B1469" s="1">
        <v>0</v>
      </c>
      <c r="D1469" s="1" t="s">
        <v>27</v>
      </c>
      <c r="E1469" s="1" t="s">
        <v>1273</v>
      </c>
      <c r="F1469" s="1" t="s">
        <v>1274</v>
      </c>
      <c r="G1469" s="1" t="s">
        <v>16</v>
      </c>
      <c r="I1469" s="18">
        <v>40701.541400462964</v>
      </c>
      <c r="J1469" s="1" t="s">
        <v>190</v>
      </c>
      <c r="K1469" s="1" t="s">
        <v>18</v>
      </c>
      <c r="L1469" s="1" t="s">
        <v>19</v>
      </c>
      <c r="Q1469" s="21"/>
    </row>
    <row r="1470" spans="1:26" x14ac:dyDescent="0.15">
      <c r="A1470" s="1">
        <v>85102</v>
      </c>
      <c r="B1470" s="1">
        <v>0</v>
      </c>
      <c r="C1470" s="1" t="s">
        <v>26</v>
      </c>
      <c r="D1470" s="1" t="s">
        <v>27</v>
      </c>
      <c r="E1470" s="1" t="s">
        <v>1858</v>
      </c>
      <c r="F1470" s="1" t="s">
        <v>1859</v>
      </c>
      <c r="G1470" s="1" t="s">
        <v>23</v>
      </c>
      <c r="I1470" s="18">
        <v>40700.865902777776</v>
      </c>
      <c r="J1470" s="1" t="s">
        <v>44</v>
      </c>
      <c r="K1470" s="1" t="s">
        <v>18</v>
      </c>
      <c r="L1470" s="1" t="s">
        <v>19</v>
      </c>
      <c r="Q1470" s="21"/>
    </row>
    <row r="1471" spans="1:26" x14ac:dyDescent="0.15">
      <c r="A1471" s="1">
        <v>85003</v>
      </c>
      <c r="B1471" s="1">
        <v>0</v>
      </c>
      <c r="C1471" s="1" t="s">
        <v>26</v>
      </c>
      <c r="D1471" s="1" t="s">
        <v>27</v>
      </c>
      <c r="E1471" s="1" t="s">
        <v>488</v>
      </c>
      <c r="F1471" s="1" t="s">
        <v>489</v>
      </c>
      <c r="G1471" s="1" t="s">
        <v>23</v>
      </c>
      <c r="I1471" s="18">
        <v>40699.889479166668</v>
      </c>
      <c r="J1471" s="1" t="s">
        <v>44</v>
      </c>
      <c r="K1471" s="1" t="s">
        <v>18</v>
      </c>
      <c r="L1471" s="1" t="s">
        <v>19</v>
      </c>
      <c r="Q1471" s="21"/>
    </row>
    <row r="1472" spans="1:26" x14ac:dyDescent="0.15">
      <c r="A1472" s="1">
        <v>84946</v>
      </c>
      <c r="B1472" s="1">
        <v>0</v>
      </c>
      <c r="C1472" s="1" t="s">
        <v>26</v>
      </c>
      <c r="D1472" s="1" t="s">
        <v>27</v>
      </c>
      <c r="E1472" s="1" t="s">
        <v>3565</v>
      </c>
      <c r="F1472" s="1" t="s">
        <v>3566</v>
      </c>
      <c r="G1472" s="1" t="s">
        <v>23</v>
      </c>
      <c r="I1472" s="18">
        <v>40698.704375000001</v>
      </c>
      <c r="J1472" s="1" t="s">
        <v>40</v>
      </c>
      <c r="K1472" s="1" t="s">
        <v>18</v>
      </c>
      <c r="L1472" s="1" t="s">
        <v>19</v>
      </c>
      <c r="Q1472" s="21"/>
    </row>
    <row r="1473" spans="1:18" x14ac:dyDescent="0.15">
      <c r="A1473" s="1">
        <v>84885</v>
      </c>
      <c r="B1473" s="1">
        <v>0</v>
      </c>
      <c r="C1473" s="1" t="s">
        <v>26</v>
      </c>
      <c r="D1473" s="1" t="s">
        <v>27</v>
      </c>
      <c r="E1473" s="1" t="s">
        <v>2244</v>
      </c>
      <c r="F1473" s="1" t="s">
        <v>2245</v>
      </c>
      <c r="G1473" s="1" t="s">
        <v>23</v>
      </c>
      <c r="I1473" s="18">
        <v>40697.780312499999</v>
      </c>
      <c r="J1473" s="1" t="s">
        <v>40</v>
      </c>
      <c r="K1473" s="1" t="s">
        <v>18</v>
      </c>
      <c r="L1473" s="1" t="s">
        <v>19</v>
      </c>
      <c r="Q1473" s="21"/>
    </row>
    <row r="1474" spans="1:18" x14ac:dyDescent="0.15">
      <c r="A1474" s="1">
        <v>84355</v>
      </c>
      <c r="B1474" s="1">
        <v>0</v>
      </c>
      <c r="C1474" s="1" t="s">
        <v>26</v>
      </c>
      <c r="D1474" s="1" t="s">
        <v>27</v>
      </c>
      <c r="E1474" s="1" t="s">
        <v>232</v>
      </c>
      <c r="F1474" s="1" t="s">
        <v>233</v>
      </c>
      <c r="G1474" s="1" t="s">
        <v>23</v>
      </c>
      <c r="I1474" s="18">
        <v>40692.366863425923</v>
      </c>
      <c r="J1474" s="1" t="s">
        <v>44</v>
      </c>
      <c r="K1474" s="1" t="s">
        <v>18</v>
      </c>
      <c r="L1474" s="1" t="s">
        <v>19</v>
      </c>
      <c r="Q1474" s="21"/>
    </row>
    <row r="1475" spans="1:18" x14ac:dyDescent="0.15">
      <c r="A1475" s="1">
        <v>84333</v>
      </c>
      <c r="B1475" s="1">
        <v>0</v>
      </c>
      <c r="C1475" s="1" t="s">
        <v>26</v>
      </c>
      <c r="D1475" s="1" t="s">
        <v>27</v>
      </c>
      <c r="E1475" s="1" t="s">
        <v>3338</v>
      </c>
      <c r="F1475" s="1" t="s">
        <v>3339</v>
      </c>
      <c r="G1475" s="1" t="s">
        <v>23</v>
      </c>
      <c r="I1475" s="18">
        <v>40691.751435185186</v>
      </c>
      <c r="J1475" s="1" t="s">
        <v>40</v>
      </c>
      <c r="K1475" s="1" t="s">
        <v>18</v>
      </c>
      <c r="L1475" s="1" t="s">
        <v>19</v>
      </c>
      <c r="Q1475" s="21"/>
    </row>
    <row r="1476" spans="1:18" x14ac:dyDescent="0.15">
      <c r="A1476" s="1">
        <v>83743</v>
      </c>
      <c r="B1476" s="1">
        <v>0</v>
      </c>
      <c r="C1476" s="1" t="s">
        <v>26</v>
      </c>
      <c r="D1476" s="1" t="s">
        <v>27</v>
      </c>
      <c r="E1476" s="1" t="s">
        <v>1132</v>
      </c>
      <c r="F1476" s="1" t="s">
        <v>1133</v>
      </c>
      <c r="G1476" s="1" t="s">
        <v>23</v>
      </c>
      <c r="I1476" s="18">
        <v>40687.677847222221</v>
      </c>
      <c r="J1476" s="1" t="s">
        <v>40</v>
      </c>
      <c r="K1476" s="1" t="s">
        <v>18</v>
      </c>
      <c r="L1476" s="1" t="s">
        <v>19</v>
      </c>
      <c r="Q1476" s="21"/>
    </row>
    <row r="1477" spans="1:18" x14ac:dyDescent="0.15">
      <c r="A1477" s="1">
        <v>83672</v>
      </c>
      <c r="B1477" s="1">
        <v>1</v>
      </c>
      <c r="C1477" s="1" t="s">
        <v>26</v>
      </c>
      <c r="D1477" s="1" t="s">
        <v>27</v>
      </c>
      <c r="E1477" s="1" t="s">
        <v>2502</v>
      </c>
      <c r="F1477" s="1" t="s">
        <v>2503</v>
      </c>
      <c r="G1477" s="1" t="s">
        <v>23</v>
      </c>
      <c r="I1477" s="18">
        <v>40686.979201388887</v>
      </c>
      <c r="J1477" s="1" t="s">
        <v>40</v>
      </c>
      <c r="K1477" s="1" t="s">
        <v>18</v>
      </c>
      <c r="L1477" s="1" t="s">
        <v>19</v>
      </c>
      <c r="M1477" s="1">
        <v>82063</v>
      </c>
      <c r="N1477" s="1" t="s">
        <v>2504</v>
      </c>
      <c r="O1477" s="18">
        <v>40672.948159722226</v>
      </c>
      <c r="P1477" s="1" t="s">
        <v>2505</v>
      </c>
      <c r="Q1477" s="21">
        <f t="shared" si="23"/>
        <v>14.031041666661622</v>
      </c>
      <c r="R1477" s="1"/>
    </row>
    <row r="1478" spans="1:18" x14ac:dyDescent="0.15">
      <c r="A1478" s="1">
        <v>83275</v>
      </c>
      <c r="B1478" s="1">
        <v>0</v>
      </c>
      <c r="C1478" s="1" t="s">
        <v>170</v>
      </c>
      <c r="D1478" s="1" t="s">
        <v>27</v>
      </c>
      <c r="E1478" s="1" t="s">
        <v>2599</v>
      </c>
      <c r="F1478" s="1" t="s">
        <v>2600</v>
      </c>
      <c r="G1478" s="1" t="s">
        <v>23</v>
      </c>
      <c r="I1478" s="18">
        <v>40682.841226851851</v>
      </c>
      <c r="J1478" s="1" t="s">
        <v>1171</v>
      </c>
      <c r="K1478" s="1" t="s">
        <v>18</v>
      </c>
      <c r="L1478" s="1" t="s">
        <v>19</v>
      </c>
      <c r="Q1478" s="21"/>
    </row>
    <row r="1479" spans="1:18" x14ac:dyDescent="0.15">
      <c r="A1479" s="1">
        <v>83270</v>
      </c>
      <c r="B1479" s="1">
        <v>0</v>
      </c>
      <c r="C1479" s="1" t="s">
        <v>26</v>
      </c>
      <c r="D1479" s="1" t="s">
        <v>27</v>
      </c>
      <c r="E1479" s="1" t="s">
        <v>2601</v>
      </c>
      <c r="F1479" s="1" t="s">
        <v>2602</v>
      </c>
      <c r="G1479" s="1" t="s">
        <v>23</v>
      </c>
      <c r="I1479" s="18">
        <v>40682.803576388891</v>
      </c>
      <c r="J1479" s="1" t="s">
        <v>40</v>
      </c>
      <c r="K1479" s="1" t="s">
        <v>18</v>
      </c>
      <c r="L1479" s="1" t="s">
        <v>19</v>
      </c>
      <c r="Q1479" s="21"/>
    </row>
    <row r="1480" spans="1:18" x14ac:dyDescent="0.15">
      <c r="A1480" s="1">
        <v>83235</v>
      </c>
      <c r="B1480" s="1">
        <v>0</v>
      </c>
      <c r="C1480" s="1" t="s">
        <v>26</v>
      </c>
      <c r="D1480" s="1" t="s">
        <v>27</v>
      </c>
      <c r="E1480" s="1" t="s">
        <v>1694</v>
      </c>
      <c r="F1480" s="1" t="s">
        <v>1695</v>
      </c>
      <c r="G1480" s="1" t="s">
        <v>23</v>
      </c>
      <c r="I1480" s="18">
        <v>40682.682476851849</v>
      </c>
      <c r="J1480" s="1" t="s">
        <v>40</v>
      </c>
      <c r="K1480" s="1" t="s">
        <v>18</v>
      </c>
      <c r="L1480" s="1" t="s">
        <v>19</v>
      </c>
      <c r="Q1480" s="21"/>
    </row>
    <row r="1481" spans="1:18" x14ac:dyDescent="0.15">
      <c r="A1481" s="1">
        <v>83012</v>
      </c>
      <c r="B1481" s="1">
        <v>0</v>
      </c>
      <c r="C1481" s="1" t="s">
        <v>26</v>
      </c>
      <c r="D1481" s="1" t="s">
        <v>27</v>
      </c>
      <c r="E1481" s="1" t="s">
        <v>1950</v>
      </c>
      <c r="F1481" s="1" t="s">
        <v>1951</v>
      </c>
      <c r="G1481" s="1" t="s">
        <v>23</v>
      </c>
      <c r="I1481" s="18">
        <v>40681.184189814812</v>
      </c>
      <c r="J1481" s="1" t="s">
        <v>40</v>
      </c>
      <c r="K1481" s="1" t="s">
        <v>18</v>
      </c>
      <c r="L1481" s="1" t="s">
        <v>19</v>
      </c>
      <c r="Q1481" s="21"/>
    </row>
    <row r="1482" spans="1:18" x14ac:dyDescent="0.15">
      <c r="A1482" s="1">
        <v>82903</v>
      </c>
      <c r="B1482" s="1">
        <v>0</v>
      </c>
      <c r="C1482" s="1" t="s">
        <v>26</v>
      </c>
      <c r="D1482" s="1" t="s">
        <v>27</v>
      </c>
      <c r="E1482" s="1" t="s">
        <v>3676</v>
      </c>
      <c r="F1482" s="1" t="s">
        <v>3677</v>
      </c>
      <c r="G1482" s="1" t="s">
        <v>23</v>
      </c>
      <c r="I1482" s="18">
        <v>40680.522488425922</v>
      </c>
      <c r="J1482" s="1" t="s">
        <v>40</v>
      </c>
      <c r="K1482" s="1" t="s">
        <v>3586</v>
      </c>
      <c r="L1482" s="1" t="s">
        <v>19</v>
      </c>
      <c r="Q1482" s="21"/>
    </row>
    <row r="1483" spans="1:18" x14ac:dyDescent="0.15">
      <c r="A1483" s="1">
        <v>82873</v>
      </c>
      <c r="B1483" s="1">
        <v>1</v>
      </c>
      <c r="C1483" s="1" t="s">
        <v>537</v>
      </c>
      <c r="D1483" s="1" t="s">
        <v>27</v>
      </c>
      <c r="E1483" s="1" t="s">
        <v>3592</v>
      </c>
      <c r="F1483" s="1" t="s">
        <v>3593</v>
      </c>
      <c r="G1483" s="1" t="s">
        <v>23</v>
      </c>
      <c r="I1483" s="18">
        <v>40680.145810185182</v>
      </c>
      <c r="J1483" s="1" t="s">
        <v>40</v>
      </c>
      <c r="K1483" s="1" t="s">
        <v>3586</v>
      </c>
      <c r="L1483" s="1" t="s">
        <v>19</v>
      </c>
      <c r="M1483" s="1">
        <v>83297</v>
      </c>
      <c r="N1483" s="1" t="s">
        <v>3594</v>
      </c>
      <c r="O1483" s="18">
        <v>40682.912418981483</v>
      </c>
      <c r="P1483" s="1" t="s">
        <v>3395</v>
      </c>
      <c r="Q1483" s="21">
        <f t="shared" ref="Q1483:Q1533" si="24">ABS(O1483-I1483)</f>
        <v>2.7666087963007158</v>
      </c>
      <c r="R1483" s="1"/>
    </row>
    <row r="1484" spans="1:18" x14ac:dyDescent="0.15">
      <c r="A1484" s="1">
        <v>82653</v>
      </c>
      <c r="B1484" s="1">
        <v>0</v>
      </c>
      <c r="C1484" s="1" t="s">
        <v>26</v>
      </c>
      <c r="D1484" s="1" t="s">
        <v>27</v>
      </c>
      <c r="E1484" s="1" t="s">
        <v>152</v>
      </c>
      <c r="F1484" s="1" t="s">
        <v>153</v>
      </c>
      <c r="G1484" s="1" t="s">
        <v>23</v>
      </c>
      <c r="I1484" s="18">
        <v>40677.443425925929</v>
      </c>
      <c r="J1484" s="1" t="s">
        <v>40</v>
      </c>
      <c r="K1484" s="1" t="s">
        <v>18</v>
      </c>
      <c r="L1484" s="1" t="s">
        <v>19</v>
      </c>
      <c r="Q1484" s="21"/>
    </row>
    <row r="1485" spans="1:18" x14ac:dyDescent="0.15">
      <c r="A1485" s="1">
        <v>82633</v>
      </c>
      <c r="B1485" s="1">
        <v>0</v>
      </c>
      <c r="C1485" s="1" t="s">
        <v>26</v>
      </c>
      <c r="D1485" s="1" t="s">
        <v>27</v>
      </c>
      <c r="E1485" s="1" t="s">
        <v>1404</v>
      </c>
      <c r="F1485" s="1" t="s">
        <v>1405</v>
      </c>
      <c r="G1485" s="1" t="s">
        <v>23</v>
      </c>
      <c r="I1485" s="18">
        <v>40677.076956018522</v>
      </c>
      <c r="J1485" s="1" t="s">
        <v>40</v>
      </c>
      <c r="K1485" s="1" t="s">
        <v>18</v>
      </c>
      <c r="L1485" s="1" t="s">
        <v>19</v>
      </c>
      <c r="Q1485" s="21"/>
    </row>
    <row r="1486" spans="1:18" x14ac:dyDescent="0.15">
      <c r="A1486" s="1">
        <v>82552</v>
      </c>
      <c r="B1486" s="1">
        <v>1</v>
      </c>
      <c r="C1486" s="1" t="s">
        <v>133</v>
      </c>
      <c r="D1486" s="1" t="s">
        <v>27</v>
      </c>
      <c r="E1486" s="1" t="s">
        <v>2838</v>
      </c>
      <c r="F1486" s="1" t="s">
        <v>2839</v>
      </c>
      <c r="G1486" s="1" t="s">
        <v>23</v>
      </c>
      <c r="I1486" s="18">
        <v>40676.684733796297</v>
      </c>
      <c r="J1486" s="1" t="s">
        <v>148</v>
      </c>
      <c r="K1486" s="1" t="s">
        <v>18</v>
      </c>
      <c r="L1486" s="1" t="s">
        <v>19</v>
      </c>
      <c r="M1486" s="1">
        <v>90672</v>
      </c>
      <c r="N1486" s="1" t="s">
        <v>2840</v>
      </c>
      <c r="O1486" s="18">
        <v>40751.659062500003</v>
      </c>
      <c r="P1486" s="1" t="s">
        <v>44</v>
      </c>
      <c r="Q1486" s="21">
        <f t="shared" si="24"/>
        <v>74.974328703705396</v>
      </c>
      <c r="R1486" s="1"/>
    </row>
    <row r="1487" spans="1:18" x14ac:dyDescent="0.15">
      <c r="A1487" s="1">
        <v>82546</v>
      </c>
      <c r="B1487" s="1">
        <v>0</v>
      </c>
      <c r="C1487" s="1" t="s">
        <v>26</v>
      </c>
      <c r="D1487" s="1" t="s">
        <v>27</v>
      </c>
      <c r="E1487" s="1" t="s">
        <v>2192</v>
      </c>
      <c r="F1487" s="1" t="s">
        <v>2193</v>
      </c>
      <c r="G1487" s="1" t="s">
        <v>23</v>
      </c>
      <c r="I1487" s="18">
        <v>40676.649317129632</v>
      </c>
      <c r="J1487" s="1" t="s">
        <v>92</v>
      </c>
      <c r="K1487" s="1" t="s">
        <v>18</v>
      </c>
      <c r="L1487" s="1" t="s">
        <v>19</v>
      </c>
      <c r="Q1487" s="21"/>
    </row>
    <row r="1488" spans="1:18" x14ac:dyDescent="0.15">
      <c r="A1488" s="1">
        <v>82516</v>
      </c>
      <c r="B1488" s="1">
        <v>1</v>
      </c>
      <c r="C1488" s="1" t="s">
        <v>26</v>
      </c>
      <c r="D1488" s="1" t="s">
        <v>27</v>
      </c>
      <c r="E1488" s="1" t="s">
        <v>1982</v>
      </c>
      <c r="F1488" s="1" t="s">
        <v>1983</v>
      </c>
      <c r="G1488" s="1" t="s">
        <v>23</v>
      </c>
      <c r="I1488" s="18">
        <v>40676.322442129633</v>
      </c>
      <c r="J1488" s="1" t="s">
        <v>445</v>
      </c>
      <c r="K1488" s="1" t="s">
        <v>18</v>
      </c>
      <c r="L1488" s="1" t="s">
        <v>19</v>
      </c>
      <c r="M1488" s="1">
        <v>82910</v>
      </c>
      <c r="N1488" s="1" t="s">
        <v>1984</v>
      </c>
      <c r="O1488" s="18">
        <v>40680.593298611115</v>
      </c>
      <c r="P1488" s="1" t="s">
        <v>263</v>
      </c>
      <c r="Q1488" s="21">
        <f t="shared" si="24"/>
        <v>4.270856481482042</v>
      </c>
      <c r="R1488" s="1"/>
    </row>
    <row r="1489" spans="1:18" x14ac:dyDescent="0.15">
      <c r="A1489" s="1">
        <v>82152</v>
      </c>
      <c r="B1489" s="1">
        <v>0</v>
      </c>
      <c r="D1489" s="1" t="s">
        <v>27</v>
      </c>
      <c r="E1489" s="1" t="s">
        <v>1162</v>
      </c>
      <c r="F1489" s="1" t="s">
        <v>1163</v>
      </c>
      <c r="G1489" s="1" t="s">
        <v>16</v>
      </c>
      <c r="I1489" s="18">
        <v>40673.770995370367</v>
      </c>
      <c r="J1489" s="1" t="s">
        <v>151</v>
      </c>
      <c r="K1489" s="1" t="s">
        <v>18</v>
      </c>
      <c r="L1489" s="1" t="s">
        <v>19</v>
      </c>
      <c r="Q1489" s="21"/>
    </row>
    <row r="1490" spans="1:18" x14ac:dyDescent="0.15">
      <c r="A1490" s="1">
        <v>82096</v>
      </c>
      <c r="B1490" s="1">
        <v>0</v>
      </c>
      <c r="C1490" s="1" t="s">
        <v>26</v>
      </c>
      <c r="D1490" s="1" t="s">
        <v>27</v>
      </c>
      <c r="E1490" s="1" t="s">
        <v>431</v>
      </c>
      <c r="F1490" s="1" t="s">
        <v>432</v>
      </c>
      <c r="G1490" s="1" t="s">
        <v>23</v>
      </c>
      <c r="I1490" s="18">
        <v>40673.138807870368</v>
      </c>
      <c r="J1490" s="1" t="s">
        <v>40</v>
      </c>
      <c r="K1490" s="1" t="s">
        <v>18</v>
      </c>
      <c r="L1490" s="1" t="s">
        <v>19</v>
      </c>
      <c r="Q1490" s="21"/>
    </row>
    <row r="1491" spans="1:18" x14ac:dyDescent="0.15">
      <c r="A1491" s="1">
        <v>81949</v>
      </c>
      <c r="B1491" s="1">
        <v>0</v>
      </c>
      <c r="C1491" s="1" t="s">
        <v>26</v>
      </c>
      <c r="D1491" s="1" t="s">
        <v>27</v>
      </c>
      <c r="E1491" s="1" t="s">
        <v>1796</v>
      </c>
      <c r="F1491" s="1" t="s">
        <v>1797</v>
      </c>
      <c r="G1491" s="1" t="s">
        <v>23</v>
      </c>
      <c r="I1491" s="18">
        <v>40671.341863425929</v>
      </c>
      <c r="J1491" s="1" t="s">
        <v>44</v>
      </c>
      <c r="K1491" s="1" t="s">
        <v>18</v>
      </c>
      <c r="L1491" s="1" t="s">
        <v>19</v>
      </c>
      <c r="Q1491" s="21"/>
    </row>
    <row r="1492" spans="1:18" x14ac:dyDescent="0.15">
      <c r="A1492" s="1">
        <v>81351</v>
      </c>
      <c r="B1492" s="1">
        <v>0</v>
      </c>
      <c r="C1492" s="1" t="s">
        <v>26</v>
      </c>
      <c r="D1492" s="1" t="s">
        <v>27</v>
      </c>
      <c r="E1492" s="1" t="s">
        <v>422</v>
      </c>
      <c r="F1492" s="1" t="s">
        <v>423</v>
      </c>
      <c r="G1492" s="1" t="s">
        <v>23</v>
      </c>
      <c r="I1492" s="18">
        <v>40666.294814814813</v>
      </c>
      <c r="J1492" s="1" t="s">
        <v>40</v>
      </c>
      <c r="K1492" s="1" t="s">
        <v>18</v>
      </c>
      <c r="L1492" s="1" t="s">
        <v>19</v>
      </c>
      <c r="Q1492" s="21"/>
    </row>
    <row r="1493" spans="1:18" x14ac:dyDescent="0.15">
      <c r="A1493" s="1">
        <v>81348</v>
      </c>
      <c r="B1493" s="1">
        <v>0</v>
      </c>
      <c r="C1493" s="1" t="s">
        <v>26</v>
      </c>
      <c r="D1493" s="1" t="s">
        <v>27</v>
      </c>
      <c r="E1493" s="1" t="s">
        <v>2566</v>
      </c>
      <c r="F1493" s="1" t="s">
        <v>2567</v>
      </c>
      <c r="G1493" s="1" t="s">
        <v>23</v>
      </c>
      <c r="I1493" s="18">
        <v>40666.26699074074</v>
      </c>
      <c r="J1493" s="1" t="s">
        <v>40</v>
      </c>
      <c r="K1493" s="1" t="s">
        <v>18</v>
      </c>
      <c r="L1493" s="1" t="s">
        <v>19</v>
      </c>
      <c r="Q1493" s="21"/>
    </row>
    <row r="1494" spans="1:18" x14ac:dyDescent="0.15">
      <c r="A1494" s="1">
        <v>80608</v>
      </c>
      <c r="B1494" s="1">
        <v>0</v>
      </c>
      <c r="C1494" s="1" t="s">
        <v>26</v>
      </c>
      <c r="D1494" s="1" t="s">
        <v>27</v>
      </c>
      <c r="E1494" s="1" t="s">
        <v>1923</v>
      </c>
      <c r="F1494" s="1" t="s">
        <v>1924</v>
      </c>
      <c r="G1494" s="1" t="s">
        <v>23</v>
      </c>
      <c r="I1494" s="18">
        <v>40659.956655092596</v>
      </c>
      <c r="J1494" s="1" t="s">
        <v>1925</v>
      </c>
      <c r="K1494" s="1" t="s">
        <v>18</v>
      </c>
      <c r="L1494" s="1" t="s">
        <v>19</v>
      </c>
      <c r="Q1494" s="21"/>
    </row>
    <row r="1495" spans="1:18" x14ac:dyDescent="0.15">
      <c r="A1495" s="1">
        <v>80116</v>
      </c>
      <c r="B1495" s="1">
        <v>0</v>
      </c>
      <c r="C1495" s="1" t="s">
        <v>26</v>
      </c>
      <c r="D1495" s="1" t="s">
        <v>27</v>
      </c>
      <c r="E1495" s="1" t="s">
        <v>2282</v>
      </c>
      <c r="F1495" s="1" t="s">
        <v>2283</v>
      </c>
      <c r="G1495" s="1" t="s">
        <v>23</v>
      </c>
      <c r="I1495" s="18">
        <v>40654.097361111111</v>
      </c>
      <c r="J1495" s="1" t="s">
        <v>92</v>
      </c>
      <c r="K1495" s="1" t="s">
        <v>18</v>
      </c>
      <c r="L1495" s="1" t="s">
        <v>19</v>
      </c>
      <c r="Q1495" s="21"/>
    </row>
    <row r="1496" spans="1:18" x14ac:dyDescent="0.15">
      <c r="A1496" s="1">
        <v>79746</v>
      </c>
      <c r="B1496" s="1">
        <v>0</v>
      </c>
      <c r="C1496" s="1" t="s">
        <v>26</v>
      </c>
      <c r="D1496" s="1" t="s">
        <v>27</v>
      </c>
      <c r="E1496" s="1" t="s">
        <v>2313</v>
      </c>
      <c r="F1496" s="1" t="s">
        <v>2314</v>
      </c>
      <c r="G1496" s="1" t="s">
        <v>23</v>
      </c>
      <c r="I1496" s="18">
        <v>40651.658692129633</v>
      </c>
      <c r="J1496" s="1" t="s">
        <v>40</v>
      </c>
      <c r="K1496" s="1" t="s">
        <v>18</v>
      </c>
      <c r="L1496" s="1" t="s">
        <v>19</v>
      </c>
      <c r="Q1496" s="21"/>
    </row>
    <row r="1497" spans="1:18" x14ac:dyDescent="0.15">
      <c r="A1497" s="1">
        <v>79595</v>
      </c>
      <c r="B1497" s="1">
        <v>0</v>
      </c>
      <c r="C1497" s="1" t="s">
        <v>26</v>
      </c>
      <c r="D1497" s="1" t="s">
        <v>27</v>
      </c>
      <c r="E1497" s="1" t="s">
        <v>2355</v>
      </c>
      <c r="F1497" s="1" t="s">
        <v>2356</v>
      </c>
      <c r="G1497" s="1" t="s">
        <v>23</v>
      </c>
      <c r="I1497" s="18">
        <v>40648.757534722223</v>
      </c>
      <c r="J1497" s="1" t="s">
        <v>40</v>
      </c>
      <c r="K1497" s="1" t="s">
        <v>18</v>
      </c>
      <c r="L1497" s="1" t="s">
        <v>19</v>
      </c>
      <c r="Q1497" s="21"/>
    </row>
    <row r="1498" spans="1:18" x14ac:dyDescent="0.15">
      <c r="A1498" s="1">
        <v>79075</v>
      </c>
      <c r="B1498" s="1">
        <v>0</v>
      </c>
      <c r="C1498" s="1" t="s">
        <v>26</v>
      </c>
      <c r="D1498" s="1" t="s">
        <v>27</v>
      </c>
      <c r="E1498" s="1" t="s">
        <v>2510</v>
      </c>
      <c r="F1498" s="1" t="s">
        <v>2511</v>
      </c>
      <c r="G1498" s="1" t="s">
        <v>23</v>
      </c>
      <c r="I1498" s="18">
        <v>40644.792685185188</v>
      </c>
      <c r="J1498" s="1" t="s">
        <v>40</v>
      </c>
      <c r="K1498" s="1" t="s">
        <v>18</v>
      </c>
      <c r="L1498" s="1" t="s">
        <v>19</v>
      </c>
      <c r="Q1498" s="21"/>
    </row>
    <row r="1499" spans="1:18" x14ac:dyDescent="0.15">
      <c r="A1499" s="1">
        <v>79055</v>
      </c>
      <c r="B1499" s="1">
        <v>0</v>
      </c>
      <c r="C1499" s="1" t="s">
        <v>26</v>
      </c>
      <c r="D1499" s="1" t="s">
        <v>27</v>
      </c>
      <c r="E1499" s="1" t="s">
        <v>392</v>
      </c>
      <c r="F1499" s="1" t="s">
        <v>393</v>
      </c>
      <c r="G1499" s="1" t="s">
        <v>23</v>
      </c>
      <c r="I1499" s="18">
        <v>40644.720138888886</v>
      </c>
      <c r="J1499" s="1" t="s">
        <v>40</v>
      </c>
      <c r="K1499" s="1" t="s">
        <v>18</v>
      </c>
      <c r="L1499" s="1" t="s">
        <v>19</v>
      </c>
      <c r="Q1499" s="21"/>
    </row>
    <row r="1500" spans="1:18" x14ac:dyDescent="0.15">
      <c r="A1500" s="1">
        <v>79025</v>
      </c>
      <c r="B1500" s="1">
        <v>0</v>
      </c>
      <c r="C1500" s="1" t="s">
        <v>26</v>
      </c>
      <c r="D1500" s="1" t="s">
        <v>27</v>
      </c>
      <c r="E1500" s="1" t="s">
        <v>1568</v>
      </c>
      <c r="F1500" s="1" t="s">
        <v>1569</v>
      </c>
      <c r="G1500" s="1" t="s">
        <v>23</v>
      </c>
      <c r="I1500" s="18">
        <v>40644.522604166668</v>
      </c>
      <c r="J1500" s="1" t="s">
        <v>40</v>
      </c>
      <c r="K1500" s="1" t="s">
        <v>18</v>
      </c>
      <c r="L1500" s="1" t="s">
        <v>19</v>
      </c>
      <c r="Q1500" s="21"/>
    </row>
    <row r="1501" spans="1:18" x14ac:dyDescent="0.15">
      <c r="A1501" s="1">
        <v>78948</v>
      </c>
      <c r="B1501" s="1">
        <v>0</v>
      </c>
      <c r="C1501" s="1" t="s">
        <v>26</v>
      </c>
      <c r="D1501" s="1" t="s">
        <v>27</v>
      </c>
      <c r="E1501" s="1" t="s">
        <v>1430</v>
      </c>
      <c r="F1501" s="1" t="s">
        <v>1431</v>
      </c>
      <c r="G1501" s="1" t="s">
        <v>23</v>
      </c>
      <c r="I1501" s="18">
        <v>40643.334317129629</v>
      </c>
      <c r="J1501" s="1" t="s">
        <v>40</v>
      </c>
      <c r="K1501" s="1" t="s">
        <v>18</v>
      </c>
      <c r="L1501" s="1" t="s">
        <v>19</v>
      </c>
      <c r="Q1501" s="21"/>
    </row>
    <row r="1502" spans="1:18" x14ac:dyDescent="0.15">
      <c r="A1502" s="1">
        <v>78841</v>
      </c>
      <c r="B1502" s="1">
        <v>1</v>
      </c>
      <c r="C1502" s="1" t="s">
        <v>26</v>
      </c>
      <c r="D1502" s="1" t="s">
        <v>27</v>
      </c>
      <c r="E1502" s="1" t="s">
        <v>331</v>
      </c>
      <c r="F1502" s="1" t="s">
        <v>332</v>
      </c>
      <c r="G1502" s="1" t="s">
        <v>23</v>
      </c>
      <c r="I1502" s="18">
        <v>40641.814629629633</v>
      </c>
      <c r="J1502" s="1" t="s">
        <v>44</v>
      </c>
      <c r="K1502" s="1" t="s">
        <v>18</v>
      </c>
      <c r="L1502" s="1" t="s">
        <v>19</v>
      </c>
      <c r="M1502" s="1">
        <v>82354</v>
      </c>
      <c r="N1502" s="1" t="s">
        <v>333</v>
      </c>
      <c r="O1502" s="18">
        <v>40674.981666666667</v>
      </c>
      <c r="P1502" s="1" t="s">
        <v>92</v>
      </c>
      <c r="Q1502" s="21">
        <f t="shared" si="24"/>
        <v>33.167037037033879</v>
      </c>
      <c r="R1502" s="1"/>
    </row>
    <row r="1503" spans="1:18" x14ac:dyDescent="0.15">
      <c r="A1503" s="1">
        <v>78639</v>
      </c>
      <c r="B1503" s="1">
        <v>0</v>
      </c>
      <c r="C1503" s="1" t="s">
        <v>194</v>
      </c>
      <c r="D1503" s="1" t="s">
        <v>27</v>
      </c>
      <c r="E1503" s="1" t="s">
        <v>1210</v>
      </c>
      <c r="F1503" s="1" t="s">
        <v>1211</v>
      </c>
      <c r="G1503" s="1"/>
      <c r="H1503" s="1"/>
      <c r="I1503" s="18">
        <v>40639.822280092594</v>
      </c>
      <c r="J1503" s="1" t="s">
        <v>1212</v>
      </c>
      <c r="K1503" s="1" t="s">
        <v>18</v>
      </c>
      <c r="L1503" s="1" t="s">
        <v>19</v>
      </c>
      <c r="Q1503" s="21"/>
    </row>
    <row r="1504" spans="1:18" x14ac:dyDescent="0.15">
      <c r="A1504" s="1">
        <v>78576</v>
      </c>
      <c r="B1504" s="1">
        <v>0</v>
      </c>
      <c r="C1504" s="1" t="s">
        <v>133</v>
      </c>
      <c r="D1504" s="1" t="s">
        <v>27</v>
      </c>
      <c r="E1504" s="1" t="s">
        <v>345</v>
      </c>
      <c r="F1504" s="1" t="s">
        <v>346</v>
      </c>
      <c r="G1504" s="1" t="s">
        <v>23</v>
      </c>
      <c r="I1504" s="18">
        <v>40639.405162037037</v>
      </c>
      <c r="J1504" s="1" t="s">
        <v>148</v>
      </c>
      <c r="K1504" s="1" t="s">
        <v>18</v>
      </c>
      <c r="L1504" s="1" t="s">
        <v>19</v>
      </c>
      <c r="Q1504" s="21"/>
    </row>
    <row r="1505" spans="1:18" x14ac:dyDescent="0.15">
      <c r="A1505" s="1">
        <v>78572</v>
      </c>
      <c r="B1505" s="1">
        <v>0</v>
      </c>
      <c r="C1505" s="1" t="s">
        <v>133</v>
      </c>
      <c r="D1505" s="1" t="s">
        <v>27</v>
      </c>
      <c r="E1505" s="1" t="s">
        <v>347</v>
      </c>
      <c r="F1505" s="1" t="s">
        <v>348</v>
      </c>
      <c r="G1505" s="1" t="s">
        <v>23</v>
      </c>
      <c r="I1505" s="18">
        <v>40639.358854166669</v>
      </c>
      <c r="J1505" s="1" t="s">
        <v>148</v>
      </c>
      <c r="K1505" s="1" t="s">
        <v>18</v>
      </c>
      <c r="L1505" s="1" t="s">
        <v>19</v>
      </c>
      <c r="Q1505" s="21"/>
    </row>
    <row r="1506" spans="1:18" x14ac:dyDescent="0.15">
      <c r="A1506" s="1">
        <v>78524</v>
      </c>
      <c r="B1506" s="1">
        <v>0</v>
      </c>
      <c r="C1506" s="1" t="s">
        <v>537</v>
      </c>
      <c r="D1506" s="1" t="s">
        <v>27</v>
      </c>
      <c r="E1506" s="1" t="s">
        <v>3653</v>
      </c>
      <c r="F1506" s="1" t="s">
        <v>3654</v>
      </c>
      <c r="G1506" s="1"/>
      <c r="H1506" s="1"/>
      <c r="I1506" s="18">
        <v>40639.015462962961</v>
      </c>
      <c r="J1506" s="1" t="s">
        <v>151</v>
      </c>
      <c r="K1506" s="1" t="s">
        <v>3586</v>
      </c>
      <c r="L1506" s="1" t="s">
        <v>19</v>
      </c>
      <c r="Q1506" s="21"/>
    </row>
    <row r="1507" spans="1:18" x14ac:dyDescent="0.15">
      <c r="A1507" s="1">
        <v>78516</v>
      </c>
      <c r="B1507" s="1">
        <v>0</v>
      </c>
      <c r="C1507" s="1" t="s">
        <v>170</v>
      </c>
      <c r="D1507" s="1" t="s">
        <v>27</v>
      </c>
      <c r="E1507" s="1" t="s">
        <v>2877</v>
      </c>
      <c r="F1507" s="1" t="s">
        <v>2878</v>
      </c>
      <c r="G1507" s="1" t="s">
        <v>23</v>
      </c>
      <c r="I1507" s="18">
        <v>40638.956192129626</v>
      </c>
      <c r="J1507" s="1" t="s">
        <v>40</v>
      </c>
      <c r="K1507" s="1" t="s">
        <v>18</v>
      </c>
      <c r="L1507" s="1" t="s">
        <v>19</v>
      </c>
      <c r="Q1507" s="21"/>
    </row>
    <row r="1508" spans="1:18" x14ac:dyDescent="0.15">
      <c r="A1508" s="1">
        <v>78327</v>
      </c>
      <c r="B1508" s="1">
        <v>0</v>
      </c>
      <c r="C1508" s="1" t="s">
        <v>26</v>
      </c>
      <c r="D1508" s="1" t="s">
        <v>27</v>
      </c>
      <c r="E1508" s="1" t="s">
        <v>390</v>
      </c>
      <c r="F1508" s="1" t="s">
        <v>391</v>
      </c>
      <c r="G1508" s="1" t="s">
        <v>23</v>
      </c>
      <c r="I1508" s="18">
        <v>40637.66369212963</v>
      </c>
      <c r="J1508" s="1" t="s">
        <v>40</v>
      </c>
      <c r="K1508" s="1" t="s">
        <v>18</v>
      </c>
      <c r="L1508" s="1" t="s">
        <v>19</v>
      </c>
      <c r="Q1508" s="21"/>
    </row>
    <row r="1509" spans="1:18" x14ac:dyDescent="0.15">
      <c r="A1509" s="1">
        <v>78106</v>
      </c>
      <c r="B1509" s="1">
        <v>0</v>
      </c>
      <c r="C1509" s="1" t="s">
        <v>26</v>
      </c>
      <c r="D1509" s="1" t="s">
        <v>27</v>
      </c>
      <c r="E1509" s="1" t="s">
        <v>2526</v>
      </c>
      <c r="F1509" s="1" t="s">
        <v>2527</v>
      </c>
      <c r="G1509" s="1" t="s">
        <v>23</v>
      </c>
      <c r="I1509" s="18">
        <v>40633.994050925925</v>
      </c>
      <c r="J1509" s="1" t="s">
        <v>1925</v>
      </c>
      <c r="K1509" s="1" t="s">
        <v>18</v>
      </c>
      <c r="L1509" s="1" t="s">
        <v>19</v>
      </c>
      <c r="Q1509" s="21"/>
    </row>
    <row r="1510" spans="1:18" x14ac:dyDescent="0.15">
      <c r="A1510" s="1">
        <v>78053</v>
      </c>
      <c r="B1510" s="1">
        <v>1</v>
      </c>
      <c r="C1510" s="1" t="s">
        <v>26</v>
      </c>
      <c r="D1510" s="1" t="s">
        <v>27</v>
      </c>
      <c r="E1510" s="1" t="s">
        <v>2784</v>
      </c>
      <c r="F1510" s="1" t="s">
        <v>2785</v>
      </c>
      <c r="G1510" s="1" t="s">
        <v>23</v>
      </c>
      <c r="I1510" s="18">
        <v>40633.69159722222</v>
      </c>
      <c r="J1510" s="1" t="s">
        <v>40</v>
      </c>
      <c r="K1510" s="1" t="s">
        <v>18</v>
      </c>
      <c r="L1510" s="1" t="s">
        <v>19</v>
      </c>
      <c r="M1510" s="1">
        <v>75426</v>
      </c>
      <c r="N1510" s="1" t="s">
        <v>2786</v>
      </c>
      <c r="O1510" s="18">
        <v>40611.504131944443</v>
      </c>
      <c r="P1510" s="1" t="s">
        <v>2787</v>
      </c>
      <c r="Q1510" s="21">
        <f t="shared" si="24"/>
        <v>22.187465277776937</v>
      </c>
      <c r="R1510" s="1"/>
    </row>
    <row r="1511" spans="1:18" x14ac:dyDescent="0.15">
      <c r="A1511" s="1">
        <v>78038</v>
      </c>
      <c r="B1511" s="1">
        <v>0</v>
      </c>
      <c r="C1511" s="1" t="s">
        <v>3670</v>
      </c>
      <c r="D1511" s="1" t="s">
        <v>27</v>
      </c>
      <c r="E1511" s="1" t="s">
        <v>3671</v>
      </c>
      <c r="F1511" s="1" t="s">
        <v>3672</v>
      </c>
      <c r="G1511" s="1" t="s">
        <v>16</v>
      </c>
      <c r="I1511" s="18">
        <v>40633.593032407407</v>
      </c>
      <c r="J1511" s="1" t="s">
        <v>2424</v>
      </c>
      <c r="K1511" s="1" t="s">
        <v>3586</v>
      </c>
      <c r="L1511" s="1" t="s">
        <v>19</v>
      </c>
      <c r="Q1511" s="21"/>
    </row>
    <row r="1512" spans="1:18" x14ac:dyDescent="0.15">
      <c r="A1512" s="1">
        <v>78031</v>
      </c>
      <c r="B1512" s="1">
        <v>0</v>
      </c>
      <c r="D1512" s="1" t="s">
        <v>27</v>
      </c>
      <c r="E1512" s="1" t="s">
        <v>2408</v>
      </c>
      <c r="F1512" s="1" t="s">
        <v>1831</v>
      </c>
      <c r="G1512" s="1" t="s">
        <v>23</v>
      </c>
      <c r="I1512" s="18">
        <v>40633.502245370371</v>
      </c>
      <c r="J1512" s="1" t="s">
        <v>263</v>
      </c>
      <c r="K1512" s="1" t="s">
        <v>18</v>
      </c>
      <c r="L1512" s="1" t="s">
        <v>19</v>
      </c>
      <c r="Q1512" s="21"/>
    </row>
    <row r="1513" spans="1:18" x14ac:dyDescent="0.15">
      <c r="A1513" s="1">
        <v>77940</v>
      </c>
      <c r="B1513" s="1">
        <v>0</v>
      </c>
      <c r="C1513" s="1" t="s">
        <v>26</v>
      </c>
      <c r="D1513" s="1" t="s">
        <v>27</v>
      </c>
      <c r="E1513" s="1" t="s">
        <v>3356</v>
      </c>
      <c r="F1513" s="1" t="s">
        <v>3357</v>
      </c>
      <c r="G1513" s="1" t="s">
        <v>23</v>
      </c>
      <c r="I1513" s="18">
        <v>40632.787627314814</v>
      </c>
      <c r="J1513" s="1" t="s">
        <v>40</v>
      </c>
      <c r="K1513" s="1" t="s">
        <v>18</v>
      </c>
      <c r="L1513" s="1" t="s">
        <v>19</v>
      </c>
      <c r="Q1513" s="21"/>
    </row>
    <row r="1514" spans="1:18" x14ac:dyDescent="0.15">
      <c r="A1514" s="1">
        <v>77765</v>
      </c>
      <c r="B1514" s="1">
        <v>0</v>
      </c>
      <c r="C1514" s="1" t="s">
        <v>26</v>
      </c>
      <c r="D1514" s="1" t="s">
        <v>27</v>
      </c>
      <c r="E1514" s="1" t="s">
        <v>2926</v>
      </c>
      <c r="F1514" s="1" t="s">
        <v>2927</v>
      </c>
      <c r="G1514" s="1" t="s">
        <v>23</v>
      </c>
      <c r="I1514" s="18">
        <v>40631.677395833336</v>
      </c>
      <c r="J1514" s="1" t="s">
        <v>40</v>
      </c>
      <c r="K1514" s="1" t="s">
        <v>18</v>
      </c>
      <c r="L1514" s="1" t="s">
        <v>19</v>
      </c>
      <c r="Q1514" s="21"/>
    </row>
    <row r="1515" spans="1:18" x14ac:dyDescent="0.15">
      <c r="A1515" s="1">
        <v>77703</v>
      </c>
      <c r="B1515" s="1">
        <v>0</v>
      </c>
      <c r="C1515" s="1" t="s">
        <v>26</v>
      </c>
      <c r="D1515" s="1" t="s">
        <v>27</v>
      </c>
      <c r="E1515" s="1" t="s">
        <v>713</v>
      </c>
      <c r="F1515" s="1" t="s">
        <v>714</v>
      </c>
      <c r="G1515" s="1" t="s">
        <v>23</v>
      </c>
      <c r="I1515" s="18">
        <v>40630.977476851855</v>
      </c>
      <c r="J1515" s="1" t="s">
        <v>40</v>
      </c>
      <c r="K1515" s="1" t="s">
        <v>18</v>
      </c>
      <c r="L1515" s="1" t="s">
        <v>19</v>
      </c>
      <c r="Q1515" s="21"/>
    </row>
    <row r="1516" spans="1:18" x14ac:dyDescent="0.15">
      <c r="A1516" s="1">
        <v>77690</v>
      </c>
      <c r="B1516" s="1">
        <v>0</v>
      </c>
      <c r="C1516" s="1" t="s">
        <v>26</v>
      </c>
      <c r="D1516" s="1" t="s">
        <v>27</v>
      </c>
      <c r="E1516" s="1" t="s">
        <v>661</v>
      </c>
      <c r="F1516" s="1" t="s">
        <v>662</v>
      </c>
      <c r="G1516" s="1" t="s">
        <v>23</v>
      </c>
      <c r="I1516" s="18">
        <v>40630.922881944447</v>
      </c>
      <c r="J1516" s="1" t="s">
        <v>40</v>
      </c>
      <c r="K1516" s="1" t="s">
        <v>18</v>
      </c>
      <c r="L1516" s="1" t="s">
        <v>19</v>
      </c>
      <c r="Q1516" s="21"/>
    </row>
    <row r="1517" spans="1:18" x14ac:dyDescent="0.15">
      <c r="A1517" s="1">
        <v>77669</v>
      </c>
      <c r="B1517" s="1">
        <v>0</v>
      </c>
      <c r="C1517" s="1" t="s">
        <v>26</v>
      </c>
      <c r="D1517" s="1" t="s">
        <v>27</v>
      </c>
      <c r="E1517" s="1" t="s">
        <v>1884</v>
      </c>
      <c r="F1517" s="1" t="s">
        <v>1885</v>
      </c>
      <c r="G1517" s="1" t="s">
        <v>23</v>
      </c>
      <c r="I1517" s="18">
        <v>40630.78056712963</v>
      </c>
      <c r="J1517" s="1" t="s">
        <v>40</v>
      </c>
      <c r="K1517" s="1" t="s">
        <v>18</v>
      </c>
      <c r="L1517" s="1" t="s">
        <v>19</v>
      </c>
      <c r="Q1517" s="21"/>
    </row>
    <row r="1518" spans="1:18" x14ac:dyDescent="0.15">
      <c r="A1518" s="1">
        <v>77507</v>
      </c>
      <c r="B1518" s="1">
        <v>0</v>
      </c>
      <c r="C1518" s="1" t="s">
        <v>26</v>
      </c>
      <c r="D1518" s="1" t="s">
        <v>27</v>
      </c>
      <c r="E1518" s="1" t="s">
        <v>1830</v>
      </c>
      <c r="F1518" s="1" t="s">
        <v>1831</v>
      </c>
      <c r="G1518" s="1" t="s">
        <v>23</v>
      </c>
      <c r="I1518" s="18">
        <v>40628.403194444443</v>
      </c>
      <c r="J1518" s="1" t="s">
        <v>263</v>
      </c>
      <c r="K1518" s="1" t="s">
        <v>18</v>
      </c>
      <c r="L1518" s="1" t="s">
        <v>19</v>
      </c>
      <c r="Q1518" s="21"/>
    </row>
    <row r="1519" spans="1:18" x14ac:dyDescent="0.15">
      <c r="A1519" s="1">
        <v>77346</v>
      </c>
      <c r="B1519" s="1">
        <v>0</v>
      </c>
      <c r="C1519" s="1" t="s">
        <v>26</v>
      </c>
      <c r="D1519" s="1" t="s">
        <v>27</v>
      </c>
      <c r="E1519" s="1" t="s">
        <v>324</v>
      </c>
      <c r="F1519" s="1" t="s">
        <v>325</v>
      </c>
      <c r="G1519" s="1" t="s">
        <v>23</v>
      </c>
      <c r="I1519" s="18">
        <v>40627.06212962963</v>
      </c>
      <c r="J1519" s="1" t="s">
        <v>326</v>
      </c>
      <c r="K1519" s="1" t="s">
        <v>18</v>
      </c>
      <c r="L1519" s="1" t="s">
        <v>19</v>
      </c>
      <c r="Q1519" s="21"/>
    </row>
    <row r="1520" spans="1:18" x14ac:dyDescent="0.15">
      <c r="A1520" s="1">
        <v>77181</v>
      </c>
      <c r="B1520" s="1">
        <v>0</v>
      </c>
      <c r="C1520" s="1" t="s">
        <v>26</v>
      </c>
      <c r="D1520" s="1" t="s">
        <v>27</v>
      </c>
      <c r="E1520" s="1" t="s">
        <v>2067</v>
      </c>
      <c r="F1520" s="1" t="s">
        <v>2068</v>
      </c>
      <c r="G1520" s="1" t="s">
        <v>23</v>
      </c>
      <c r="I1520" s="18">
        <v>40625.771678240744</v>
      </c>
      <c r="J1520" s="1" t="s">
        <v>398</v>
      </c>
      <c r="K1520" s="1" t="s">
        <v>18</v>
      </c>
      <c r="L1520" s="1" t="s">
        <v>19</v>
      </c>
      <c r="Q1520" s="21"/>
    </row>
    <row r="1521" spans="1:18" x14ac:dyDescent="0.15">
      <c r="A1521" s="1">
        <v>77130</v>
      </c>
      <c r="B1521" s="1">
        <v>0</v>
      </c>
      <c r="C1521" s="1" t="s">
        <v>26</v>
      </c>
      <c r="D1521" s="1" t="s">
        <v>27</v>
      </c>
      <c r="E1521" s="1" t="s">
        <v>3063</v>
      </c>
      <c r="F1521" s="1" t="s">
        <v>3064</v>
      </c>
      <c r="G1521" s="1" t="s">
        <v>23</v>
      </c>
      <c r="I1521" s="18">
        <v>40625.221226851849</v>
      </c>
      <c r="J1521" s="1" t="s">
        <v>30</v>
      </c>
      <c r="K1521" s="1" t="s">
        <v>18</v>
      </c>
      <c r="L1521" s="1" t="s">
        <v>19</v>
      </c>
      <c r="Q1521" s="21"/>
    </row>
    <row r="1522" spans="1:18" x14ac:dyDescent="0.15">
      <c r="A1522" s="1">
        <v>76966</v>
      </c>
      <c r="B1522" s="1">
        <v>0</v>
      </c>
      <c r="C1522" s="1" t="s">
        <v>26</v>
      </c>
      <c r="D1522" s="1" t="s">
        <v>27</v>
      </c>
      <c r="E1522" s="1" t="s">
        <v>3031</v>
      </c>
      <c r="F1522" s="1" t="s">
        <v>3032</v>
      </c>
      <c r="G1522" s="1" t="s">
        <v>23</v>
      </c>
      <c r="I1522" s="18">
        <v>40623.874247685184</v>
      </c>
      <c r="J1522" s="1" t="s">
        <v>44</v>
      </c>
      <c r="K1522" s="1" t="s">
        <v>18</v>
      </c>
      <c r="L1522" s="1" t="s">
        <v>19</v>
      </c>
      <c r="Q1522" s="21"/>
    </row>
    <row r="1523" spans="1:18" x14ac:dyDescent="0.15">
      <c r="A1523" s="1">
        <v>76784</v>
      </c>
      <c r="B1523" s="1">
        <v>0</v>
      </c>
      <c r="C1523" s="1" t="s">
        <v>133</v>
      </c>
      <c r="D1523" s="1" t="s">
        <v>27</v>
      </c>
      <c r="E1523" s="1" t="s">
        <v>1664</v>
      </c>
      <c r="F1523" s="1" t="s">
        <v>1665</v>
      </c>
      <c r="G1523" s="1" t="s">
        <v>23</v>
      </c>
      <c r="I1523" s="18">
        <v>40621.659930555557</v>
      </c>
      <c r="J1523" s="1" t="s">
        <v>40</v>
      </c>
      <c r="K1523" s="1" t="s">
        <v>18</v>
      </c>
      <c r="L1523" s="1" t="s">
        <v>19</v>
      </c>
      <c r="Q1523" s="21"/>
    </row>
    <row r="1524" spans="1:18" x14ac:dyDescent="0.15">
      <c r="A1524" s="1">
        <v>76771</v>
      </c>
      <c r="B1524" s="1">
        <v>1</v>
      </c>
      <c r="C1524" s="1" t="s">
        <v>145</v>
      </c>
      <c r="D1524" s="1" t="s">
        <v>27</v>
      </c>
      <c r="E1524" s="1" t="s">
        <v>1534</v>
      </c>
      <c r="F1524" s="1" t="s">
        <v>1535</v>
      </c>
      <c r="G1524" s="1" t="s">
        <v>23</v>
      </c>
      <c r="I1524" s="18">
        <v>40621.336458333331</v>
      </c>
      <c r="J1524" s="1" t="s">
        <v>445</v>
      </c>
      <c r="K1524" s="1" t="s">
        <v>18</v>
      </c>
      <c r="L1524" s="1" t="s">
        <v>19</v>
      </c>
      <c r="M1524" s="1">
        <v>91288</v>
      </c>
      <c r="N1524" s="1" t="s">
        <v>1536</v>
      </c>
      <c r="O1524" s="18">
        <v>40756.969502314816</v>
      </c>
      <c r="P1524" s="1" t="s">
        <v>1435</v>
      </c>
      <c r="Q1524" s="21">
        <f t="shared" si="24"/>
        <v>135.63304398148466</v>
      </c>
      <c r="R1524" s="1"/>
    </row>
    <row r="1525" spans="1:18" x14ac:dyDescent="0.15">
      <c r="A1525" s="1">
        <v>76666</v>
      </c>
      <c r="B1525" s="1">
        <v>0</v>
      </c>
      <c r="C1525" s="1" t="s">
        <v>26</v>
      </c>
      <c r="D1525" s="1" t="s">
        <v>27</v>
      </c>
      <c r="E1525" s="1" t="s">
        <v>1834</v>
      </c>
      <c r="F1525" s="1" t="s">
        <v>1835</v>
      </c>
      <c r="G1525" s="1"/>
      <c r="H1525" s="1"/>
      <c r="I1525" s="18">
        <v>40620.519247685188</v>
      </c>
      <c r="J1525" s="1" t="s">
        <v>263</v>
      </c>
      <c r="K1525" s="1" t="s">
        <v>18</v>
      </c>
      <c r="L1525" s="1" t="s">
        <v>19</v>
      </c>
      <c r="Q1525" s="21"/>
    </row>
    <row r="1526" spans="1:18" x14ac:dyDescent="0.15">
      <c r="A1526" s="1">
        <v>76589</v>
      </c>
      <c r="B1526" s="1">
        <v>0</v>
      </c>
      <c r="C1526" s="1" t="s">
        <v>26</v>
      </c>
      <c r="D1526" s="1" t="s">
        <v>3714</v>
      </c>
      <c r="E1526" s="1" t="s">
        <v>3878</v>
      </c>
      <c r="F1526" s="1" t="s">
        <v>3879</v>
      </c>
      <c r="G1526" s="1"/>
      <c r="H1526" s="1"/>
      <c r="I1526" s="18">
        <v>40619.909236111111</v>
      </c>
      <c r="J1526" s="1" t="s">
        <v>3880</v>
      </c>
      <c r="K1526" s="1" t="s">
        <v>3586</v>
      </c>
      <c r="L1526" s="1" t="s">
        <v>19</v>
      </c>
      <c r="Q1526" s="21"/>
    </row>
    <row r="1527" spans="1:18" x14ac:dyDescent="0.15">
      <c r="A1527" s="1">
        <v>76542</v>
      </c>
      <c r="B1527" s="1">
        <v>0</v>
      </c>
      <c r="D1527" s="1" t="s">
        <v>27</v>
      </c>
      <c r="E1527" s="1" t="s">
        <v>1517</v>
      </c>
      <c r="F1527" s="1" t="s">
        <v>1518</v>
      </c>
      <c r="G1527" s="1"/>
      <c r="H1527" s="1"/>
      <c r="I1527" s="18">
        <v>40619.719375000001</v>
      </c>
      <c r="J1527" s="1" t="s">
        <v>1519</v>
      </c>
      <c r="K1527" s="1" t="s">
        <v>18</v>
      </c>
      <c r="L1527" s="1" t="s">
        <v>19</v>
      </c>
      <c r="Q1527" s="21"/>
    </row>
    <row r="1528" spans="1:18" x14ac:dyDescent="0.15">
      <c r="A1528" s="1">
        <v>76474</v>
      </c>
      <c r="B1528" s="1">
        <v>0</v>
      </c>
      <c r="C1528" s="1" t="s">
        <v>141</v>
      </c>
      <c r="D1528" s="1" t="s">
        <v>27</v>
      </c>
      <c r="E1528" s="1" t="s">
        <v>142</v>
      </c>
      <c r="F1528" s="1" t="s">
        <v>143</v>
      </c>
      <c r="G1528" s="1" t="s">
        <v>23</v>
      </c>
      <c r="I1528" s="18">
        <v>40619.127835648149</v>
      </c>
      <c r="J1528" s="1" t="s">
        <v>144</v>
      </c>
      <c r="K1528" s="1" t="s">
        <v>18</v>
      </c>
      <c r="L1528" s="1" t="s">
        <v>19</v>
      </c>
      <c r="Q1528" s="21"/>
    </row>
    <row r="1529" spans="1:18" x14ac:dyDescent="0.15">
      <c r="A1529" s="1">
        <v>76001</v>
      </c>
      <c r="B1529" s="1">
        <v>0</v>
      </c>
      <c r="C1529" s="1" t="s">
        <v>26</v>
      </c>
      <c r="D1529" s="1" t="s">
        <v>27</v>
      </c>
      <c r="E1529" s="1" t="s">
        <v>770</v>
      </c>
      <c r="F1529" s="1" t="s">
        <v>771</v>
      </c>
      <c r="G1529" s="1" t="s">
        <v>23</v>
      </c>
      <c r="I1529" s="18">
        <v>40615.903043981481</v>
      </c>
      <c r="J1529" s="1" t="s">
        <v>92</v>
      </c>
      <c r="K1529" s="1" t="s">
        <v>18</v>
      </c>
      <c r="L1529" s="1" t="s">
        <v>19</v>
      </c>
      <c r="Q1529" s="21"/>
    </row>
    <row r="1530" spans="1:18" x14ac:dyDescent="0.15">
      <c r="A1530" s="1">
        <v>75835</v>
      </c>
      <c r="B1530" s="1">
        <v>0</v>
      </c>
      <c r="C1530" s="1" t="s">
        <v>26</v>
      </c>
      <c r="D1530" s="1" t="s">
        <v>27</v>
      </c>
      <c r="E1530" s="1" t="s">
        <v>2508</v>
      </c>
      <c r="F1530" s="1" t="s">
        <v>2509</v>
      </c>
      <c r="G1530" s="1" t="s">
        <v>23</v>
      </c>
      <c r="I1530" s="18">
        <v>40613.988599537035</v>
      </c>
      <c r="J1530" s="1" t="s">
        <v>40</v>
      </c>
      <c r="K1530" s="1" t="s">
        <v>18</v>
      </c>
      <c r="L1530" s="1" t="s">
        <v>19</v>
      </c>
      <c r="Q1530" s="21"/>
    </row>
    <row r="1531" spans="1:18" x14ac:dyDescent="0.15">
      <c r="A1531" s="1">
        <v>75712</v>
      </c>
      <c r="B1531" s="1">
        <v>0</v>
      </c>
      <c r="C1531" s="1" t="s">
        <v>26</v>
      </c>
      <c r="D1531" s="1" t="s">
        <v>27</v>
      </c>
      <c r="E1531" s="1" t="s">
        <v>1387</v>
      </c>
      <c r="F1531" s="1" t="s">
        <v>1388</v>
      </c>
      <c r="G1531" s="1"/>
      <c r="H1531" s="1"/>
      <c r="I1531" s="18">
        <v>40613.023645833331</v>
      </c>
      <c r="J1531" s="1" t="s">
        <v>151</v>
      </c>
      <c r="K1531" s="1" t="s">
        <v>18</v>
      </c>
      <c r="L1531" s="1" t="s">
        <v>19</v>
      </c>
      <c r="Q1531" s="21"/>
    </row>
    <row r="1532" spans="1:18" x14ac:dyDescent="0.15">
      <c r="A1532" s="1">
        <v>75629</v>
      </c>
      <c r="B1532" s="1">
        <v>0</v>
      </c>
      <c r="C1532" s="1" t="s">
        <v>1682</v>
      </c>
      <c r="D1532" s="1" t="s">
        <v>27</v>
      </c>
      <c r="E1532" s="1" t="s">
        <v>3642</v>
      </c>
      <c r="F1532" s="1" t="s">
        <v>3643</v>
      </c>
      <c r="G1532" s="1"/>
      <c r="H1532" s="1"/>
      <c r="I1532" s="18">
        <v>40612.686157407406</v>
      </c>
      <c r="J1532" s="1" t="s">
        <v>40</v>
      </c>
      <c r="K1532" s="1" t="s">
        <v>3586</v>
      </c>
      <c r="L1532" s="1" t="s">
        <v>19</v>
      </c>
      <c r="Q1532" s="21"/>
    </row>
    <row r="1533" spans="1:18" x14ac:dyDescent="0.15">
      <c r="A1533" s="1">
        <v>75436</v>
      </c>
      <c r="B1533" s="1">
        <v>1</v>
      </c>
      <c r="C1533" s="1" t="s">
        <v>905</v>
      </c>
      <c r="D1533" s="1" t="s">
        <v>27</v>
      </c>
      <c r="E1533" s="1" t="s">
        <v>906</v>
      </c>
      <c r="F1533" s="1" t="s">
        <v>907</v>
      </c>
      <c r="G1533" s="1" t="s">
        <v>23</v>
      </c>
      <c r="I1533" s="18">
        <v>40611.610034722224</v>
      </c>
      <c r="J1533" s="1" t="s">
        <v>40</v>
      </c>
      <c r="K1533" s="1" t="s">
        <v>18</v>
      </c>
      <c r="L1533" s="1" t="s">
        <v>19</v>
      </c>
      <c r="M1533" s="1">
        <v>75884</v>
      </c>
      <c r="N1533" s="1" t="s">
        <v>908</v>
      </c>
      <c r="O1533" s="18">
        <v>40614.604641203703</v>
      </c>
      <c r="P1533" s="1" t="s">
        <v>76</v>
      </c>
      <c r="Q1533" s="21">
        <f t="shared" si="24"/>
        <v>2.9946064814794227</v>
      </c>
      <c r="R1533" s="1"/>
    </row>
    <row r="1534" spans="1:18" x14ac:dyDescent="0.15">
      <c r="A1534" s="1">
        <v>75347</v>
      </c>
      <c r="B1534" s="1">
        <v>0</v>
      </c>
      <c r="C1534" s="1" t="s">
        <v>133</v>
      </c>
      <c r="D1534" s="1" t="s">
        <v>27</v>
      </c>
      <c r="E1534" s="1" t="s">
        <v>2685</v>
      </c>
      <c r="F1534" s="1" t="s">
        <v>2686</v>
      </c>
      <c r="G1534" s="1" t="s">
        <v>23</v>
      </c>
      <c r="I1534" s="18">
        <v>40610.95890046296</v>
      </c>
      <c r="J1534" s="1" t="s">
        <v>2687</v>
      </c>
      <c r="K1534" s="1" t="s">
        <v>18</v>
      </c>
      <c r="L1534" s="1" t="s">
        <v>19</v>
      </c>
      <c r="Q1534" s="21"/>
    </row>
    <row r="1535" spans="1:18" x14ac:dyDescent="0.15">
      <c r="A1535" s="1">
        <v>75311</v>
      </c>
      <c r="B1535" s="1">
        <v>0</v>
      </c>
      <c r="C1535" s="1" t="s">
        <v>26</v>
      </c>
      <c r="D1535" s="1" t="s">
        <v>27</v>
      </c>
      <c r="E1535" s="1" t="s">
        <v>2961</v>
      </c>
      <c r="F1535" s="1" t="s">
        <v>2962</v>
      </c>
      <c r="G1535" s="1" t="s">
        <v>23</v>
      </c>
      <c r="I1535" s="18">
        <v>40610.829988425925</v>
      </c>
      <c r="J1535" s="1" t="s">
        <v>40</v>
      </c>
      <c r="K1535" s="1" t="s">
        <v>18</v>
      </c>
      <c r="L1535" s="1" t="s">
        <v>19</v>
      </c>
      <c r="Q1535" s="21"/>
    </row>
    <row r="1536" spans="1:18" x14ac:dyDescent="0.15">
      <c r="A1536" s="1">
        <v>75186</v>
      </c>
      <c r="B1536" s="1">
        <v>0</v>
      </c>
      <c r="C1536" s="1" t="s">
        <v>26</v>
      </c>
      <c r="D1536" s="1" t="s">
        <v>27</v>
      </c>
      <c r="E1536" s="1" t="s">
        <v>3059</v>
      </c>
      <c r="F1536" s="1" t="s">
        <v>3060</v>
      </c>
      <c r="G1536" s="1" t="s">
        <v>23</v>
      </c>
      <c r="I1536" s="18">
        <v>40609.901354166665</v>
      </c>
      <c r="J1536" s="1" t="s">
        <v>72</v>
      </c>
      <c r="K1536" s="1" t="s">
        <v>18</v>
      </c>
      <c r="L1536" s="1" t="s">
        <v>19</v>
      </c>
      <c r="Q1536" s="21"/>
    </row>
    <row r="1537" spans="1:22" x14ac:dyDescent="0.15">
      <c r="A1537" s="1">
        <v>75155</v>
      </c>
      <c r="B1537" s="1">
        <v>0</v>
      </c>
      <c r="C1537" s="1" t="s">
        <v>26</v>
      </c>
      <c r="D1537" s="1" t="s">
        <v>27</v>
      </c>
      <c r="E1537" s="1" t="s">
        <v>2782</v>
      </c>
      <c r="F1537" s="1" t="s">
        <v>2783</v>
      </c>
      <c r="G1537" s="1" t="s">
        <v>540</v>
      </c>
      <c r="I1537" s="18">
        <v>40609.757071759261</v>
      </c>
      <c r="J1537" s="1" t="s">
        <v>40</v>
      </c>
      <c r="K1537" s="1" t="s">
        <v>18</v>
      </c>
      <c r="L1537" s="1" t="s">
        <v>19</v>
      </c>
      <c r="Q1537" s="21"/>
    </row>
    <row r="1538" spans="1:22" x14ac:dyDescent="0.15">
      <c r="A1538" s="1">
        <v>74763</v>
      </c>
      <c r="B1538" s="1">
        <v>0</v>
      </c>
      <c r="C1538" s="1" t="s">
        <v>170</v>
      </c>
      <c r="D1538" s="1" t="s">
        <v>27</v>
      </c>
      <c r="E1538" s="1" t="s">
        <v>403</v>
      </c>
      <c r="F1538" s="1" t="s">
        <v>404</v>
      </c>
      <c r="G1538" s="1" t="s">
        <v>16</v>
      </c>
      <c r="I1538" s="18">
        <v>40605.037847222222</v>
      </c>
      <c r="J1538" s="1" t="s">
        <v>405</v>
      </c>
      <c r="K1538" s="1" t="s">
        <v>18</v>
      </c>
      <c r="L1538" s="1" t="s">
        <v>19</v>
      </c>
      <c r="Q1538" s="21"/>
    </row>
    <row r="1539" spans="1:22" x14ac:dyDescent="0.15">
      <c r="A1539" s="1">
        <v>74653</v>
      </c>
      <c r="B1539" s="1">
        <v>0</v>
      </c>
      <c r="C1539" s="1" t="s">
        <v>170</v>
      </c>
      <c r="D1539" s="1" t="s">
        <v>27</v>
      </c>
      <c r="E1539" s="1" t="s">
        <v>2880</v>
      </c>
      <c r="F1539" s="1" t="s">
        <v>2881</v>
      </c>
      <c r="G1539" s="1" t="s">
        <v>23</v>
      </c>
      <c r="I1539" s="18">
        <v>40604.306400462963</v>
      </c>
      <c r="J1539" s="1" t="s">
        <v>263</v>
      </c>
      <c r="K1539" s="1" t="s">
        <v>18</v>
      </c>
      <c r="L1539" s="1" t="s">
        <v>19</v>
      </c>
      <c r="Q1539" s="21"/>
    </row>
    <row r="1540" spans="1:22" x14ac:dyDescent="0.15">
      <c r="A1540" s="1">
        <v>74650</v>
      </c>
      <c r="B1540" s="1">
        <v>0</v>
      </c>
      <c r="D1540" s="1" t="s">
        <v>3708</v>
      </c>
      <c r="E1540" s="1" t="s">
        <v>3709</v>
      </c>
      <c r="F1540" s="1" t="s">
        <v>3710</v>
      </c>
      <c r="G1540" s="1"/>
      <c r="H1540" s="1"/>
      <c r="I1540" s="18">
        <v>40604.282986111109</v>
      </c>
      <c r="J1540" s="1" t="s">
        <v>151</v>
      </c>
      <c r="K1540" s="1" t="s">
        <v>18</v>
      </c>
      <c r="L1540" s="1" t="s">
        <v>19</v>
      </c>
      <c r="Q1540" s="21"/>
    </row>
    <row r="1541" spans="1:22" x14ac:dyDescent="0.15">
      <c r="A1541" s="1">
        <v>73962</v>
      </c>
      <c r="B1541" s="1">
        <v>0</v>
      </c>
      <c r="C1541" s="1" t="s">
        <v>133</v>
      </c>
      <c r="D1541" s="1" t="s">
        <v>27</v>
      </c>
      <c r="E1541" s="1" t="s">
        <v>3576</v>
      </c>
      <c r="F1541" s="1" t="s">
        <v>3577</v>
      </c>
      <c r="G1541" s="1" t="s">
        <v>23</v>
      </c>
      <c r="I1541" s="18">
        <v>40598.232974537037</v>
      </c>
      <c r="J1541" s="1" t="s">
        <v>44</v>
      </c>
      <c r="K1541" s="1" t="s">
        <v>18</v>
      </c>
      <c r="L1541" s="1" t="s">
        <v>19</v>
      </c>
      <c r="Q1541" s="21"/>
    </row>
    <row r="1542" spans="1:22" x14ac:dyDescent="0.15">
      <c r="A1542" s="1">
        <v>73932</v>
      </c>
      <c r="B1542" s="1">
        <v>0</v>
      </c>
      <c r="C1542" s="1" t="s">
        <v>26</v>
      </c>
      <c r="D1542" s="1" t="s">
        <v>27</v>
      </c>
      <c r="E1542" s="1" t="s">
        <v>988</v>
      </c>
      <c r="F1542" s="1" t="s">
        <v>989</v>
      </c>
      <c r="G1542" s="1" t="s">
        <v>23</v>
      </c>
      <c r="I1542" s="18">
        <v>40597.965057870373</v>
      </c>
      <c r="J1542" s="1" t="s">
        <v>40</v>
      </c>
      <c r="K1542" s="1" t="s">
        <v>18</v>
      </c>
      <c r="L1542" s="1" t="s">
        <v>19</v>
      </c>
      <c r="Q1542" s="21"/>
    </row>
    <row r="1543" spans="1:22" x14ac:dyDescent="0.15">
      <c r="A1543" s="1">
        <v>73526</v>
      </c>
      <c r="B1543" s="1">
        <v>0</v>
      </c>
      <c r="C1543" s="1" t="s">
        <v>26</v>
      </c>
      <c r="D1543" s="1" t="s">
        <v>27</v>
      </c>
      <c r="E1543" s="1" t="s">
        <v>1988</v>
      </c>
      <c r="F1543" s="1" t="s">
        <v>1989</v>
      </c>
      <c r="G1543" s="1" t="s">
        <v>23</v>
      </c>
      <c r="I1543" s="18">
        <v>40593.592268518521</v>
      </c>
      <c r="J1543" s="1" t="s">
        <v>44</v>
      </c>
      <c r="K1543" s="1" t="s">
        <v>18</v>
      </c>
      <c r="L1543" s="1" t="s">
        <v>19</v>
      </c>
      <c r="Q1543" s="21"/>
    </row>
    <row r="1544" spans="1:22" x14ac:dyDescent="0.15">
      <c r="A1544" s="1">
        <v>73235</v>
      </c>
      <c r="B1544" s="1">
        <v>0</v>
      </c>
      <c r="C1544" s="1" t="s">
        <v>26</v>
      </c>
      <c r="D1544" s="1" t="s">
        <v>27</v>
      </c>
      <c r="E1544" s="1" t="s">
        <v>1288</v>
      </c>
      <c r="F1544" s="1" t="s">
        <v>1289</v>
      </c>
      <c r="G1544" s="1" t="s">
        <v>23</v>
      </c>
      <c r="I1544" s="18">
        <v>40591.022777777776</v>
      </c>
      <c r="J1544" s="1" t="s">
        <v>92</v>
      </c>
      <c r="K1544" s="1" t="s">
        <v>18</v>
      </c>
      <c r="L1544" s="1" t="s">
        <v>19</v>
      </c>
      <c r="Q1544" s="21"/>
    </row>
    <row r="1545" spans="1:22" x14ac:dyDescent="0.15">
      <c r="A1545" s="1">
        <v>73216</v>
      </c>
      <c r="B1545" s="1">
        <v>0</v>
      </c>
      <c r="C1545" s="1" t="s">
        <v>26</v>
      </c>
      <c r="D1545" s="1" t="s">
        <v>27</v>
      </c>
      <c r="E1545" s="1" t="s">
        <v>963</v>
      </c>
      <c r="F1545" s="1" t="s">
        <v>964</v>
      </c>
      <c r="G1545" s="1" t="s">
        <v>23</v>
      </c>
      <c r="I1545" s="18">
        <v>40590.905370370368</v>
      </c>
      <c r="J1545" s="1" t="s">
        <v>261</v>
      </c>
      <c r="K1545" s="1" t="s">
        <v>18</v>
      </c>
      <c r="L1545" s="1" t="s">
        <v>19</v>
      </c>
      <c r="Q1545" s="21"/>
    </row>
    <row r="1546" spans="1:22" x14ac:dyDescent="0.15">
      <c r="A1546" s="1">
        <v>73134</v>
      </c>
      <c r="B1546" s="1">
        <v>0</v>
      </c>
      <c r="C1546" s="1" t="s">
        <v>26</v>
      </c>
      <c r="D1546" s="1" t="s">
        <v>27</v>
      </c>
      <c r="E1546" s="1" t="s">
        <v>657</v>
      </c>
      <c r="F1546" s="1" t="s">
        <v>658</v>
      </c>
      <c r="G1546" s="1" t="s">
        <v>23</v>
      </c>
      <c r="I1546" s="18">
        <v>40590.30605324074</v>
      </c>
      <c r="J1546" s="1" t="s">
        <v>44</v>
      </c>
      <c r="K1546" s="1" t="s">
        <v>18</v>
      </c>
      <c r="L1546" s="1" t="s">
        <v>19</v>
      </c>
      <c r="Q1546" s="21"/>
    </row>
    <row r="1547" spans="1:22" x14ac:dyDescent="0.15">
      <c r="A1547" s="1">
        <v>73026</v>
      </c>
      <c r="B1547" s="1">
        <v>0</v>
      </c>
      <c r="C1547" s="1" t="s">
        <v>1910</v>
      </c>
      <c r="D1547" s="1" t="s">
        <v>27</v>
      </c>
      <c r="E1547" s="1" t="s">
        <v>2105</v>
      </c>
      <c r="F1547" s="1" t="s">
        <v>2106</v>
      </c>
      <c r="G1547" s="1" t="s">
        <v>23</v>
      </c>
      <c r="I1547" s="18">
        <v>40589.684953703705</v>
      </c>
      <c r="J1547" s="1" t="s">
        <v>1423</v>
      </c>
      <c r="K1547" s="1" t="s">
        <v>18</v>
      </c>
      <c r="L1547" s="1" t="s">
        <v>19</v>
      </c>
      <c r="Q1547" s="21"/>
    </row>
    <row r="1548" spans="1:22" x14ac:dyDescent="0.15">
      <c r="A1548" s="1">
        <v>72936</v>
      </c>
      <c r="B1548" s="1">
        <v>0</v>
      </c>
      <c r="C1548" s="1" t="s">
        <v>26</v>
      </c>
      <c r="D1548" s="1" t="s">
        <v>27</v>
      </c>
      <c r="E1548" s="1" t="s">
        <v>3492</v>
      </c>
      <c r="F1548" s="1" t="s">
        <v>989</v>
      </c>
      <c r="G1548" s="1" t="s">
        <v>23</v>
      </c>
      <c r="I1548" s="18">
        <v>40588.769571759258</v>
      </c>
      <c r="J1548" s="1" t="s">
        <v>40</v>
      </c>
      <c r="K1548" s="1" t="s">
        <v>18</v>
      </c>
      <c r="L1548" s="1" t="s">
        <v>19</v>
      </c>
      <c r="Q1548" s="21"/>
    </row>
    <row r="1549" spans="1:22" x14ac:dyDescent="0.15">
      <c r="A1549" s="1">
        <v>72908</v>
      </c>
      <c r="B1549" s="1">
        <v>0</v>
      </c>
      <c r="C1549" s="1" t="s">
        <v>26</v>
      </c>
      <c r="D1549" s="1" t="s">
        <v>27</v>
      </c>
      <c r="E1549" s="1" t="s">
        <v>593</v>
      </c>
      <c r="F1549" s="1" t="s">
        <v>594</v>
      </c>
      <c r="G1549" s="1" t="s">
        <v>540</v>
      </c>
      <c r="I1549" s="18">
        <v>40588.322384259256</v>
      </c>
      <c r="J1549" s="1" t="s">
        <v>40</v>
      </c>
      <c r="K1549" s="1" t="s">
        <v>18</v>
      </c>
      <c r="L1549" s="1" t="s">
        <v>19</v>
      </c>
      <c r="Q1549" s="21"/>
    </row>
    <row r="1550" spans="1:22" x14ac:dyDescent="0.15">
      <c r="A1550" s="1">
        <v>72832</v>
      </c>
      <c r="B1550" s="1">
        <v>2</v>
      </c>
      <c r="C1550" s="1" t="s">
        <v>26</v>
      </c>
      <c r="D1550" s="1" t="s">
        <v>27</v>
      </c>
      <c r="E1550" s="1" t="s">
        <v>1062</v>
      </c>
      <c r="F1550" s="1" t="s">
        <v>1063</v>
      </c>
      <c r="G1550" s="1"/>
      <c r="H1550" s="1"/>
      <c r="I1550" s="18">
        <v>40586.811249999999</v>
      </c>
      <c r="J1550" s="1" t="s">
        <v>1064</v>
      </c>
      <c r="K1550" s="1" t="s">
        <v>18</v>
      </c>
      <c r="L1550" s="1" t="s">
        <v>19</v>
      </c>
      <c r="M1550" s="1">
        <v>81468</v>
      </c>
      <c r="N1550" s="1" t="s">
        <v>1065</v>
      </c>
      <c r="O1550" s="18">
        <v>40666.899224537039</v>
      </c>
      <c r="P1550" s="1" t="s">
        <v>1066</v>
      </c>
      <c r="Q1550" s="21">
        <f t="shared" ref="Q1550:Q1561" si="25">ABS(O1550-I1550)</f>
        <v>80.087974537040282</v>
      </c>
      <c r="R1550" s="1">
        <v>76030</v>
      </c>
      <c r="S1550" s="1" t="s">
        <v>1065</v>
      </c>
      <c r="T1550" s="2" t="s">
        <v>4152</v>
      </c>
      <c r="U1550" s="1" t="s">
        <v>1067</v>
      </c>
      <c r="V1550" s="1"/>
    </row>
    <row r="1551" spans="1:22" x14ac:dyDescent="0.15">
      <c r="A1551" s="1">
        <v>72517</v>
      </c>
      <c r="B1551" s="1">
        <v>0</v>
      </c>
      <c r="C1551" s="1" t="s">
        <v>170</v>
      </c>
      <c r="D1551" s="1" t="s">
        <v>27</v>
      </c>
      <c r="E1551" s="1" t="s">
        <v>2293</v>
      </c>
      <c r="F1551" s="1" t="s">
        <v>2294</v>
      </c>
      <c r="G1551" s="1"/>
      <c r="H1551" s="1"/>
      <c r="I1551" s="18">
        <v>40584.130011574074</v>
      </c>
      <c r="J1551" s="1" t="s">
        <v>2295</v>
      </c>
      <c r="K1551" s="1" t="s">
        <v>18</v>
      </c>
      <c r="L1551" s="1" t="s">
        <v>19</v>
      </c>
      <c r="M1551" s="50"/>
      <c r="Q1551" s="21"/>
    </row>
    <row r="1552" spans="1:22" x14ac:dyDescent="0.15">
      <c r="A1552" s="1">
        <v>72437</v>
      </c>
      <c r="B1552" s="1">
        <v>1</v>
      </c>
      <c r="C1552" s="1" t="s">
        <v>682</v>
      </c>
      <c r="D1552" s="1" t="s">
        <v>27</v>
      </c>
      <c r="E1552" s="1" t="s">
        <v>683</v>
      </c>
      <c r="F1552" s="1" t="s">
        <v>684</v>
      </c>
      <c r="G1552" s="1"/>
      <c r="H1552" s="1"/>
      <c r="I1552" s="18">
        <v>40583.656747685185</v>
      </c>
      <c r="J1552" s="1" t="s">
        <v>76</v>
      </c>
      <c r="K1552" s="1" t="s">
        <v>18</v>
      </c>
      <c r="L1552" s="1" t="s">
        <v>19</v>
      </c>
      <c r="M1552" s="1">
        <v>72361</v>
      </c>
      <c r="N1552" s="1" t="s">
        <v>685</v>
      </c>
      <c r="O1552" s="18">
        <v>40582.976284722223</v>
      </c>
      <c r="P1552" s="1" t="s">
        <v>686</v>
      </c>
      <c r="Q1552" s="21">
        <f t="shared" si="25"/>
        <v>0.68046296296233777</v>
      </c>
      <c r="R1552" s="1"/>
    </row>
    <row r="1553" spans="1:22" x14ac:dyDescent="0.15">
      <c r="A1553" s="1">
        <v>72340</v>
      </c>
      <c r="B1553" s="1">
        <v>0</v>
      </c>
      <c r="C1553" s="1" t="s">
        <v>26</v>
      </c>
      <c r="D1553" s="1" t="s">
        <v>27</v>
      </c>
      <c r="E1553" s="1" t="s">
        <v>273</v>
      </c>
      <c r="F1553" s="1" t="s">
        <v>274</v>
      </c>
      <c r="G1553" s="1"/>
      <c r="H1553" s="1"/>
      <c r="I1553" s="18">
        <v>40582.871481481481</v>
      </c>
      <c r="J1553" s="1" t="s">
        <v>44</v>
      </c>
      <c r="K1553" s="1" t="s">
        <v>18</v>
      </c>
      <c r="L1553" s="1" t="s">
        <v>19</v>
      </c>
      <c r="Q1553" s="21"/>
    </row>
    <row r="1554" spans="1:22" x14ac:dyDescent="0.15">
      <c r="A1554" s="1">
        <v>72214</v>
      </c>
      <c r="B1554" s="1">
        <v>1</v>
      </c>
      <c r="C1554" s="1" t="s">
        <v>82</v>
      </c>
      <c r="D1554" s="1" t="s">
        <v>27</v>
      </c>
      <c r="E1554" s="1" t="s">
        <v>83</v>
      </c>
      <c r="F1554" s="1" t="s">
        <v>84</v>
      </c>
      <c r="G1554" s="1"/>
      <c r="H1554" s="1"/>
      <c r="I1554" s="18">
        <v>40581.813321759262</v>
      </c>
      <c r="J1554" s="1" t="s">
        <v>85</v>
      </c>
      <c r="K1554" s="1" t="s">
        <v>18</v>
      </c>
      <c r="L1554" s="1" t="s">
        <v>19</v>
      </c>
      <c r="M1554" s="1">
        <v>72303</v>
      </c>
      <c r="N1554" s="1" t="s">
        <v>86</v>
      </c>
      <c r="O1554" s="18">
        <v>40582.620659722219</v>
      </c>
      <c r="P1554" s="1" t="s">
        <v>87</v>
      </c>
      <c r="Q1554" s="21">
        <f t="shared" si="25"/>
        <v>0.80733796295680804</v>
      </c>
      <c r="R1554" s="1"/>
    </row>
    <row r="1555" spans="1:22" x14ac:dyDescent="0.15">
      <c r="A1555" s="1">
        <v>72134</v>
      </c>
      <c r="B1555" s="1">
        <v>0</v>
      </c>
      <c r="C1555" s="1" t="s">
        <v>26</v>
      </c>
      <c r="D1555" s="1" t="s">
        <v>27</v>
      </c>
      <c r="E1555" s="1" t="s">
        <v>3161</v>
      </c>
      <c r="F1555" s="1" t="s">
        <v>3162</v>
      </c>
      <c r="G1555" s="1" t="s">
        <v>23</v>
      </c>
      <c r="I1555" s="18">
        <v>40580.900555555556</v>
      </c>
      <c r="J1555" s="1" t="s">
        <v>40</v>
      </c>
      <c r="K1555" s="1" t="s">
        <v>18</v>
      </c>
      <c r="L1555" s="1" t="s">
        <v>19</v>
      </c>
      <c r="Q1555" s="21"/>
    </row>
    <row r="1556" spans="1:22" x14ac:dyDescent="0.15">
      <c r="A1556" s="1">
        <v>72028</v>
      </c>
      <c r="B1556" s="1">
        <v>0</v>
      </c>
      <c r="C1556" s="1" t="s">
        <v>26</v>
      </c>
      <c r="D1556" s="1" t="s">
        <v>27</v>
      </c>
      <c r="E1556" s="1" t="s">
        <v>3435</v>
      </c>
      <c r="F1556" s="1" t="s">
        <v>3436</v>
      </c>
      <c r="G1556" s="1" t="s">
        <v>23</v>
      </c>
      <c r="I1556" s="18">
        <v>40579.145810185182</v>
      </c>
      <c r="J1556" s="1" t="s">
        <v>92</v>
      </c>
      <c r="K1556" s="1" t="s">
        <v>18</v>
      </c>
      <c r="L1556" s="1" t="s">
        <v>19</v>
      </c>
      <c r="Q1556" s="21"/>
    </row>
    <row r="1557" spans="1:22" x14ac:dyDescent="0.15">
      <c r="A1557" s="1">
        <v>71855</v>
      </c>
      <c r="B1557" s="1">
        <v>0</v>
      </c>
      <c r="C1557" s="1" t="s">
        <v>26</v>
      </c>
      <c r="D1557" s="1" t="s">
        <v>27</v>
      </c>
      <c r="E1557" s="1" t="s">
        <v>3333</v>
      </c>
      <c r="F1557" s="1" t="s">
        <v>430</v>
      </c>
      <c r="G1557" s="1" t="s">
        <v>23</v>
      </c>
      <c r="I1557" s="18">
        <v>40577.951574074075</v>
      </c>
      <c r="J1557" s="1" t="s">
        <v>44</v>
      </c>
      <c r="K1557" s="1" t="s">
        <v>18</v>
      </c>
      <c r="L1557" s="1" t="s">
        <v>19</v>
      </c>
      <c r="Q1557" s="21"/>
    </row>
    <row r="1558" spans="1:22" ht="16" x14ac:dyDescent="0.15">
      <c r="A1558" s="1">
        <v>71788</v>
      </c>
      <c r="B1558" s="1">
        <v>1</v>
      </c>
      <c r="C1558" s="1" t="s">
        <v>2559</v>
      </c>
      <c r="D1558" s="1" t="s">
        <v>27</v>
      </c>
      <c r="E1558" s="1" t="s">
        <v>2560</v>
      </c>
      <c r="F1558" s="1" t="s">
        <v>2561</v>
      </c>
      <c r="G1558" s="1" t="s">
        <v>23</v>
      </c>
      <c r="I1558" s="18">
        <v>40577.622662037036</v>
      </c>
      <c r="J1558" s="1" t="s">
        <v>148</v>
      </c>
      <c r="K1558" s="1" t="s">
        <v>18</v>
      </c>
      <c r="L1558" s="1" t="s">
        <v>19</v>
      </c>
      <c r="M1558" s="48">
        <v>72937</v>
      </c>
      <c r="O1558" s="49">
        <v>40577</v>
      </c>
      <c r="Q1558" s="21">
        <f t="shared" si="25"/>
        <v>0.62266203703620704</v>
      </c>
    </row>
    <row r="1559" spans="1:22" x14ac:dyDescent="0.15">
      <c r="A1559" s="1">
        <v>71763</v>
      </c>
      <c r="B1559" s="1">
        <v>0</v>
      </c>
      <c r="C1559" s="1" t="s">
        <v>26</v>
      </c>
      <c r="D1559" s="1" t="s">
        <v>27</v>
      </c>
      <c r="E1559" s="1" t="s">
        <v>3321</v>
      </c>
      <c r="F1559" s="1" t="s">
        <v>3322</v>
      </c>
      <c r="G1559" s="1" t="s">
        <v>23</v>
      </c>
      <c r="I1559" s="18">
        <v>40577.439027777778</v>
      </c>
      <c r="J1559" s="1" t="s">
        <v>44</v>
      </c>
      <c r="K1559" s="1" t="s">
        <v>18</v>
      </c>
      <c r="L1559" s="1" t="s">
        <v>19</v>
      </c>
      <c r="Q1559" s="21"/>
    </row>
    <row r="1560" spans="1:22" x14ac:dyDescent="0.15">
      <c r="A1560" s="1">
        <v>71734</v>
      </c>
      <c r="B1560" s="1">
        <v>0</v>
      </c>
      <c r="C1560" s="1" t="s">
        <v>26</v>
      </c>
      <c r="D1560" s="1" t="s">
        <v>27</v>
      </c>
      <c r="E1560" s="1" t="s">
        <v>2331</v>
      </c>
      <c r="F1560" s="1" t="s">
        <v>2332</v>
      </c>
      <c r="G1560" s="1" t="s">
        <v>23</v>
      </c>
      <c r="I1560" s="18">
        <v>40577.04792824074</v>
      </c>
      <c r="J1560" s="1" t="s">
        <v>2333</v>
      </c>
      <c r="K1560" s="1" t="s">
        <v>18</v>
      </c>
      <c r="L1560" s="1" t="s">
        <v>19</v>
      </c>
      <c r="Q1560" s="21"/>
    </row>
    <row r="1561" spans="1:22" x14ac:dyDescent="0.15">
      <c r="A1561" s="1">
        <v>71551</v>
      </c>
      <c r="B1561" s="1">
        <v>2</v>
      </c>
      <c r="C1561" s="1" t="s">
        <v>26</v>
      </c>
      <c r="D1561" s="1" t="s">
        <v>27</v>
      </c>
      <c r="E1561" s="1" t="s">
        <v>2337</v>
      </c>
      <c r="F1561" s="1" t="s">
        <v>2338</v>
      </c>
      <c r="G1561" s="1" t="s">
        <v>23</v>
      </c>
      <c r="I1561" s="18">
        <v>40575.647465277776</v>
      </c>
      <c r="J1561" s="1" t="s">
        <v>445</v>
      </c>
      <c r="K1561" s="1" t="s">
        <v>18</v>
      </c>
      <c r="L1561" s="1" t="s">
        <v>19</v>
      </c>
      <c r="M1561" s="1">
        <v>97087</v>
      </c>
      <c r="N1561" s="1" t="s">
        <v>2339</v>
      </c>
      <c r="O1561" s="18">
        <v>40805.554108796299</v>
      </c>
      <c r="P1561" s="1" t="s">
        <v>44</v>
      </c>
      <c r="Q1561" s="21">
        <f t="shared" si="25"/>
        <v>229.9066435185232</v>
      </c>
      <c r="R1561" s="1">
        <v>94089</v>
      </c>
      <c r="S1561" s="1" t="s">
        <v>2339</v>
      </c>
      <c r="T1561" s="2" t="s">
        <v>4172</v>
      </c>
      <c r="U1561" s="1" t="s">
        <v>40</v>
      </c>
      <c r="V1561" s="1"/>
    </row>
    <row r="1562" spans="1:22" x14ac:dyDescent="0.15">
      <c r="A1562" s="1">
        <v>71545</v>
      </c>
      <c r="B1562" s="1">
        <v>0</v>
      </c>
      <c r="C1562" s="1" t="s">
        <v>145</v>
      </c>
      <c r="D1562" s="1" t="s">
        <v>27</v>
      </c>
      <c r="E1562" s="1" t="s">
        <v>1942</v>
      </c>
      <c r="F1562" s="1" t="s">
        <v>1943</v>
      </c>
      <c r="G1562" s="1" t="s">
        <v>23</v>
      </c>
      <c r="I1562" s="18">
        <v>40575.588252314818</v>
      </c>
      <c r="J1562" s="1" t="s">
        <v>445</v>
      </c>
      <c r="K1562" s="1" t="s">
        <v>18</v>
      </c>
      <c r="L1562" s="1" t="s">
        <v>19</v>
      </c>
      <c r="Q1562" s="21"/>
    </row>
    <row r="1563" spans="1:22" x14ac:dyDescent="0.15">
      <c r="A1563" s="1">
        <v>71388</v>
      </c>
      <c r="B1563" s="1">
        <v>0</v>
      </c>
      <c r="C1563" s="1" t="s">
        <v>133</v>
      </c>
      <c r="D1563" s="1" t="s">
        <v>27</v>
      </c>
      <c r="E1563" s="1" t="s">
        <v>1994</v>
      </c>
      <c r="F1563" s="1" t="s">
        <v>430</v>
      </c>
      <c r="G1563" s="1" t="s">
        <v>23</v>
      </c>
      <c r="I1563" s="18">
        <v>40574.374305555553</v>
      </c>
      <c r="J1563" s="1" t="s">
        <v>30</v>
      </c>
      <c r="K1563" s="1" t="s">
        <v>18</v>
      </c>
      <c r="L1563" s="1" t="s">
        <v>19</v>
      </c>
      <c r="Q1563" s="21"/>
    </row>
    <row r="1564" spans="1:22" x14ac:dyDescent="0.15">
      <c r="A1564" s="1">
        <v>71386</v>
      </c>
      <c r="B1564" s="1">
        <v>0</v>
      </c>
      <c r="C1564" s="1" t="s">
        <v>26</v>
      </c>
      <c r="D1564" s="1" t="s">
        <v>27</v>
      </c>
      <c r="E1564" s="1" t="s">
        <v>1995</v>
      </c>
      <c r="F1564" s="1" t="s">
        <v>430</v>
      </c>
      <c r="G1564" s="1" t="s">
        <v>23</v>
      </c>
      <c r="I1564" s="18">
        <v>40574.372141203705</v>
      </c>
      <c r="J1564" s="1" t="s">
        <v>30</v>
      </c>
      <c r="K1564" s="1" t="s">
        <v>18</v>
      </c>
      <c r="L1564" s="1" t="s">
        <v>19</v>
      </c>
      <c r="Q1564" s="21"/>
    </row>
    <row r="1565" spans="1:22" x14ac:dyDescent="0.15">
      <c r="A1565" s="1">
        <v>71296</v>
      </c>
      <c r="B1565" s="1">
        <v>0</v>
      </c>
      <c r="C1565" s="1" t="s">
        <v>26</v>
      </c>
      <c r="D1565" s="1" t="s">
        <v>27</v>
      </c>
      <c r="E1565" s="1" t="s">
        <v>740</v>
      </c>
      <c r="F1565" s="1" t="s">
        <v>430</v>
      </c>
      <c r="G1565" s="1" t="s">
        <v>23</v>
      </c>
      <c r="I1565" s="18">
        <v>40572.99796296296</v>
      </c>
      <c r="J1565" s="1" t="s">
        <v>44</v>
      </c>
      <c r="K1565" s="1" t="s">
        <v>18</v>
      </c>
      <c r="L1565" s="1" t="s">
        <v>19</v>
      </c>
      <c r="Q1565" s="21"/>
    </row>
    <row r="1566" spans="1:22" x14ac:dyDescent="0.15">
      <c r="A1566" s="1">
        <v>71115</v>
      </c>
      <c r="B1566" s="1">
        <v>0</v>
      </c>
      <c r="C1566" s="1" t="s">
        <v>133</v>
      </c>
      <c r="D1566" s="1" t="s">
        <v>27</v>
      </c>
      <c r="E1566" s="1" t="s">
        <v>3320</v>
      </c>
      <c r="F1566" s="1" t="s">
        <v>430</v>
      </c>
      <c r="G1566" s="1" t="s">
        <v>23</v>
      </c>
      <c r="I1566" s="18">
        <v>40570.935312499998</v>
      </c>
      <c r="J1566" s="1" t="s">
        <v>92</v>
      </c>
      <c r="K1566" s="1" t="s">
        <v>18</v>
      </c>
      <c r="L1566" s="1" t="s">
        <v>19</v>
      </c>
      <c r="Q1566" s="21"/>
    </row>
    <row r="1567" spans="1:22" x14ac:dyDescent="0.15">
      <c r="A1567" s="1">
        <v>71114</v>
      </c>
      <c r="B1567" s="1">
        <v>0</v>
      </c>
      <c r="C1567" s="1" t="s">
        <v>26</v>
      </c>
      <c r="D1567" s="1" t="s">
        <v>27</v>
      </c>
      <c r="E1567" s="1" t="s">
        <v>429</v>
      </c>
      <c r="F1567" s="1" t="s">
        <v>430</v>
      </c>
      <c r="G1567" s="1" t="s">
        <v>23</v>
      </c>
      <c r="I1567" s="18">
        <v>40570.922523148147</v>
      </c>
      <c r="J1567" s="1" t="s">
        <v>92</v>
      </c>
      <c r="K1567" s="1" t="s">
        <v>18</v>
      </c>
      <c r="L1567" s="1" t="s">
        <v>19</v>
      </c>
      <c r="Q1567" s="21"/>
    </row>
    <row r="1568" spans="1:22" x14ac:dyDescent="0.15">
      <c r="A1568" s="1">
        <v>70877</v>
      </c>
      <c r="B1568" s="1">
        <v>0</v>
      </c>
      <c r="D1568" s="1" t="s">
        <v>27</v>
      </c>
      <c r="E1568" s="1" t="s">
        <v>864</v>
      </c>
      <c r="F1568" s="1" t="s">
        <v>865</v>
      </c>
      <c r="G1568" s="1"/>
      <c r="H1568" s="1"/>
      <c r="I1568" s="18">
        <v>40569.214594907404</v>
      </c>
      <c r="J1568" s="1" t="s">
        <v>151</v>
      </c>
      <c r="K1568" s="1" t="s">
        <v>18</v>
      </c>
      <c r="L1568" s="1" t="s">
        <v>19</v>
      </c>
      <c r="Q1568" s="21"/>
    </row>
    <row r="1569" spans="1:17" x14ac:dyDescent="0.15">
      <c r="A1569" s="1">
        <v>70244</v>
      </c>
      <c r="B1569" s="1">
        <v>0</v>
      </c>
      <c r="C1569" s="1" t="s">
        <v>26</v>
      </c>
      <c r="D1569" s="1" t="s">
        <v>27</v>
      </c>
      <c r="E1569" s="1" t="s">
        <v>1512</v>
      </c>
      <c r="F1569" s="1" t="s">
        <v>430</v>
      </c>
      <c r="G1569" s="1" t="s">
        <v>23</v>
      </c>
      <c r="I1569" s="18">
        <v>40563.601817129631</v>
      </c>
      <c r="J1569" s="1" t="s">
        <v>261</v>
      </c>
      <c r="K1569" s="1" t="s">
        <v>18</v>
      </c>
      <c r="L1569" s="1" t="s">
        <v>19</v>
      </c>
      <c r="Q1569" s="21"/>
    </row>
    <row r="1570" spans="1:17" x14ac:dyDescent="0.15">
      <c r="A1570" s="1">
        <v>70078</v>
      </c>
      <c r="B1570" s="1">
        <v>0</v>
      </c>
      <c r="C1570" s="1" t="s">
        <v>1990</v>
      </c>
      <c r="D1570" s="1" t="s">
        <v>27</v>
      </c>
      <c r="E1570" s="1" t="s">
        <v>1991</v>
      </c>
      <c r="F1570" s="1" t="s">
        <v>1992</v>
      </c>
      <c r="G1570" s="1"/>
      <c r="H1570" s="1"/>
      <c r="I1570" s="18">
        <v>40562.346493055556</v>
      </c>
      <c r="J1570" s="1" t="s">
        <v>1993</v>
      </c>
      <c r="K1570" s="1" t="s">
        <v>18</v>
      </c>
      <c r="L1570" s="1" t="s">
        <v>19</v>
      </c>
      <c r="Q1570" s="21"/>
    </row>
    <row r="1571" spans="1:17" x14ac:dyDescent="0.15">
      <c r="A1571" s="1">
        <v>70070</v>
      </c>
      <c r="B1571" s="1">
        <v>0</v>
      </c>
      <c r="C1571" s="1" t="s">
        <v>3256</v>
      </c>
      <c r="D1571" s="1" t="s">
        <v>27</v>
      </c>
      <c r="E1571" s="1" t="s">
        <v>3655</v>
      </c>
      <c r="F1571" s="1" t="s">
        <v>3656</v>
      </c>
      <c r="G1571" s="1"/>
      <c r="H1571" s="1"/>
      <c r="I1571" s="18">
        <v>40562.288599537038</v>
      </c>
      <c r="J1571" s="1" t="s">
        <v>3657</v>
      </c>
      <c r="K1571" s="1" t="s">
        <v>3586</v>
      </c>
      <c r="L1571" s="1" t="s">
        <v>19</v>
      </c>
      <c r="Q1571" s="21"/>
    </row>
    <row r="1572" spans="1:17" x14ac:dyDescent="0.15">
      <c r="A1572" s="1">
        <v>70027</v>
      </c>
      <c r="B1572" s="1">
        <v>0</v>
      </c>
      <c r="C1572" s="1" t="s">
        <v>26</v>
      </c>
      <c r="D1572" s="1" t="s">
        <v>27</v>
      </c>
      <c r="E1572" s="1" t="s">
        <v>2201</v>
      </c>
      <c r="F1572" s="1" t="s">
        <v>2202</v>
      </c>
      <c r="G1572" s="1"/>
      <c r="H1572" s="1"/>
      <c r="I1572" s="18">
        <v>40562.010335648149</v>
      </c>
      <c r="J1572" s="1" t="s">
        <v>92</v>
      </c>
      <c r="K1572" s="1" t="s">
        <v>18</v>
      </c>
      <c r="L1572" s="1" t="s">
        <v>19</v>
      </c>
      <c r="Q1572" s="21"/>
    </row>
    <row r="1573" spans="1:17" x14ac:dyDescent="0.15">
      <c r="A1573" s="1">
        <v>69934</v>
      </c>
      <c r="B1573" s="1">
        <v>0</v>
      </c>
      <c r="C1573" s="1" t="s">
        <v>26</v>
      </c>
      <c r="D1573" s="1" t="s">
        <v>27</v>
      </c>
      <c r="E1573" s="1" t="s">
        <v>1496</v>
      </c>
      <c r="F1573" s="1" t="s">
        <v>1497</v>
      </c>
      <c r="G1573" s="1" t="s">
        <v>16</v>
      </c>
      <c r="I1573" s="18">
        <v>40561.449687499997</v>
      </c>
      <c r="J1573" s="1" t="s">
        <v>1498</v>
      </c>
      <c r="K1573" s="1" t="s">
        <v>18</v>
      </c>
      <c r="L1573" s="1" t="s">
        <v>19</v>
      </c>
      <c r="Q1573" s="21"/>
    </row>
    <row r="1574" spans="1:17" x14ac:dyDescent="0.15">
      <c r="A1574" s="1">
        <v>69628</v>
      </c>
      <c r="B1574" s="1">
        <v>0</v>
      </c>
      <c r="C1574" s="1" t="s">
        <v>26</v>
      </c>
      <c r="D1574" s="1" t="s">
        <v>27</v>
      </c>
      <c r="E1574" s="1" t="s">
        <v>1609</v>
      </c>
      <c r="F1574" s="1" t="s">
        <v>1610</v>
      </c>
      <c r="G1574" s="1" t="s">
        <v>23</v>
      </c>
      <c r="I1574" s="18">
        <v>40557.186828703707</v>
      </c>
      <c r="J1574" s="1" t="s">
        <v>92</v>
      </c>
      <c r="K1574" s="1" t="s">
        <v>18</v>
      </c>
      <c r="L1574" s="1" t="s">
        <v>19</v>
      </c>
      <c r="Q1574" s="21"/>
    </row>
    <row r="1575" spans="1:17" x14ac:dyDescent="0.15">
      <c r="A1575" s="1">
        <v>69556</v>
      </c>
      <c r="B1575" s="1">
        <v>0</v>
      </c>
      <c r="C1575" s="1" t="s">
        <v>26</v>
      </c>
      <c r="D1575" s="1" t="s">
        <v>27</v>
      </c>
      <c r="E1575" s="1" t="s">
        <v>2312</v>
      </c>
      <c r="F1575" s="1" t="s">
        <v>430</v>
      </c>
      <c r="G1575" s="1" t="s">
        <v>23</v>
      </c>
      <c r="I1575" s="18">
        <v>40556.708680555559</v>
      </c>
      <c r="J1575" s="1" t="s">
        <v>40</v>
      </c>
      <c r="K1575" s="1" t="s">
        <v>18</v>
      </c>
      <c r="L1575" s="1" t="s">
        <v>19</v>
      </c>
      <c r="Q1575" s="21"/>
    </row>
    <row r="1576" spans="1:17" x14ac:dyDescent="0.15">
      <c r="A1576" s="1">
        <v>69275</v>
      </c>
      <c r="B1576" s="1">
        <v>0</v>
      </c>
      <c r="C1576" s="1" t="s">
        <v>26</v>
      </c>
      <c r="D1576" s="1" t="s">
        <v>27</v>
      </c>
      <c r="E1576" s="1" t="s">
        <v>3578</v>
      </c>
      <c r="F1576" s="1" t="s">
        <v>166</v>
      </c>
      <c r="G1576" s="1" t="s">
        <v>23</v>
      </c>
      <c r="I1576" s="18">
        <v>40554.815740740742</v>
      </c>
      <c r="J1576" s="1" t="s">
        <v>40</v>
      </c>
      <c r="K1576" s="1" t="s">
        <v>18</v>
      </c>
      <c r="L1576" s="1" t="s">
        <v>19</v>
      </c>
      <c r="Q1576" s="21"/>
    </row>
    <row r="1577" spans="1:17" x14ac:dyDescent="0.15">
      <c r="A1577" s="1">
        <v>69195</v>
      </c>
      <c r="B1577" s="1">
        <v>0</v>
      </c>
      <c r="C1577" s="1" t="s">
        <v>50</v>
      </c>
      <c r="D1577" s="1" t="s">
        <v>3714</v>
      </c>
      <c r="E1577" s="1" t="s">
        <v>3906</v>
      </c>
      <c r="F1577" s="1" t="s">
        <v>3907</v>
      </c>
      <c r="G1577" s="1"/>
      <c r="H1577" s="1"/>
      <c r="I1577" s="18">
        <v>40554.232222222221</v>
      </c>
      <c r="J1577" s="1" t="s">
        <v>3908</v>
      </c>
      <c r="K1577" s="1" t="s">
        <v>3586</v>
      </c>
      <c r="L1577" s="1" t="s">
        <v>19</v>
      </c>
      <c r="Q1577" s="21"/>
    </row>
    <row r="1578" spans="1:17" x14ac:dyDescent="0.15">
      <c r="A1578" s="1">
        <v>69106</v>
      </c>
      <c r="B1578" s="1">
        <v>0</v>
      </c>
      <c r="C1578" s="1" t="s">
        <v>26</v>
      </c>
      <c r="D1578" s="1" t="s">
        <v>27</v>
      </c>
      <c r="E1578" s="1" t="s">
        <v>2879</v>
      </c>
      <c r="F1578" s="1" t="s">
        <v>166</v>
      </c>
      <c r="G1578" s="1" t="s">
        <v>23</v>
      </c>
      <c r="I1578" s="18">
        <v>40553.833599537036</v>
      </c>
      <c r="J1578" s="1" t="s">
        <v>40</v>
      </c>
      <c r="K1578" s="1" t="s">
        <v>18</v>
      </c>
      <c r="L1578" s="1" t="s">
        <v>19</v>
      </c>
      <c r="Q1578" s="21"/>
    </row>
    <row r="1579" spans="1:17" x14ac:dyDescent="0.15">
      <c r="A1579" s="1">
        <v>68741</v>
      </c>
      <c r="B1579" s="1">
        <v>0</v>
      </c>
      <c r="C1579" s="1" t="s">
        <v>26</v>
      </c>
      <c r="D1579" s="1" t="s">
        <v>27</v>
      </c>
      <c r="E1579" s="1" t="s">
        <v>3511</v>
      </c>
      <c r="F1579" s="1" t="s">
        <v>430</v>
      </c>
      <c r="G1579" s="1" t="s">
        <v>23</v>
      </c>
      <c r="I1579" s="18">
        <v>40549.714872685188</v>
      </c>
      <c r="J1579" s="1" t="s">
        <v>40</v>
      </c>
      <c r="K1579" s="1" t="s">
        <v>18</v>
      </c>
      <c r="L1579" s="1" t="s">
        <v>19</v>
      </c>
      <c r="Q1579" s="21"/>
    </row>
    <row r="1580" spans="1:17" x14ac:dyDescent="0.15">
      <c r="A1580" s="1">
        <v>68641</v>
      </c>
      <c r="B1580" s="1">
        <v>0</v>
      </c>
      <c r="C1580" s="1" t="s">
        <v>26</v>
      </c>
      <c r="D1580" s="1" t="s">
        <v>27</v>
      </c>
      <c r="E1580" s="1" t="s">
        <v>2948</v>
      </c>
      <c r="F1580" s="1" t="s">
        <v>430</v>
      </c>
      <c r="G1580" s="1" t="s">
        <v>23</v>
      </c>
      <c r="I1580" s="18">
        <v>40548.753888888888</v>
      </c>
      <c r="J1580" s="1" t="s">
        <v>98</v>
      </c>
      <c r="K1580" s="1" t="s">
        <v>18</v>
      </c>
      <c r="L1580" s="1" t="s">
        <v>19</v>
      </c>
      <c r="Q1580" s="21"/>
    </row>
    <row r="1581" spans="1:17" ht="16" x14ac:dyDescent="0.2">
      <c r="A1581" s="1">
        <v>68439</v>
      </c>
      <c r="B1581" s="1">
        <v>1</v>
      </c>
      <c r="C1581" s="1" t="s">
        <v>26</v>
      </c>
      <c r="D1581" s="1" t="s">
        <v>27</v>
      </c>
      <c r="E1581" s="1" t="s">
        <v>294</v>
      </c>
      <c r="F1581" s="1" t="s">
        <v>295</v>
      </c>
      <c r="G1581" s="1" t="s">
        <v>23</v>
      </c>
      <c r="I1581" s="18">
        <v>40546.14739583333</v>
      </c>
      <c r="J1581" s="1" t="s">
        <v>92</v>
      </c>
      <c r="K1581" s="1" t="s">
        <v>18</v>
      </c>
      <c r="L1581" s="1" t="s">
        <v>19</v>
      </c>
      <c r="O1581" s="45">
        <v>40521</v>
      </c>
      <c r="P1581" s="44" t="s">
        <v>148</v>
      </c>
      <c r="Q1581" s="21">
        <f t="shared" ref="Q1581" si="26">ABS(O1581-I1581)</f>
        <v>25.147395833329938</v>
      </c>
    </row>
    <row r="1582" spans="1:17" x14ac:dyDescent="0.15">
      <c r="A1582" s="1">
        <v>68342</v>
      </c>
      <c r="B1582" s="1">
        <v>0</v>
      </c>
      <c r="C1582" s="1" t="s">
        <v>133</v>
      </c>
      <c r="D1582" s="1" t="s">
        <v>27</v>
      </c>
      <c r="E1582" s="1" t="s">
        <v>134</v>
      </c>
      <c r="F1582" s="1" t="s">
        <v>135</v>
      </c>
      <c r="G1582" s="1"/>
      <c r="H1582" s="1"/>
      <c r="I1582" s="18">
        <v>40543.34746527778</v>
      </c>
      <c r="J1582" s="1" t="s">
        <v>136</v>
      </c>
      <c r="K1582" s="1" t="s">
        <v>18</v>
      </c>
      <c r="L1582" s="1" t="s">
        <v>19</v>
      </c>
      <c r="Q1582" s="21"/>
    </row>
    <row r="1583" spans="1:17" x14ac:dyDescent="0.15">
      <c r="A1583" s="1">
        <v>68170</v>
      </c>
      <c r="B1583" s="1">
        <v>0</v>
      </c>
      <c r="C1583" s="1" t="s">
        <v>194</v>
      </c>
      <c r="D1583" s="1" t="s">
        <v>27</v>
      </c>
      <c r="E1583" s="1" t="s">
        <v>323</v>
      </c>
      <c r="F1583" s="1" t="s">
        <v>295</v>
      </c>
      <c r="G1583" s="1" t="s">
        <v>23</v>
      </c>
      <c r="I1583" s="18">
        <v>40540.783460648148</v>
      </c>
      <c r="J1583" s="1" t="s">
        <v>190</v>
      </c>
      <c r="K1583" s="1" t="s">
        <v>18</v>
      </c>
      <c r="L1583" s="1" t="s">
        <v>19</v>
      </c>
      <c r="Q1583" s="21"/>
    </row>
    <row r="1584" spans="1:17" x14ac:dyDescent="0.15">
      <c r="A1584" s="1">
        <v>68120</v>
      </c>
      <c r="B1584" s="1">
        <v>0</v>
      </c>
      <c r="C1584" s="1" t="s">
        <v>133</v>
      </c>
      <c r="D1584" s="1" t="s">
        <v>27</v>
      </c>
      <c r="E1584" s="1" t="s">
        <v>764</v>
      </c>
      <c r="F1584" s="1" t="s">
        <v>430</v>
      </c>
      <c r="G1584" s="1" t="s">
        <v>23</v>
      </c>
      <c r="I1584" s="18">
        <v>40539.942870370367</v>
      </c>
      <c r="J1584" s="1" t="s">
        <v>44</v>
      </c>
      <c r="K1584" s="1" t="s">
        <v>18</v>
      </c>
      <c r="L1584" s="1" t="s">
        <v>19</v>
      </c>
      <c r="Q1584" s="21"/>
    </row>
    <row r="1585" spans="1:17" x14ac:dyDescent="0.15">
      <c r="A1585" s="1">
        <v>68115</v>
      </c>
      <c r="B1585" s="1">
        <v>0</v>
      </c>
      <c r="D1585" s="1" t="s">
        <v>27</v>
      </c>
      <c r="E1585" s="1" t="s">
        <v>2722</v>
      </c>
      <c r="F1585" s="1" t="s">
        <v>2723</v>
      </c>
      <c r="G1585" s="1"/>
      <c r="H1585" s="1"/>
      <c r="I1585" s="18">
        <v>40539.852800925924</v>
      </c>
      <c r="J1585" s="1" t="s">
        <v>151</v>
      </c>
      <c r="K1585" s="1" t="s">
        <v>18</v>
      </c>
      <c r="L1585" s="1" t="s">
        <v>19</v>
      </c>
      <c r="Q1585" s="21"/>
    </row>
    <row r="1586" spans="1:17" x14ac:dyDescent="0.15">
      <c r="A1586" s="1">
        <v>67968</v>
      </c>
      <c r="B1586" s="1">
        <v>0</v>
      </c>
      <c r="C1586" s="1" t="s">
        <v>26</v>
      </c>
      <c r="D1586" s="1" t="s">
        <v>27</v>
      </c>
      <c r="E1586" s="1" t="s">
        <v>38</v>
      </c>
      <c r="F1586" s="1" t="s">
        <v>39</v>
      </c>
      <c r="G1586" s="1" t="s">
        <v>23</v>
      </c>
      <c r="I1586" s="18">
        <v>40536.64303240741</v>
      </c>
      <c r="J1586" s="1" t="s">
        <v>40</v>
      </c>
      <c r="K1586" s="1" t="s">
        <v>18</v>
      </c>
      <c r="L1586" s="1" t="s">
        <v>19</v>
      </c>
      <c r="Q1586" s="21"/>
    </row>
    <row r="1587" spans="1:17" x14ac:dyDescent="0.15">
      <c r="A1587" s="1">
        <v>67923</v>
      </c>
      <c r="B1587" s="1">
        <v>0</v>
      </c>
      <c r="C1587" s="1" t="s">
        <v>26</v>
      </c>
      <c r="D1587" s="1" t="s">
        <v>27</v>
      </c>
      <c r="E1587" s="1" t="s">
        <v>796</v>
      </c>
      <c r="F1587" s="1" t="s">
        <v>797</v>
      </c>
      <c r="G1587" s="1" t="s">
        <v>23</v>
      </c>
      <c r="I1587" s="18">
        <v>40535.779756944445</v>
      </c>
      <c r="J1587" s="1" t="s">
        <v>398</v>
      </c>
      <c r="K1587" s="1" t="s">
        <v>18</v>
      </c>
      <c r="L1587" s="1" t="s">
        <v>19</v>
      </c>
      <c r="Q1587" s="21"/>
    </row>
    <row r="1588" spans="1:17" x14ac:dyDescent="0.15">
      <c r="A1588" s="1">
        <v>67363</v>
      </c>
      <c r="B1588" s="1">
        <v>0</v>
      </c>
      <c r="C1588" s="1" t="s">
        <v>26</v>
      </c>
      <c r="D1588" s="1" t="s">
        <v>27</v>
      </c>
      <c r="E1588" s="1" t="s">
        <v>1445</v>
      </c>
      <c r="F1588" s="1" t="s">
        <v>1446</v>
      </c>
      <c r="G1588" s="1" t="s">
        <v>23</v>
      </c>
      <c r="I1588" s="18">
        <v>40529.887523148151</v>
      </c>
      <c r="J1588" s="1" t="s">
        <v>151</v>
      </c>
      <c r="K1588" s="1" t="s">
        <v>18</v>
      </c>
      <c r="L1588" s="1" t="s">
        <v>19</v>
      </c>
      <c r="Q1588" s="21"/>
    </row>
    <row r="1589" spans="1:17" x14ac:dyDescent="0.15">
      <c r="A1589" s="1">
        <v>67303</v>
      </c>
      <c r="B1589" s="1">
        <v>1</v>
      </c>
      <c r="C1589" s="1" t="s">
        <v>549</v>
      </c>
      <c r="D1589" s="1" t="s">
        <v>27</v>
      </c>
      <c r="E1589" s="1" t="s">
        <v>1217</v>
      </c>
      <c r="F1589" s="1" t="s">
        <v>1218</v>
      </c>
      <c r="G1589" s="1"/>
      <c r="H1589" s="1"/>
      <c r="I1589" s="18">
        <v>40529.566388888888</v>
      </c>
      <c r="J1589" s="1" t="s">
        <v>190</v>
      </c>
      <c r="K1589" s="1" t="s">
        <v>18</v>
      </c>
      <c r="L1589" s="1" t="s">
        <v>19</v>
      </c>
      <c r="M1589" s="48">
        <v>68070</v>
      </c>
      <c r="O1589" s="24">
        <v>40529</v>
      </c>
      <c r="Q1589" s="21">
        <f t="shared" ref="Q1589" si="27">ABS(O1589-I1589)</f>
        <v>0.5663888888884685</v>
      </c>
    </row>
    <row r="1590" spans="1:17" x14ac:dyDescent="0.15">
      <c r="A1590" s="1">
        <v>67234</v>
      </c>
      <c r="B1590" s="1">
        <v>0</v>
      </c>
      <c r="C1590" s="1" t="s">
        <v>26</v>
      </c>
      <c r="D1590" s="1" t="s">
        <v>27</v>
      </c>
      <c r="E1590" s="1" t="s">
        <v>165</v>
      </c>
      <c r="F1590" s="1" t="s">
        <v>166</v>
      </c>
      <c r="G1590" s="1" t="s">
        <v>23</v>
      </c>
      <c r="I1590" s="18">
        <v>40529.035011574073</v>
      </c>
      <c r="J1590" s="1" t="s">
        <v>40</v>
      </c>
      <c r="K1590" s="1" t="s">
        <v>18</v>
      </c>
      <c r="L1590" s="1" t="s">
        <v>19</v>
      </c>
      <c r="Q1590" s="21"/>
    </row>
    <row r="1591" spans="1:17" x14ac:dyDescent="0.15">
      <c r="A1591" s="1">
        <v>67208</v>
      </c>
      <c r="B1591" s="1">
        <v>0</v>
      </c>
      <c r="C1591" s="1" t="s">
        <v>194</v>
      </c>
      <c r="D1591" s="1" t="s">
        <v>27</v>
      </c>
      <c r="E1591" s="1" t="s">
        <v>2981</v>
      </c>
      <c r="F1591" s="1" t="s">
        <v>2982</v>
      </c>
      <c r="G1591" s="1" t="s">
        <v>23</v>
      </c>
      <c r="I1591" s="18">
        <v>40528.914282407408</v>
      </c>
      <c r="J1591" s="1" t="s">
        <v>2983</v>
      </c>
      <c r="K1591" s="1" t="s">
        <v>18</v>
      </c>
      <c r="L1591" s="1" t="s">
        <v>19</v>
      </c>
      <c r="Q1591" s="21"/>
    </row>
    <row r="1592" spans="1:17" x14ac:dyDescent="0.15">
      <c r="A1592" s="1">
        <v>67100</v>
      </c>
      <c r="B1592" s="1">
        <v>0</v>
      </c>
      <c r="C1592" s="1" t="s">
        <v>194</v>
      </c>
      <c r="D1592" s="1" t="s">
        <v>3714</v>
      </c>
      <c r="E1592" s="1" t="s">
        <v>3810</v>
      </c>
      <c r="F1592" s="1" t="s">
        <v>1173</v>
      </c>
      <c r="G1592" s="1" t="s">
        <v>23</v>
      </c>
      <c r="I1592" s="18">
        <v>40528.083969907406</v>
      </c>
      <c r="J1592" s="1" t="s">
        <v>151</v>
      </c>
      <c r="K1592" s="1" t="s">
        <v>18</v>
      </c>
      <c r="L1592" s="1" t="s">
        <v>19</v>
      </c>
      <c r="Q1592" s="21"/>
    </row>
    <row r="1593" spans="1:17" x14ac:dyDescent="0.15">
      <c r="A1593" s="1">
        <v>66986</v>
      </c>
      <c r="B1593" s="1">
        <v>0</v>
      </c>
      <c r="C1593" s="1" t="s">
        <v>133</v>
      </c>
      <c r="D1593" s="1" t="s">
        <v>27</v>
      </c>
      <c r="E1593" s="1" t="s">
        <v>2303</v>
      </c>
      <c r="F1593" s="1" t="s">
        <v>1173</v>
      </c>
      <c r="G1593" s="1" t="s">
        <v>23</v>
      </c>
      <c r="I1593" s="18">
        <v>40527.611342592594</v>
      </c>
      <c r="J1593" s="1" t="s">
        <v>148</v>
      </c>
      <c r="K1593" s="1" t="s">
        <v>18</v>
      </c>
      <c r="L1593" s="1" t="s">
        <v>19</v>
      </c>
      <c r="Q1593" s="21"/>
    </row>
    <row r="1594" spans="1:17" x14ac:dyDescent="0.15">
      <c r="A1594" s="1">
        <v>66760</v>
      </c>
      <c r="B1594" s="1">
        <v>0</v>
      </c>
      <c r="C1594" s="1" t="s">
        <v>26</v>
      </c>
      <c r="D1594" s="1" t="s">
        <v>27</v>
      </c>
      <c r="E1594" s="1" t="s">
        <v>3045</v>
      </c>
      <c r="F1594" s="1" t="s">
        <v>1173</v>
      </c>
      <c r="G1594" s="1" t="s">
        <v>23</v>
      </c>
      <c r="I1594" s="18">
        <v>40526.006597222222</v>
      </c>
      <c r="J1594" s="1" t="s">
        <v>398</v>
      </c>
      <c r="K1594" s="1" t="s">
        <v>18</v>
      </c>
      <c r="L1594" s="1" t="s">
        <v>19</v>
      </c>
      <c r="Q1594" s="21"/>
    </row>
    <row r="1595" spans="1:17" x14ac:dyDescent="0.15">
      <c r="A1595" s="1">
        <v>66748</v>
      </c>
      <c r="B1595" s="1">
        <v>0</v>
      </c>
      <c r="C1595" s="1" t="s">
        <v>26</v>
      </c>
      <c r="D1595" s="1" t="s">
        <v>27</v>
      </c>
      <c r="E1595" s="1" t="s">
        <v>1860</v>
      </c>
      <c r="F1595" s="1" t="s">
        <v>1861</v>
      </c>
      <c r="G1595" s="1" t="s">
        <v>23</v>
      </c>
      <c r="I1595" s="18">
        <v>40525.930902777778</v>
      </c>
      <c r="J1595" s="1" t="s">
        <v>1862</v>
      </c>
      <c r="K1595" s="1" t="s">
        <v>18</v>
      </c>
      <c r="L1595" s="1" t="s">
        <v>19</v>
      </c>
      <c r="Q1595" s="21"/>
    </row>
    <row r="1596" spans="1:17" x14ac:dyDescent="0.15">
      <c r="A1596" s="1">
        <v>66473</v>
      </c>
      <c r="B1596" s="1">
        <v>0</v>
      </c>
      <c r="C1596" s="1" t="s">
        <v>26</v>
      </c>
      <c r="D1596" s="1" t="s">
        <v>27</v>
      </c>
      <c r="E1596" s="1" t="s">
        <v>1172</v>
      </c>
      <c r="F1596" s="1" t="s">
        <v>1173</v>
      </c>
      <c r="G1596" s="1" t="s">
        <v>23</v>
      </c>
      <c r="I1596" s="18">
        <v>40522.89739583333</v>
      </c>
      <c r="J1596" s="1" t="s">
        <v>1174</v>
      </c>
      <c r="K1596" s="1" t="s">
        <v>18</v>
      </c>
      <c r="L1596" s="1" t="s">
        <v>19</v>
      </c>
      <c r="Q1596" s="21"/>
    </row>
    <row r="1597" spans="1:17" x14ac:dyDescent="0.15">
      <c r="A1597" s="1">
        <v>66334</v>
      </c>
      <c r="B1597" s="1">
        <v>0</v>
      </c>
      <c r="C1597" s="1" t="s">
        <v>194</v>
      </c>
      <c r="D1597" s="1" t="s">
        <v>27</v>
      </c>
      <c r="E1597" s="1" t="s">
        <v>2421</v>
      </c>
      <c r="F1597" s="1" t="s">
        <v>1173</v>
      </c>
      <c r="G1597" s="1" t="s">
        <v>23</v>
      </c>
      <c r="I1597" s="18">
        <v>40522.635717592595</v>
      </c>
      <c r="J1597" s="1" t="s">
        <v>151</v>
      </c>
      <c r="K1597" s="1" t="s">
        <v>18</v>
      </c>
      <c r="L1597" s="1" t="s">
        <v>19</v>
      </c>
      <c r="Q1597" s="21"/>
    </row>
    <row r="1598" spans="1:17" x14ac:dyDescent="0.15">
      <c r="A1598" s="1">
        <v>65942</v>
      </c>
      <c r="B1598" s="1">
        <v>0</v>
      </c>
      <c r="C1598" s="1" t="s">
        <v>26</v>
      </c>
      <c r="D1598" s="1" t="s">
        <v>27</v>
      </c>
      <c r="E1598" s="1" t="s">
        <v>1605</v>
      </c>
      <c r="F1598" s="1" t="s">
        <v>720</v>
      </c>
      <c r="G1598" s="1" t="s">
        <v>23</v>
      </c>
      <c r="I1598" s="18">
        <v>40520.923726851855</v>
      </c>
      <c r="J1598" s="1" t="s">
        <v>398</v>
      </c>
      <c r="K1598" s="1" t="s">
        <v>18</v>
      </c>
      <c r="L1598" s="1" t="s">
        <v>19</v>
      </c>
      <c r="Q1598" s="21"/>
    </row>
    <row r="1599" spans="1:17" x14ac:dyDescent="0.15">
      <c r="A1599" s="1">
        <v>65796</v>
      </c>
      <c r="B1599" s="1">
        <v>0</v>
      </c>
      <c r="C1599" s="1" t="s">
        <v>26</v>
      </c>
      <c r="D1599" s="1" t="s">
        <v>27</v>
      </c>
      <c r="E1599" s="1" t="s">
        <v>2184</v>
      </c>
      <c r="F1599" s="1" t="s">
        <v>1173</v>
      </c>
      <c r="G1599" s="1" t="s">
        <v>23</v>
      </c>
      <c r="I1599" s="18">
        <v>40519.960868055554</v>
      </c>
      <c r="J1599" s="1" t="s">
        <v>40</v>
      </c>
      <c r="K1599" s="1" t="s">
        <v>18</v>
      </c>
      <c r="L1599" s="1" t="s">
        <v>19</v>
      </c>
      <c r="Q1599" s="21"/>
    </row>
    <row r="1600" spans="1:17" ht="16" x14ac:dyDescent="0.2">
      <c r="A1600" s="1">
        <v>64945</v>
      </c>
      <c r="B1600" s="1">
        <v>1</v>
      </c>
      <c r="C1600" s="1" t="s">
        <v>1910</v>
      </c>
      <c r="D1600" s="1" t="s">
        <v>27</v>
      </c>
      <c r="E1600" s="1" t="s">
        <v>1911</v>
      </c>
      <c r="F1600" s="1" t="s">
        <v>1344</v>
      </c>
      <c r="G1600" s="1"/>
      <c r="H1600" s="1"/>
      <c r="I1600" s="18">
        <v>40513.780486111114</v>
      </c>
      <c r="J1600" s="1" t="s">
        <v>261</v>
      </c>
      <c r="K1600" s="1" t="s">
        <v>18</v>
      </c>
      <c r="L1600" s="1" t="s">
        <v>19</v>
      </c>
      <c r="O1600" s="46">
        <v>40524</v>
      </c>
      <c r="P1600" s="47" t="s">
        <v>76</v>
      </c>
      <c r="Q1600" s="21">
        <f t="shared" ref="Q1600" si="28">ABS(O1600-I1600)</f>
        <v>10.219513888885558</v>
      </c>
    </row>
    <row r="1601" spans="1:17" x14ac:dyDescent="0.15">
      <c r="A1601" s="1">
        <v>64559</v>
      </c>
      <c r="B1601" s="1">
        <v>0</v>
      </c>
      <c r="C1601" s="1" t="s">
        <v>26</v>
      </c>
      <c r="D1601" s="1" t="s">
        <v>27</v>
      </c>
      <c r="E1601" s="1" t="s">
        <v>2873</v>
      </c>
      <c r="F1601" s="1" t="s">
        <v>720</v>
      </c>
      <c r="G1601" s="1" t="s">
        <v>23</v>
      </c>
      <c r="I1601" s="18">
        <v>40510.267893518518</v>
      </c>
      <c r="J1601" s="1" t="s">
        <v>40</v>
      </c>
      <c r="K1601" s="1" t="s">
        <v>18</v>
      </c>
      <c r="L1601" s="1" t="s">
        <v>19</v>
      </c>
      <c r="Q1601" s="21"/>
    </row>
    <row r="1602" spans="1:17" x14ac:dyDescent="0.15">
      <c r="A1602" s="1">
        <v>64331</v>
      </c>
      <c r="B1602" s="1">
        <v>0</v>
      </c>
      <c r="C1602" s="1" t="s">
        <v>26</v>
      </c>
      <c r="D1602" s="1" t="s">
        <v>27</v>
      </c>
      <c r="E1602" s="1" t="s">
        <v>1687</v>
      </c>
      <c r="F1602" s="1" t="s">
        <v>1173</v>
      </c>
      <c r="G1602" s="1" t="s">
        <v>23</v>
      </c>
      <c r="I1602" s="18">
        <v>40506.67359953704</v>
      </c>
      <c r="J1602" s="1" t="s">
        <v>40</v>
      </c>
      <c r="K1602" s="1" t="s">
        <v>18</v>
      </c>
      <c r="L1602" s="1" t="s">
        <v>19</v>
      </c>
      <c r="Q1602" s="21"/>
    </row>
    <row r="1603" spans="1:17" x14ac:dyDescent="0.15">
      <c r="A1603" s="1">
        <v>64108</v>
      </c>
      <c r="B1603" s="1">
        <v>0</v>
      </c>
      <c r="C1603" s="1" t="s">
        <v>170</v>
      </c>
      <c r="D1603" s="1" t="s">
        <v>27</v>
      </c>
      <c r="E1603" s="1" t="s">
        <v>700</v>
      </c>
      <c r="F1603" s="1" t="s">
        <v>701</v>
      </c>
      <c r="G1603" s="1" t="s">
        <v>23</v>
      </c>
      <c r="I1603" s="18">
        <v>40504.852534722224</v>
      </c>
      <c r="J1603" s="1" t="s">
        <v>702</v>
      </c>
      <c r="K1603" s="1" t="s">
        <v>18</v>
      </c>
      <c r="L1603" s="1" t="s">
        <v>19</v>
      </c>
      <c r="Q1603" s="21"/>
    </row>
    <row r="1604" spans="1:17" x14ac:dyDescent="0.15">
      <c r="A1604" s="1">
        <v>64046</v>
      </c>
      <c r="B1604" s="1">
        <v>0</v>
      </c>
      <c r="C1604" s="1" t="s">
        <v>133</v>
      </c>
      <c r="D1604" s="1" t="s">
        <v>27</v>
      </c>
      <c r="E1604" s="1" t="s">
        <v>2043</v>
      </c>
      <c r="F1604" s="1" t="s">
        <v>2044</v>
      </c>
      <c r="G1604" s="1" t="s">
        <v>23</v>
      </c>
      <c r="I1604" s="18">
        <v>40504.50576388889</v>
      </c>
      <c r="J1604" s="1" t="s">
        <v>148</v>
      </c>
      <c r="K1604" s="1" t="s">
        <v>18</v>
      </c>
      <c r="L1604" s="1" t="s">
        <v>19</v>
      </c>
      <c r="Q1604" s="21"/>
    </row>
    <row r="1605" spans="1:17" x14ac:dyDescent="0.15">
      <c r="A1605" s="1">
        <v>63982</v>
      </c>
      <c r="B1605" s="1">
        <v>0</v>
      </c>
      <c r="C1605" s="1" t="s">
        <v>26</v>
      </c>
      <c r="D1605" s="1" t="s">
        <v>27</v>
      </c>
      <c r="E1605" s="1" t="s">
        <v>3088</v>
      </c>
      <c r="F1605" s="1" t="s">
        <v>1173</v>
      </c>
      <c r="G1605" s="1" t="s">
        <v>23</v>
      </c>
      <c r="I1605" s="18">
        <v>40503.741782407407</v>
      </c>
      <c r="J1605" s="1" t="s">
        <v>40</v>
      </c>
      <c r="K1605" s="1" t="s">
        <v>18</v>
      </c>
      <c r="L1605" s="1" t="s">
        <v>19</v>
      </c>
      <c r="Q1605" s="21"/>
    </row>
    <row r="1606" spans="1:17" x14ac:dyDescent="0.15">
      <c r="A1606" s="1">
        <v>63924</v>
      </c>
      <c r="B1606" s="1">
        <v>0</v>
      </c>
      <c r="C1606" s="1" t="s">
        <v>26</v>
      </c>
      <c r="D1606" s="1" t="s">
        <v>27</v>
      </c>
      <c r="E1606" s="1" t="s">
        <v>1829</v>
      </c>
      <c r="F1606" s="1" t="s">
        <v>720</v>
      </c>
      <c r="G1606" s="1" t="s">
        <v>23</v>
      </c>
      <c r="I1606" s="18">
        <v>40502.898449074077</v>
      </c>
      <c r="J1606" s="1" t="s">
        <v>40</v>
      </c>
      <c r="K1606" s="1" t="s">
        <v>18</v>
      </c>
      <c r="L1606" s="1" t="s">
        <v>19</v>
      </c>
      <c r="Q1606" s="21"/>
    </row>
    <row r="1607" spans="1:17" x14ac:dyDescent="0.15">
      <c r="A1607" s="1">
        <v>63732</v>
      </c>
      <c r="B1607" s="1">
        <v>0</v>
      </c>
      <c r="C1607" s="1" t="s">
        <v>3493</v>
      </c>
      <c r="D1607" s="1" t="s">
        <v>27</v>
      </c>
      <c r="E1607" s="1" t="s">
        <v>3494</v>
      </c>
      <c r="F1607" s="1" t="s">
        <v>3495</v>
      </c>
      <c r="G1607" s="1"/>
      <c r="H1607" s="1"/>
      <c r="I1607" s="18">
        <v>40501.384641203702</v>
      </c>
      <c r="J1607" s="1" t="s">
        <v>3496</v>
      </c>
      <c r="K1607" s="1" t="s">
        <v>18</v>
      </c>
      <c r="L1607" s="1" t="s">
        <v>19</v>
      </c>
      <c r="Q1607" s="21"/>
    </row>
    <row r="1608" spans="1:17" x14ac:dyDescent="0.15">
      <c r="A1608" s="1">
        <v>63533</v>
      </c>
      <c r="B1608" s="1">
        <v>0</v>
      </c>
      <c r="C1608" s="1" t="s">
        <v>1910</v>
      </c>
      <c r="D1608" s="1" t="s">
        <v>3714</v>
      </c>
      <c r="E1608" s="1" t="s">
        <v>3843</v>
      </c>
      <c r="F1608" s="1" t="s">
        <v>3844</v>
      </c>
      <c r="G1608" s="1"/>
      <c r="H1608" s="1"/>
      <c r="I1608" s="18">
        <v>40499.911377314813</v>
      </c>
      <c r="J1608" s="1" t="s">
        <v>1066</v>
      </c>
      <c r="K1608" s="1" t="s">
        <v>18</v>
      </c>
      <c r="L1608" s="1" t="s">
        <v>19</v>
      </c>
      <c r="Q1608" s="21"/>
    </row>
    <row r="1609" spans="1:17" x14ac:dyDescent="0.15">
      <c r="A1609" s="1">
        <v>63495</v>
      </c>
      <c r="B1609" s="1">
        <v>0</v>
      </c>
      <c r="C1609" s="1" t="s">
        <v>26</v>
      </c>
      <c r="D1609" s="1" t="s">
        <v>27</v>
      </c>
      <c r="E1609" s="1" t="s">
        <v>2254</v>
      </c>
      <c r="F1609" s="1" t="s">
        <v>2255</v>
      </c>
      <c r="G1609" s="1" t="s">
        <v>159</v>
      </c>
      <c r="I1609" s="18">
        <v>40499.741446759261</v>
      </c>
      <c r="J1609" s="1" t="s">
        <v>261</v>
      </c>
      <c r="K1609" s="1" t="s">
        <v>18</v>
      </c>
      <c r="L1609" s="1" t="s">
        <v>19</v>
      </c>
      <c r="Q1609" s="21"/>
    </row>
    <row r="1610" spans="1:17" x14ac:dyDescent="0.15">
      <c r="A1610" s="1">
        <v>63444</v>
      </c>
      <c r="B1610" s="1">
        <v>0</v>
      </c>
      <c r="D1610" s="1" t="s">
        <v>27</v>
      </c>
      <c r="E1610" s="1" t="s">
        <v>2387</v>
      </c>
      <c r="F1610" s="1" t="s">
        <v>2388</v>
      </c>
      <c r="G1610" s="1"/>
      <c r="H1610" s="1"/>
      <c r="I1610" s="18">
        <v>40499.25949074074</v>
      </c>
      <c r="J1610" s="1" t="s">
        <v>836</v>
      </c>
      <c r="K1610" s="1" t="s">
        <v>18</v>
      </c>
      <c r="L1610" s="1" t="s">
        <v>19</v>
      </c>
      <c r="Q1610" s="21"/>
    </row>
    <row r="1611" spans="1:17" x14ac:dyDescent="0.15">
      <c r="A1611" s="1">
        <v>63268</v>
      </c>
      <c r="B1611" s="1">
        <v>0</v>
      </c>
      <c r="C1611" s="1" t="s">
        <v>26</v>
      </c>
      <c r="D1611" s="1" t="s">
        <v>27</v>
      </c>
      <c r="E1611" s="1" t="s">
        <v>2516</v>
      </c>
      <c r="F1611" s="1" t="s">
        <v>720</v>
      </c>
      <c r="G1611" s="1" t="s">
        <v>23</v>
      </c>
      <c r="I1611" s="18">
        <v>40497.978541666664</v>
      </c>
      <c r="J1611" s="1" t="s">
        <v>40</v>
      </c>
      <c r="K1611" s="1" t="s">
        <v>18</v>
      </c>
      <c r="L1611" s="1" t="s">
        <v>19</v>
      </c>
      <c r="Q1611" s="21"/>
    </row>
    <row r="1612" spans="1:17" x14ac:dyDescent="0.15">
      <c r="A1612" s="1">
        <v>63031</v>
      </c>
      <c r="B1612" s="1">
        <v>0</v>
      </c>
      <c r="C1612" s="1" t="s">
        <v>26</v>
      </c>
      <c r="D1612" s="1" t="s">
        <v>27</v>
      </c>
      <c r="E1612" s="1" t="s">
        <v>719</v>
      </c>
      <c r="F1612" s="1" t="s">
        <v>720</v>
      </c>
      <c r="G1612" s="1" t="s">
        <v>23</v>
      </c>
      <c r="I1612" s="18">
        <v>40495.00409722222</v>
      </c>
      <c r="J1612" s="1" t="s">
        <v>40</v>
      </c>
      <c r="K1612" s="1" t="s">
        <v>18</v>
      </c>
      <c r="L1612" s="1" t="s">
        <v>19</v>
      </c>
      <c r="Q1612" s="21"/>
    </row>
    <row r="1613" spans="1:17" x14ac:dyDescent="0.15">
      <c r="A1613" s="1">
        <v>62987</v>
      </c>
      <c r="B1613" s="1">
        <v>0</v>
      </c>
      <c r="C1613" s="1" t="s">
        <v>26</v>
      </c>
      <c r="D1613" s="1" t="s">
        <v>27</v>
      </c>
      <c r="E1613" s="1" t="s">
        <v>2459</v>
      </c>
      <c r="F1613" s="1" t="s">
        <v>2460</v>
      </c>
      <c r="G1613" s="1"/>
      <c r="H1613" s="1"/>
      <c r="I1613" s="18">
        <v>40494.728541666664</v>
      </c>
      <c r="J1613" s="1" t="s">
        <v>40</v>
      </c>
      <c r="K1613" s="1" t="s">
        <v>18</v>
      </c>
      <c r="L1613" s="1" t="s">
        <v>19</v>
      </c>
      <c r="Q1613" s="21"/>
    </row>
    <row r="1614" spans="1:17" x14ac:dyDescent="0.15">
      <c r="A1614" s="1">
        <v>62925</v>
      </c>
      <c r="B1614" s="1">
        <v>0</v>
      </c>
      <c r="C1614" s="1" t="s">
        <v>170</v>
      </c>
      <c r="D1614" s="1" t="s">
        <v>27</v>
      </c>
      <c r="E1614" s="1" t="s">
        <v>2419</v>
      </c>
      <c r="F1614" s="1" t="s">
        <v>2420</v>
      </c>
      <c r="G1614" s="1" t="s">
        <v>23</v>
      </c>
      <c r="I1614" s="18">
        <v>40494.303611111114</v>
      </c>
      <c r="J1614" s="1" t="s">
        <v>263</v>
      </c>
      <c r="K1614" s="1" t="s">
        <v>18</v>
      </c>
      <c r="L1614" s="1" t="s">
        <v>19</v>
      </c>
      <c r="Q1614" s="21"/>
    </row>
    <row r="1615" spans="1:17" x14ac:dyDescent="0.15">
      <c r="A1615" s="1">
        <v>62401</v>
      </c>
      <c r="B1615" s="1">
        <v>0</v>
      </c>
      <c r="C1615" s="1" t="s">
        <v>26</v>
      </c>
      <c r="D1615" s="1" t="s">
        <v>27</v>
      </c>
      <c r="E1615" s="1" t="s">
        <v>2073</v>
      </c>
      <c r="F1615" s="1" t="s">
        <v>2074</v>
      </c>
      <c r="G1615" s="1" t="s">
        <v>23</v>
      </c>
      <c r="I1615" s="18">
        <v>40490.943599537037</v>
      </c>
      <c r="J1615" s="1" t="s">
        <v>261</v>
      </c>
      <c r="K1615" s="1" t="s">
        <v>18</v>
      </c>
      <c r="L1615" s="1" t="s">
        <v>19</v>
      </c>
      <c r="Q1615" s="21"/>
    </row>
    <row r="1616" spans="1:17" x14ac:dyDescent="0.15">
      <c r="A1616" s="1">
        <v>62358</v>
      </c>
      <c r="B1616" s="1">
        <v>0</v>
      </c>
      <c r="C1616" s="1" t="s">
        <v>170</v>
      </c>
      <c r="D1616" s="1" t="s">
        <v>27</v>
      </c>
      <c r="E1616" s="1" t="s">
        <v>3183</v>
      </c>
      <c r="F1616" s="1" t="s">
        <v>720</v>
      </c>
      <c r="G1616" s="1" t="s">
        <v>23</v>
      </c>
      <c r="I1616" s="18">
        <v>40490.760081018518</v>
      </c>
      <c r="J1616" s="1" t="s">
        <v>40</v>
      </c>
      <c r="K1616" s="1" t="s">
        <v>18</v>
      </c>
      <c r="L1616" s="1" t="s">
        <v>19</v>
      </c>
      <c r="Q1616" s="21"/>
    </row>
    <row r="1617" spans="1:18" x14ac:dyDescent="0.15">
      <c r="A1617" s="1">
        <v>62354</v>
      </c>
      <c r="B1617" s="1">
        <v>0</v>
      </c>
      <c r="C1617" s="1" t="s">
        <v>26</v>
      </c>
      <c r="D1617" s="1" t="s">
        <v>27</v>
      </c>
      <c r="E1617" s="1" t="s">
        <v>2670</v>
      </c>
      <c r="F1617" s="1" t="s">
        <v>720</v>
      </c>
      <c r="G1617" s="1" t="s">
        <v>23</v>
      </c>
      <c r="I1617" s="18">
        <v>40490.738657407404</v>
      </c>
      <c r="J1617" s="1" t="s">
        <v>40</v>
      </c>
      <c r="K1617" s="1" t="s">
        <v>18</v>
      </c>
      <c r="L1617" s="1" t="s">
        <v>19</v>
      </c>
      <c r="Q1617" s="21"/>
    </row>
    <row r="1618" spans="1:18" x14ac:dyDescent="0.15">
      <c r="A1618" s="1">
        <v>62296</v>
      </c>
      <c r="B1618" s="1">
        <v>0</v>
      </c>
      <c r="C1618" s="1" t="s">
        <v>26</v>
      </c>
      <c r="D1618" s="1" t="s">
        <v>27</v>
      </c>
      <c r="E1618" s="1" t="s">
        <v>2693</v>
      </c>
      <c r="F1618" s="1" t="s">
        <v>720</v>
      </c>
      <c r="G1618" s="1" t="s">
        <v>23</v>
      </c>
      <c r="I1618" s="18">
        <v>40490.175057870372</v>
      </c>
      <c r="J1618" s="1" t="s">
        <v>40</v>
      </c>
      <c r="K1618" s="1" t="s">
        <v>18</v>
      </c>
      <c r="L1618" s="1" t="s">
        <v>19</v>
      </c>
      <c r="Q1618" s="21"/>
    </row>
    <row r="1619" spans="1:18" x14ac:dyDescent="0.15">
      <c r="A1619" s="1">
        <v>62293</v>
      </c>
      <c r="B1619" s="1">
        <v>0</v>
      </c>
      <c r="C1619" s="1" t="s">
        <v>26</v>
      </c>
      <c r="D1619" s="1" t="s">
        <v>27</v>
      </c>
      <c r="E1619" s="1" t="s">
        <v>2266</v>
      </c>
      <c r="F1619" s="1" t="s">
        <v>720</v>
      </c>
      <c r="G1619" s="1" t="s">
        <v>23</v>
      </c>
      <c r="I1619" s="18">
        <v>40490.123055555552</v>
      </c>
      <c r="J1619" s="1" t="s">
        <v>40</v>
      </c>
      <c r="K1619" s="1" t="s">
        <v>18</v>
      </c>
      <c r="L1619" s="1" t="s">
        <v>19</v>
      </c>
      <c r="Q1619" s="21"/>
    </row>
    <row r="1620" spans="1:18" x14ac:dyDescent="0.15">
      <c r="A1620" s="1">
        <v>62281</v>
      </c>
      <c r="B1620" s="1">
        <v>0</v>
      </c>
      <c r="C1620" s="1" t="s">
        <v>26</v>
      </c>
      <c r="D1620" s="1" t="s">
        <v>27</v>
      </c>
      <c r="E1620" s="1" t="s">
        <v>2921</v>
      </c>
      <c r="F1620" s="1" t="s">
        <v>720</v>
      </c>
      <c r="G1620" s="1" t="s">
        <v>23</v>
      </c>
      <c r="I1620" s="18">
        <v>40489.996759259258</v>
      </c>
      <c r="J1620" s="1" t="s">
        <v>40</v>
      </c>
      <c r="K1620" s="1" t="s">
        <v>18</v>
      </c>
      <c r="L1620" s="1" t="s">
        <v>19</v>
      </c>
      <c r="Q1620" s="21"/>
    </row>
    <row r="1621" spans="1:18" x14ac:dyDescent="0.15">
      <c r="A1621" s="1">
        <v>62261</v>
      </c>
      <c r="B1621" s="1">
        <v>0</v>
      </c>
      <c r="C1621" s="1" t="s">
        <v>26</v>
      </c>
      <c r="D1621" s="1" t="s">
        <v>27</v>
      </c>
      <c r="E1621" s="1" t="s">
        <v>3186</v>
      </c>
      <c r="F1621" s="1" t="s">
        <v>1173</v>
      </c>
      <c r="G1621" s="1" t="s">
        <v>23</v>
      </c>
      <c r="I1621" s="18">
        <v>40489.733900462961</v>
      </c>
      <c r="J1621" s="1" t="s">
        <v>40</v>
      </c>
      <c r="K1621" s="1" t="s">
        <v>18</v>
      </c>
      <c r="L1621" s="1" t="s">
        <v>19</v>
      </c>
      <c r="Q1621" s="21"/>
    </row>
    <row r="1622" spans="1:18" x14ac:dyDescent="0.15">
      <c r="A1622" s="1">
        <v>62127</v>
      </c>
      <c r="B1622" s="1">
        <v>0</v>
      </c>
      <c r="D1622" s="1" t="s">
        <v>27</v>
      </c>
      <c r="E1622" s="1" t="s">
        <v>2537</v>
      </c>
      <c r="F1622" s="1" t="s">
        <v>2538</v>
      </c>
      <c r="G1622" s="1"/>
      <c r="H1622" s="1"/>
      <c r="I1622" s="18">
        <v>40487.874791666669</v>
      </c>
      <c r="J1622" s="1" t="s">
        <v>44</v>
      </c>
      <c r="K1622" s="1" t="s">
        <v>18</v>
      </c>
      <c r="L1622" s="1" t="s">
        <v>19</v>
      </c>
      <c r="Q1622" s="21"/>
    </row>
    <row r="1623" spans="1:18" x14ac:dyDescent="0.15">
      <c r="A1623" s="1">
        <v>61502</v>
      </c>
      <c r="B1623" s="1">
        <v>1</v>
      </c>
      <c r="C1623" s="1" t="s">
        <v>26</v>
      </c>
      <c r="D1623" s="1" t="s">
        <v>27</v>
      </c>
      <c r="E1623" s="1" t="s">
        <v>2884</v>
      </c>
      <c r="F1623" s="1" t="s">
        <v>2885</v>
      </c>
      <c r="G1623" s="1" t="s">
        <v>23</v>
      </c>
      <c r="I1623" s="18">
        <v>40483.929918981485</v>
      </c>
      <c r="J1623" s="1" t="s">
        <v>1435</v>
      </c>
      <c r="K1623" s="1" t="s">
        <v>18</v>
      </c>
      <c r="L1623" s="1" t="s">
        <v>19</v>
      </c>
      <c r="M1623" s="1">
        <v>70572</v>
      </c>
      <c r="N1623" s="1" t="s">
        <v>2886</v>
      </c>
      <c r="O1623" s="18">
        <v>40567.138888888891</v>
      </c>
      <c r="P1623" s="1" t="s">
        <v>92</v>
      </c>
      <c r="Q1623" s="21">
        <f t="shared" ref="Q1623" si="29">ABS(O1623-I1623)</f>
        <v>83.208969907405844</v>
      </c>
      <c r="R1623" s="1"/>
    </row>
    <row r="1624" spans="1:18" x14ac:dyDescent="0.15">
      <c r="A1624" s="1">
        <v>61313</v>
      </c>
      <c r="B1624" s="1">
        <v>0</v>
      </c>
      <c r="C1624" s="1" t="s">
        <v>26</v>
      </c>
      <c r="D1624" s="1" t="s">
        <v>27</v>
      </c>
      <c r="E1624" s="1" t="s">
        <v>1342</v>
      </c>
      <c r="F1624" s="1" t="s">
        <v>1173</v>
      </c>
      <c r="G1624" s="1" t="s">
        <v>23</v>
      </c>
      <c r="I1624" s="18">
        <v>40481.622083333335</v>
      </c>
      <c r="J1624" s="1" t="s">
        <v>40</v>
      </c>
      <c r="K1624" s="1" t="s">
        <v>18</v>
      </c>
      <c r="L1624" s="1" t="s">
        <v>19</v>
      </c>
      <c r="Q1624" s="21"/>
    </row>
    <row r="1625" spans="1:18" x14ac:dyDescent="0.15">
      <c r="A1625" s="1">
        <v>61255</v>
      </c>
      <c r="B1625" s="1">
        <v>0</v>
      </c>
      <c r="C1625" s="1" t="s">
        <v>170</v>
      </c>
      <c r="D1625" s="1" t="s">
        <v>27</v>
      </c>
      <c r="E1625" s="1" t="s">
        <v>2031</v>
      </c>
      <c r="F1625" s="1" t="s">
        <v>651</v>
      </c>
      <c r="G1625" s="1" t="s">
        <v>23</v>
      </c>
      <c r="I1625" s="18">
        <v>40480.918287037035</v>
      </c>
      <c r="J1625" s="1" t="s">
        <v>40</v>
      </c>
      <c r="K1625" s="1" t="s">
        <v>18</v>
      </c>
      <c r="L1625" s="1" t="s">
        <v>19</v>
      </c>
      <c r="Q1625" s="21"/>
    </row>
    <row r="1626" spans="1:18" x14ac:dyDescent="0.15">
      <c r="A1626" s="1">
        <v>61158</v>
      </c>
      <c r="B1626" s="1">
        <v>0</v>
      </c>
      <c r="C1626" s="1" t="s">
        <v>26</v>
      </c>
      <c r="D1626" s="1" t="s">
        <v>27</v>
      </c>
      <c r="E1626" s="1" t="s">
        <v>3575</v>
      </c>
      <c r="F1626" s="1" t="s">
        <v>1173</v>
      </c>
      <c r="G1626" s="1" t="s">
        <v>23</v>
      </c>
      <c r="I1626" s="18">
        <v>40479.977685185186</v>
      </c>
      <c r="J1626" s="1" t="s">
        <v>40</v>
      </c>
      <c r="K1626" s="1" t="s">
        <v>18</v>
      </c>
      <c r="L1626" s="1" t="s">
        <v>19</v>
      </c>
      <c r="Q1626" s="21"/>
    </row>
    <row r="1627" spans="1:18" x14ac:dyDescent="0.15">
      <c r="A1627" s="1">
        <v>60769</v>
      </c>
      <c r="B1627" s="1">
        <v>0</v>
      </c>
      <c r="C1627" s="1" t="s">
        <v>26</v>
      </c>
      <c r="D1627" s="1" t="s">
        <v>27</v>
      </c>
      <c r="E1627" s="1" t="s">
        <v>2586</v>
      </c>
      <c r="F1627" s="1" t="s">
        <v>2587</v>
      </c>
      <c r="G1627" s="1"/>
      <c r="H1627" s="1"/>
      <c r="I1627" s="18">
        <v>40477.742349537039</v>
      </c>
      <c r="J1627" s="1" t="s">
        <v>40</v>
      </c>
      <c r="K1627" s="1" t="s">
        <v>18</v>
      </c>
      <c r="L1627" s="1" t="s">
        <v>19</v>
      </c>
      <c r="Q1627" s="21"/>
    </row>
    <row r="1628" spans="1:18" x14ac:dyDescent="0.15">
      <c r="A1628" s="1">
        <v>60695</v>
      </c>
      <c r="B1628" s="1">
        <v>0</v>
      </c>
      <c r="C1628" s="1" t="s">
        <v>133</v>
      </c>
      <c r="D1628" s="1" t="s">
        <v>27</v>
      </c>
      <c r="E1628" s="1" t="s">
        <v>650</v>
      </c>
      <c r="F1628" s="1" t="s">
        <v>651</v>
      </c>
      <c r="G1628" s="1" t="s">
        <v>23</v>
      </c>
      <c r="I1628" s="18">
        <v>40477.31758101852</v>
      </c>
      <c r="J1628" s="1" t="s">
        <v>148</v>
      </c>
      <c r="K1628" s="1" t="s">
        <v>18</v>
      </c>
      <c r="L1628" s="1" t="s">
        <v>19</v>
      </c>
      <c r="Q1628" s="21"/>
    </row>
    <row r="1629" spans="1:18" x14ac:dyDescent="0.15">
      <c r="A1629" s="1">
        <v>60688</v>
      </c>
      <c r="B1629" s="1">
        <v>0</v>
      </c>
      <c r="C1629" s="1" t="s">
        <v>26</v>
      </c>
      <c r="D1629" s="1" t="s">
        <v>27</v>
      </c>
      <c r="E1629" s="1" t="s">
        <v>1343</v>
      </c>
      <c r="F1629" s="1" t="s">
        <v>1344</v>
      </c>
      <c r="G1629" s="1"/>
      <c r="H1629" s="1"/>
      <c r="I1629" s="18">
        <v>40477.250960648147</v>
      </c>
      <c r="J1629" s="1" t="s">
        <v>30</v>
      </c>
      <c r="K1629" s="1" t="s">
        <v>18</v>
      </c>
      <c r="L1629" s="1" t="s">
        <v>19</v>
      </c>
      <c r="Q1629" s="21"/>
    </row>
    <row r="1630" spans="1:18" x14ac:dyDescent="0.15">
      <c r="A1630" s="1">
        <v>60327</v>
      </c>
      <c r="B1630" s="1">
        <v>0</v>
      </c>
      <c r="C1630" s="1" t="s">
        <v>26</v>
      </c>
      <c r="D1630" s="1" t="s">
        <v>27</v>
      </c>
      <c r="E1630" s="1" t="s">
        <v>1912</v>
      </c>
      <c r="F1630" s="1" t="s">
        <v>1913</v>
      </c>
      <c r="G1630" s="1" t="s">
        <v>23</v>
      </c>
      <c r="I1630" s="18">
        <v>40473.732037037036</v>
      </c>
      <c r="J1630" s="1" t="s">
        <v>1914</v>
      </c>
      <c r="K1630" s="1" t="s">
        <v>18</v>
      </c>
      <c r="L1630" s="1" t="s">
        <v>19</v>
      </c>
      <c r="Q1630" s="21"/>
    </row>
    <row r="1631" spans="1:18" x14ac:dyDescent="0.15">
      <c r="A1631" s="1">
        <v>60238</v>
      </c>
      <c r="B1631" s="1">
        <v>0</v>
      </c>
      <c r="C1631" s="1" t="s">
        <v>1990</v>
      </c>
      <c r="D1631" s="1" t="s">
        <v>27</v>
      </c>
      <c r="E1631" s="1" t="s">
        <v>3520</v>
      </c>
      <c r="F1631" s="1" t="s">
        <v>3521</v>
      </c>
      <c r="G1631" s="1" t="s">
        <v>23</v>
      </c>
      <c r="I1631" s="18">
        <v>40473.100555555553</v>
      </c>
      <c r="J1631" s="1" t="s">
        <v>3522</v>
      </c>
      <c r="K1631" s="1" t="s">
        <v>18</v>
      </c>
      <c r="L1631" s="1" t="s">
        <v>19</v>
      </c>
      <c r="Q1631" s="21"/>
    </row>
    <row r="1632" spans="1:18" x14ac:dyDescent="0.15">
      <c r="A1632" s="1">
        <v>60055</v>
      </c>
      <c r="B1632" s="1">
        <v>0</v>
      </c>
      <c r="C1632" s="1" t="s">
        <v>1910</v>
      </c>
      <c r="D1632" s="1" t="s">
        <v>27</v>
      </c>
      <c r="E1632" s="1" t="s">
        <v>2103</v>
      </c>
      <c r="F1632" s="1" t="s">
        <v>2104</v>
      </c>
      <c r="G1632" s="1"/>
      <c r="H1632" s="1"/>
      <c r="I1632" s="18">
        <v>40472.145405092589</v>
      </c>
      <c r="J1632" s="1" t="s">
        <v>151</v>
      </c>
      <c r="K1632" s="1" t="s">
        <v>18</v>
      </c>
      <c r="L1632" s="1" t="s">
        <v>19</v>
      </c>
      <c r="Q1632" s="21"/>
    </row>
    <row r="1633" spans="1:17" x14ac:dyDescent="0.15">
      <c r="A1633" s="1">
        <v>60013</v>
      </c>
      <c r="B1633" s="1">
        <v>0</v>
      </c>
      <c r="C1633" s="1" t="s">
        <v>26</v>
      </c>
      <c r="D1633" s="1" t="s">
        <v>27</v>
      </c>
      <c r="E1633" s="1" t="s">
        <v>115</v>
      </c>
      <c r="F1633" s="1" t="s">
        <v>116</v>
      </c>
      <c r="G1633" s="1" t="s">
        <v>23</v>
      </c>
      <c r="I1633" s="18">
        <v>40471.927627314813</v>
      </c>
      <c r="J1633" s="1" t="s">
        <v>98</v>
      </c>
      <c r="K1633" s="1" t="s">
        <v>18</v>
      </c>
      <c r="L1633" s="1" t="s">
        <v>19</v>
      </c>
      <c r="Q1633" s="21"/>
    </row>
    <row r="1634" spans="1:17" x14ac:dyDescent="0.15">
      <c r="A1634" s="1">
        <v>59593</v>
      </c>
      <c r="B1634" s="1">
        <v>0</v>
      </c>
      <c r="C1634" s="1" t="s">
        <v>26</v>
      </c>
      <c r="D1634" s="1" t="s">
        <v>27</v>
      </c>
      <c r="E1634" s="1" t="s">
        <v>1183</v>
      </c>
      <c r="F1634" s="1" t="s">
        <v>720</v>
      </c>
      <c r="G1634" s="1" t="s">
        <v>23</v>
      </c>
      <c r="I1634" s="18">
        <v>40469.735405092593</v>
      </c>
      <c r="J1634" s="1" t="s">
        <v>398</v>
      </c>
      <c r="K1634" s="1" t="s">
        <v>18</v>
      </c>
      <c r="L1634" s="1" t="s">
        <v>19</v>
      </c>
      <c r="Q1634" s="21"/>
    </row>
    <row r="1635" spans="1:17" x14ac:dyDescent="0.15">
      <c r="A1635" s="1">
        <v>59554</v>
      </c>
      <c r="B1635" s="1">
        <v>0</v>
      </c>
      <c r="C1635" s="1" t="s">
        <v>26</v>
      </c>
      <c r="D1635" s="1" t="s">
        <v>27</v>
      </c>
      <c r="E1635" s="1" t="s">
        <v>3375</v>
      </c>
      <c r="F1635" s="1" t="s">
        <v>3376</v>
      </c>
      <c r="G1635" s="1" t="s">
        <v>23</v>
      </c>
      <c r="I1635" s="18">
        <v>40469.394155092596</v>
      </c>
      <c r="J1635" s="1" t="s">
        <v>1312</v>
      </c>
      <c r="K1635" s="1" t="s">
        <v>18</v>
      </c>
      <c r="L1635" s="1" t="s">
        <v>19</v>
      </c>
      <c r="Q1635" s="21"/>
    </row>
    <row r="1636" spans="1:17" x14ac:dyDescent="0.15">
      <c r="A1636" s="1">
        <v>59320</v>
      </c>
      <c r="B1636" s="1">
        <v>0</v>
      </c>
      <c r="C1636" s="1" t="s">
        <v>26</v>
      </c>
      <c r="D1636" s="1" t="s">
        <v>27</v>
      </c>
      <c r="E1636" s="1" t="s">
        <v>2008</v>
      </c>
      <c r="F1636" s="1" t="s">
        <v>2009</v>
      </c>
      <c r="G1636" s="1" t="s">
        <v>16</v>
      </c>
      <c r="I1636" s="18">
        <v>40466.231840277775</v>
      </c>
      <c r="J1636" s="1" t="s">
        <v>190</v>
      </c>
      <c r="K1636" s="1" t="s">
        <v>18</v>
      </c>
      <c r="L1636" s="1" t="s">
        <v>19</v>
      </c>
      <c r="Q1636" s="21"/>
    </row>
    <row r="1637" spans="1:17" x14ac:dyDescent="0.15">
      <c r="A1637" s="1">
        <v>59314</v>
      </c>
      <c r="B1637" s="1">
        <v>0</v>
      </c>
      <c r="C1637" s="1" t="s">
        <v>26</v>
      </c>
      <c r="D1637" s="1" t="s">
        <v>27</v>
      </c>
      <c r="E1637" s="1" t="s">
        <v>1330</v>
      </c>
      <c r="F1637" s="1" t="s">
        <v>1331</v>
      </c>
      <c r="G1637" s="1" t="s">
        <v>23</v>
      </c>
      <c r="I1637" s="18">
        <v>40466.154050925928</v>
      </c>
      <c r="J1637" s="1" t="s">
        <v>40</v>
      </c>
      <c r="K1637" s="1" t="s">
        <v>18</v>
      </c>
      <c r="L1637" s="1" t="s">
        <v>19</v>
      </c>
      <c r="Q1637" s="21"/>
    </row>
    <row r="1638" spans="1:17" x14ac:dyDescent="0.15">
      <c r="A1638" s="1">
        <v>58741</v>
      </c>
      <c r="B1638" s="1">
        <v>0</v>
      </c>
      <c r="C1638" s="1" t="s">
        <v>133</v>
      </c>
      <c r="D1638" s="1" t="s">
        <v>27</v>
      </c>
      <c r="E1638" s="1" t="s">
        <v>553</v>
      </c>
      <c r="F1638" s="1" t="s">
        <v>554</v>
      </c>
      <c r="G1638" s="1"/>
      <c r="H1638" s="1"/>
      <c r="I1638" s="18">
        <v>40462.47488425926</v>
      </c>
      <c r="J1638" s="1" t="s">
        <v>555</v>
      </c>
      <c r="K1638" s="1" t="s">
        <v>18</v>
      </c>
      <c r="L1638" s="1" t="s">
        <v>19</v>
      </c>
      <c r="Q1638" s="21"/>
    </row>
    <row r="1639" spans="1:17" x14ac:dyDescent="0.15">
      <c r="A1639" s="1">
        <v>58731</v>
      </c>
      <c r="B1639" s="1">
        <v>0</v>
      </c>
      <c r="C1639" s="1" t="s">
        <v>170</v>
      </c>
      <c r="D1639" s="1" t="s">
        <v>27</v>
      </c>
      <c r="E1639" s="1" t="s">
        <v>1600</v>
      </c>
      <c r="F1639" s="1" t="s">
        <v>1601</v>
      </c>
      <c r="G1639" s="1" t="s">
        <v>23</v>
      </c>
      <c r="I1639" s="18">
        <v>40462.327210648145</v>
      </c>
      <c r="J1639" s="1" t="s">
        <v>1602</v>
      </c>
      <c r="K1639" s="1" t="s">
        <v>18</v>
      </c>
      <c r="L1639" s="1" t="s">
        <v>19</v>
      </c>
      <c r="Q1639" s="21"/>
    </row>
    <row r="1640" spans="1:17" x14ac:dyDescent="0.15">
      <c r="A1640" s="1">
        <v>58657</v>
      </c>
      <c r="B1640" s="1">
        <v>0</v>
      </c>
      <c r="C1640" s="1" t="s">
        <v>26</v>
      </c>
      <c r="D1640" s="1" t="s">
        <v>27</v>
      </c>
      <c r="E1640" s="1" t="s">
        <v>3026</v>
      </c>
      <c r="F1640" s="1" t="s">
        <v>3027</v>
      </c>
      <c r="G1640" s="1" t="s">
        <v>23</v>
      </c>
      <c r="I1640" s="18">
        <v>40461.027083333334</v>
      </c>
      <c r="J1640" s="1" t="s">
        <v>263</v>
      </c>
      <c r="K1640" s="1" t="s">
        <v>18</v>
      </c>
      <c r="L1640" s="1" t="s">
        <v>19</v>
      </c>
      <c r="Q1640" s="21"/>
    </row>
    <row r="1641" spans="1:17" x14ac:dyDescent="0.15">
      <c r="A1641" s="1">
        <v>58008</v>
      </c>
      <c r="B1641" s="1">
        <v>0</v>
      </c>
      <c r="C1641" s="1" t="s">
        <v>26</v>
      </c>
      <c r="D1641" s="1" t="s">
        <v>27</v>
      </c>
      <c r="E1641" s="1" t="s">
        <v>2564</v>
      </c>
      <c r="F1641" s="1" t="s">
        <v>651</v>
      </c>
      <c r="G1641" s="1" t="s">
        <v>23</v>
      </c>
      <c r="I1641" s="18">
        <v>40456.785949074074</v>
      </c>
      <c r="J1641" s="1" t="s">
        <v>40</v>
      </c>
      <c r="K1641" s="1" t="s">
        <v>18</v>
      </c>
      <c r="L1641" s="1" t="s">
        <v>19</v>
      </c>
      <c r="Q1641" s="21"/>
    </row>
    <row r="1642" spans="1:17" x14ac:dyDescent="0.15">
      <c r="A1642" s="1">
        <v>57347</v>
      </c>
      <c r="B1642" s="1">
        <v>0</v>
      </c>
      <c r="C1642" s="1" t="s">
        <v>26</v>
      </c>
      <c r="D1642" s="1" t="s">
        <v>27</v>
      </c>
      <c r="E1642" s="1" t="s">
        <v>2781</v>
      </c>
      <c r="F1642" s="1" t="s">
        <v>2587</v>
      </c>
      <c r="G1642" s="1"/>
      <c r="H1642" s="1"/>
      <c r="I1642" s="18">
        <v>40450.962754629632</v>
      </c>
      <c r="J1642" s="1" t="s">
        <v>40</v>
      </c>
      <c r="K1642" s="1" t="s">
        <v>18</v>
      </c>
      <c r="L1642" s="1" t="s">
        <v>19</v>
      </c>
      <c r="Q1642" s="21"/>
    </row>
    <row r="1643" spans="1:17" x14ac:dyDescent="0.15">
      <c r="A1643" s="1">
        <v>57200</v>
      </c>
      <c r="B1643" s="1">
        <v>0</v>
      </c>
      <c r="C1643" s="1" t="s">
        <v>26</v>
      </c>
      <c r="D1643" s="1" t="s">
        <v>27</v>
      </c>
      <c r="E1643" s="1" t="s">
        <v>1256</v>
      </c>
      <c r="F1643" s="1" t="s">
        <v>1257</v>
      </c>
      <c r="G1643" s="1" t="s">
        <v>23</v>
      </c>
      <c r="I1643" s="18">
        <v>40449.806574074071</v>
      </c>
      <c r="J1643" s="1" t="s">
        <v>40</v>
      </c>
      <c r="K1643" s="1" t="s">
        <v>18</v>
      </c>
      <c r="L1643" s="1" t="s">
        <v>19</v>
      </c>
      <c r="Q1643" s="21"/>
    </row>
    <row r="1644" spans="1:17" x14ac:dyDescent="0.15">
      <c r="A1644" s="1">
        <v>56796</v>
      </c>
      <c r="B1644" s="1">
        <v>0</v>
      </c>
      <c r="C1644" s="1" t="s">
        <v>26</v>
      </c>
      <c r="D1644" s="1" t="s">
        <v>27</v>
      </c>
      <c r="E1644" s="1" t="s">
        <v>2959</v>
      </c>
      <c r="F1644" s="1" t="s">
        <v>112</v>
      </c>
      <c r="G1644" s="1" t="s">
        <v>23</v>
      </c>
      <c r="I1644" s="18">
        <v>40445.686261574076</v>
      </c>
      <c r="J1644" s="1" t="s">
        <v>40</v>
      </c>
      <c r="K1644" s="1" t="s">
        <v>18</v>
      </c>
      <c r="L1644" s="1" t="s">
        <v>19</v>
      </c>
      <c r="Q1644" s="21"/>
    </row>
    <row r="1645" spans="1:17" x14ac:dyDescent="0.15">
      <c r="A1645" s="1">
        <v>56692</v>
      </c>
      <c r="B1645" s="1">
        <v>0</v>
      </c>
      <c r="C1645" s="1" t="s">
        <v>26</v>
      </c>
      <c r="D1645" s="1" t="s">
        <v>27</v>
      </c>
      <c r="E1645" s="1" t="s">
        <v>1332</v>
      </c>
      <c r="F1645" s="1" t="s">
        <v>112</v>
      </c>
      <c r="G1645" s="1" t="s">
        <v>23</v>
      </c>
      <c r="I1645" s="18">
        <v>40444.797812500001</v>
      </c>
      <c r="J1645" s="1" t="s">
        <v>40</v>
      </c>
      <c r="K1645" s="1" t="s">
        <v>18</v>
      </c>
      <c r="L1645" s="1" t="s">
        <v>19</v>
      </c>
      <c r="Q1645" s="21"/>
    </row>
    <row r="1646" spans="1:17" x14ac:dyDescent="0.15">
      <c r="A1646" s="1">
        <v>56621</v>
      </c>
      <c r="B1646" s="1">
        <v>0</v>
      </c>
      <c r="C1646" s="1" t="s">
        <v>26</v>
      </c>
      <c r="D1646" s="1" t="s">
        <v>27</v>
      </c>
      <c r="E1646" s="1" t="s">
        <v>111</v>
      </c>
      <c r="F1646" s="1" t="s">
        <v>112</v>
      </c>
      <c r="G1646" s="1" t="s">
        <v>23</v>
      </c>
      <c r="I1646" s="18">
        <v>40444.301018518519</v>
      </c>
      <c r="J1646" s="1" t="s">
        <v>40</v>
      </c>
      <c r="K1646" s="1" t="s">
        <v>18</v>
      </c>
      <c r="L1646" s="1" t="s">
        <v>19</v>
      </c>
      <c r="Q1646" s="21"/>
    </row>
    <row r="1647" spans="1:17" x14ac:dyDescent="0.15">
      <c r="A1647" s="1">
        <v>56616</v>
      </c>
      <c r="B1647" s="1">
        <v>0</v>
      </c>
      <c r="C1647" s="1" t="s">
        <v>26</v>
      </c>
      <c r="D1647" s="1" t="s">
        <v>27</v>
      </c>
      <c r="E1647" s="1" t="s">
        <v>2993</v>
      </c>
      <c r="F1647" s="1" t="s">
        <v>651</v>
      </c>
      <c r="G1647" s="1" t="s">
        <v>23</v>
      </c>
      <c r="I1647" s="18">
        <v>40444.233344907407</v>
      </c>
      <c r="J1647" s="1" t="s">
        <v>40</v>
      </c>
      <c r="K1647" s="1" t="s">
        <v>18</v>
      </c>
      <c r="L1647" s="1" t="s">
        <v>19</v>
      </c>
      <c r="Q1647" s="21"/>
    </row>
    <row r="1648" spans="1:17" x14ac:dyDescent="0.15">
      <c r="A1648" s="1">
        <v>56474</v>
      </c>
      <c r="B1648" s="1">
        <v>0</v>
      </c>
      <c r="C1648" s="1" t="s">
        <v>26</v>
      </c>
      <c r="D1648" s="1" t="s">
        <v>27</v>
      </c>
      <c r="E1648" s="1" t="s">
        <v>1905</v>
      </c>
      <c r="F1648" s="1" t="s">
        <v>112</v>
      </c>
      <c r="G1648" s="1" t="s">
        <v>23</v>
      </c>
      <c r="I1648" s="18">
        <v>40443.061273148145</v>
      </c>
      <c r="J1648" s="1" t="s">
        <v>40</v>
      </c>
      <c r="K1648" s="1" t="s">
        <v>18</v>
      </c>
      <c r="L1648" s="1" t="s">
        <v>19</v>
      </c>
      <c r="Q1648" s="21"/>
    </row>
    <row r="1649" spans="1:17" x14ac:dyDescent="0.15">
      <c r="A1649" s="1">
        <v>56451</v>
      </c>
      <c r="B1649" s="1">
        <v>0</v>
      </c>
      <c r="C1649" s="1" t="s">
        <v>26</v>
      </c>
      <c r="D1649" s="1" t="s">
        <v>27</v>
      </c>
      <c r="E1649" s="1" t="s">
        <v>3163</v>
      </c>
      <c r="F1649" s="1" t="s">
        <v>112</v>
      </c>
      <c r="G1649" s="1" t="s">
        <v>23</v>
      </c>
      <c r="I1649" s="18">
        <v>40442.931712962964</v>
      </c>
      <c r="J1649" s="1" t="s">
        <v>40</v>
      </c>
      <c r="K1649" s="1" t="s">
        <v>18</v>
      </c>
      <c r="L1649" s="1" t="s">
        <v>19</v>
      </c>
      <c r="Q1649" s="21"/>
    </row>
    <row r="1650" spans="1:17" x14ac:dyDescent="0.15">
      <c r="A1650" s="1">
        <v>56449</v>
      </c>
      <c r="B1650" s="1">
        <v>0</v>
      </c>
      <c r="C1650" s="1" t="s">
        <v>1188</v>
      </c>
      <c r="D1650" s="1" t="s">
        <v>27</v>
      </c>
      <c r="E1650" s="1" t="s">
        <v>2554</v>
      </c>
      <c r="F1650" s="1" t="s">
        <v>2555</v>
      </c>
      <c r="G1650" s="1" t="s">
        <v>16</v>
      </c>
      <c r="I1650" s="18">
        <v>40442.927870370368</v>
      </c>
      <c r="J1650" s="1" t="s">
        <v>552</v>
      </c>
      <c r="K1650" s="1" t="s">
        <v>18</v>
      </c>
      <c r="L1650" s="1" t="s">
        <v>19</v>
      </c>
      <c r="Q1650" s="21"/>
    </row>
    <row r="1651" spans="1:17" x14ac:dyDescent="0.15">
      <c r="A1651" s="1">
        <v>56206</v>
      </c>
      <c r="B1651" s="1">
        <v>0</v>
      </c>
      <c r="C1651" s="1" t="s">
        <v>26</v>
      </c>
      <c r="D1651" s="1" t="s">
        <v>27</v>
      </c>
      <c r="E1651" s="1" t="s">
        <v>2212</v>
      </c>
      <c r="F1651" s="1" t="s">
        <v>651</v>
      </c>
      <c r="G1651" s="1" t="s">
        <v>23</v>
      </c>
      <c r="I1651" s="18">
        <v>40440.817615740743</v>
      </c>
      <c r="J1651" s="1" t="s">
        <v>40</v>
      </c>
      <c r="K1651" s="1" t="s">
        <v>18</v>
      </c>
      <c r="L1651" s="1" t="s">
        <v>19</v>
      </c>
      <c r="Q1651" s="21"/>
    </row>
    <row r="1652" spans="1:17" x14ac:dyDescent="0.15">
      <c r="A1652" s="1">
        <v>56144</v>
      </c>
      <c r="B1652" s="1">
        <v>0</v>
      </c>
      <c r="C1652" s="1" t="s">
        <v>26</v>
      </c>
      <c r="D1652" s="1" t="s">
        <v>27</v>
      </c>
      <c r="E1652" s="1" t="s">
        <v>3572</v>
      </c>
      <c r="F1652" s="1" t="s">
        <v>112</v>
      </c>
      <c r="G1652" s="1" t="s">
        <v>23</v>
      </c>
      <c r="I1652" s="18">
        <v>40439.843263888892</v>
      </c>
      <c r="J1652" s="1" t="s">
        <v>40</v>
      </c>
      <c r="K1652" s="1" t="s">
        <v>18</v>
      </c>
      <c r="L1652" s="1" t="s">
        <v>19</v>
      </c>
      <c r="Q1652" s="21"/>
    </row>
    <row r="1653" spans="1:17" x14ac:dyDescent="0.15">
      <c r="A1653" s="1">
        <v>55901</v>
      </c>
      <c r="B1653" s="1">
        <v>0</v>
      </c>
      <c r="C1653" s="1" t="s">
        <v>26</v>
      </c>
      <c r="D1653" s="1" t="s">
        <v>27</v>
      </c>
      <c r="E1653" s="1" t="s">
        <v>2594</v>
      </c>
      <c r="F1653" s="1" t="s">
        <v>2435</v>
      </c>
      <c r="G1653" s="1" t="s">
        <v>23</v>
      </c>
      <c r="I1653" s="18">
        <v>40437.815370370372</v>
      </c>
      <c r="J1653" s="1" t="s">
        <v>40</v>
      </c>
      <c r="K1653" s="1" t="s">
        <v>18</v>
      </c>
      <c r="L1653" s="1" t="s">
        <v>19</v>
      </c>
      <c r="Q1653" s="21"/>
    </row>
    <row r="1654" spans="1:17" x14ac:dyDescent="0.15">
      <c r="A1654" s="1">
        <v>55831</v>
      </c>
      <c r="B1654" s="1">
        <v>0</v>
      </c>
      <c r="C1654" s="1" t="s">
        <v>26</v>
      </c>
      <c r="D1654" s="1" t="s">
        <v>27</v>
      </c>
      <c r="E1654" s="1" t="s">
        <v>2713</v>
      </c>
      <c r="F1654" s="1" t="s">
        <v>430</v>
      </c>
      <c r="G1654" s="1" t="s">
        <v>23</v>
      </c>
      <c r="I1654" s="18">
        <v>40437.371342592596</v>
      </c>
      <c r="J1654" s="1" t="s">
        <v>190</v>
      </c>
      <c r="K1654" s="1" t="s">
        <v>18</v>
      </c>
      <c r="L1654" s="1" t="s">
        <v>19</v>
      </c>
      <c r="Q1654" s="21"/>
    </row>
    <row r="1655" spans="1:17" x14ac:dyDescent="0.15">
      <c r="A1655" s="1">
        <v>55607</v>
      </c>
      <c r="B1655" s="1">
        <v>0</v>
      </c>
      <c r="C1655" s="1" t="s">
        <v>1140</v>
      </c>
      <c r="D1655" s="1" t="s">
        <v>27</v>
      </c>
      <c r="E1655" s="1" t="s">
        <v>3131</v>
      </c>
      <c r="F1655" s="1" t="s">
        <v>3132</v>
      </c>
      <c r="G1655" s="1" t="s">
        <v>16</v>
      </c>
      <c r="I1655" s="18">
        <v>40435.839861111112</v>
      </c>
      <c r="J1655" s="1" t="s">
        <v>398</v>
      </c>
      <c r="K1655" s="1" t="s">
        <v>18</v>
      </c>
      <c r="L1655" s="1" t="s">
        <v>19</v>
      </c>
      <c r="Q1655" s="21"/>
    </row>
    <row r="1656" spans="1:17" x14ac:dyDescent="0.15">
      <c r="A1656" s="1">
        <v>55350</v>
      </c>
      <c r="B1656" s="1">
        <v>0</v>
      </c>
      <c r="C1656" s="1" t="s">
        <v>26</v>
      </c>
      <c r="D1656" s="1" t="s">
        <v>27</v>
      </c>
      <c r="E1656" s="1" t="s">
        <v>3541</v>
      </c>
      <c r="F1656" s="1" t="s">
        <v>368</v>
      </c>
      <c r="G1656" s="1" t="s">
        <v>23</v>
      </c>
      <c r="I1656" s="18">
        <v>40434.226053240738</v>
      </c>
      <c r="J1656" s="1" t="s">
        <v>3542</v>
      </c>
      <c r="K1656" s="1" t="s">
        <v>18</v>
      </c>
      <c r="L1656" s="1" t="s">
        <v>19</v>
      </c>
      <c r="Q1656" s="21"/>
    </row>
    <row r="1657" spans="1:17" x14ac:dyDescent="0.15">
      <c r="A1657" s="1">
        <v>55257</v>
      </c>
      <c r="B1657" s="1">
        <v>0</v>
      </c>
      <c r="C1657" s="1" t="s">
        <v>26</v>
      </c>
      <c r="D1657" s="1" t="s">
        <v>27</v>
      </c>
      <c r="E1657" s="1" t="s">
        <v>3508</v>
      </c>
      <c r="F1657" s="1" t="s">
        <v>3027</v>
      </c>
      <c r="G1657" s="1" t="s">
        <v>23</v>
      </c>
      <c r="I1657" s="18">
        <v>40432.634699074071</v>
      </c>
      <c r="J1657" s="1" t="s">
        <v>30</v>
      </c>
      <c r="K1657" s="1" t="s">
        <v>18</v>
      </c>
      <c r="L1657" s="1" t="s">
        <v>19</v>
      </c>
      <c r="Q1657" s="21"/>
    </row>
    <row r="1658" spans="1:17" x14ac:dyDescent="0.15">
      <c r="A1658" s="1">
        <v>55215</v>
      </c>
      <c r="B1658" s="1">
        <v>0</v>
      </c>
      <c r="C1658" s="1" t="s">
        <v>26</v>
      </c>
      <c r="D1658" s="1" t="s">
        <v>27</v>
      </c>
      <c r="E1658" s="1" t="s">
        <v>882</v>
      </c>
      <c r="F1658" s="1" t="s">
        <v>883</v>
      </c>
      <c r="G1658" s="1" t="s">
        <v>23</v>
      </c>
      <c r="I1658" s="18">
        <v>40432.282395833332</v>
      </c>
      <c r="J1658" s="1" t="s">
        <v>151</v>
      </c>
      <c r="K1658" s="1" t="s">
        <v>18</v>
      </c>
      <c r="L1658" s="1" t="s">
        <v>19</v>
      </c>
      <c r="Q1658" s="21"/>
    </row>
    <row r="1659" spans="1:17" x14ac:dyDescent="0.15">
      <c r="A1659" s="1">
        <v>55119</v>
      </c>
      <c r="B1659" s="1">
        <v>0</v>
      </c>
      <c r="C1659" s="1" t="s">
        <v>170</v>
      </c>
      <c r="D1659" s="1" t="s">
        <v>27</v>
      </c>
      <c r="E1659" s="1" t="s">
        <v>3587</v>
      </c>
      <c r="F1659" s="1" t="s">
        <v>3588</v>
      </c>
      <c r="G1659" s="1" t="s">
        <v>23</v>
      </c>
      <c r="I1659" s="18">
        <v>40431.711192129631</v>
      </c>
      <c r="J1659" s="1" t="s">
        <v>702</v>
      </c>
      <c r="K1659" s="1" t="s">
        <v>3586</v>
      </c>
      <c r="L1659" s="1" t="s">
        <v>19</v>
      </c>
      <c r="Q1659" s="21"/>
    </row>
    <row r="1660" spans="1:17" x14ac:dyDescent="0.15">
      <c r="A1660" s="1">
        <v>55114</v>
      </c>
      <c r="B1660" s="1">
        <v>0</v>
      </c>
      <c r="C1660" s="1" t="s">
        <v>26</v>
      </c>
      <c r="D1660" s="1" t="s">
        <v>27</v>
      </c>
      <c r="E1660" s="1" t="s">
        <v>314</v>
      </c>
      <c r="F1660" s="1" t="s">
        <v>315</v>
      </c>
      <c r="G1660" s="1" t="s">
        <v>23</v>
      </c>
      <c r="I1660" s="18">
        <v>40431.690844907411</v>
      </c>
      <c r="J1660" s="1" t="s">
        <v>30</v>
      </c>
      <c r="K1660" s="1" t="s">
        <v>18</v>
      </c>
      <c r="L1660" s="1" t="s">
        <v>19</v>
      </c>
      <c r="Q1660" s="21"/>
    </row>
    <row r="1661" spans="1:17" x14ac:dyDescent="0.15">
      <c r="A1661" s="1">
        <v>54794</v>
      </c>
      <c r="B1661" s="1">
        <v>0</v>
      </c>
      <c r="C1661" s="1" t="s">
        <v>170</v>
      </c>
      <c r="D1661" s="1" t="s">
        <v>27</v>
      </c>
      <c r="E1661" s="1" t="s">
        <v>3532</v>
      </c>
      <c r="F1661" s="1" t="s">
        <v>3533</v>
      </c>
      <c r="G1661" s="1" t="s">
        <v>16</v>
      </c>
      <c r="I1661" s="18">
        <v>40429.355046296296</v>
      </c>
      <c r="J1661" s="1" t="s">
        <v>151</v>
      </c>
      <c r="K1661" s="1" t="s">
        <v>18</v>
      </c>
      <c r="L1661" s="1" t="s">
        <v>19</v>
      </c>
      <c r="Q1661" s="21"/>
    </row>
    <row r="1662" spans="1:17" x14ac:dyDescent="0.15">
      <c r="A1662" s="1">
        <v>54653</v>
      </c>
      <c r="B1662" s="1">
        <v>0</v>
      </c>
      <c r="C1662" s="1" t="s">
        <v>26</v>
      </c>
      <c r="D1662" s="1" t="s">
        <v>27</v>
      </c>
      <c r="E1662" s="1" t="s">
        <v>1458</v>
      </c>
      <c r="F1662" s="1" t="s">
        <v>112</v>
      </c>
      <c r="G1662" s="1" t="s">
        <v>23</v>
      </c>
      <c r="I1662" s="18">
        <v>40428.147106481483</v>
      </c>
      <c r="J1662" s="1" t="s">
        <v>40</v>
      </c>
      <c r="K1662" s="1" t="s">
        <v>18</v>
      </c>
      <c r="L1662" s="1" t="s">
        <v>19</v>
      </c>
      <c r="Q1662" s="21"/>
    </row>
    <row r="1663" spans="1:17" x14ac:dyDescent="0.15">
      <c r="A1663" s="1">
        <v>54636</v>
      </c>
      <c r="B1663" s="1">
        <v>0</v>
      </c>
      <c r="C1663" s="1" t="s">
        <v>133</v>
      </c>
      <c r="D1663" s="1" t="s">
        <v>27</v>
      </c>
      <c r="E1663" s="1" t="s">
        <v>2256</v>
      </c>
      <c r="F1663" s="1" t="s">
        <v>112</v>
      </c>
      <c r="G1663" s="1" t="s">
        <v>23</v>
      </c>
      <c r="I1663" s="18">
        <v>40427.827708333331</v>
      </c>
      <c r="J1663" s="1" t="s">
        <v>148</v>
      </c>
      <c r="K1663" s="1" t="s">
        <v>18</v>
      </c>
      <c r="L1663" s="1" t="s">
        <v>19</v>
      </c>
      <c r="Q1663" s="21"/>
    </row>
    <row r="1664" spans="1:17" x14ac:dyDescent="0.15">
      <c r="A1664" s="1">
        <v>54532</v>
      </c>
      <c r="B1664" s="1">
        <v>0</v>
      </c>
      <c r="C1664" s="1" t="s">
        <v>26</v>
      </c>
      <c r="D1664" s="1" t="s">
        <v>27</v>
      </c>
      <c r="E1664" s="1" t="s">
        <v>3079</v>
      </c>
      <c r="F1664" s="1" t="s">
        <v>112</v>
      </c>
      <c r="G1664" s="1" t="s">
        <v>23</v>
      </c>
      <c r="I1664" s="18">
        <v>40426.240034722221</v>
      </c>
      <c r="J1664" s="1" t="s">
        <v>40</v>
      </c>
      <c r="K1664" s="1" t="s">
        <v>18</v>
      </c>
      <c r="L1664" s="1" t="s">
        <v>19</v>
      </c>
      <c r="Q1664" s="21"/>
    </row>
    <row r="1665" spans="1:17" x14ac:dyDescent="0.15">
      <c r="A1665" s="1">
        <v>54500</v>
      </c>
      <c r="B1665" s="1">
        <v>0</v>
      </c>
      <c r="C1665" s="1" t="s">
        <v>26</v>
      </c>
      <c r="D1665" s="1" t="s">
        <v>27</v>
      </c>
      <c r="E1665" s="1" t="s">
        <v>1542</v>
      </c>
      <c r="F1665" s="1" t="s">
        <v>1543</v>
      </c>
      <c r="G1665" s="1"/>
      <c r="H1665" s="1"/>
      <c r="I1665" s="18">
        <v>40425.681828703702</v>
      </c>
      <c r="J1665" s="1" t="s">
        <v>1544</v>
      </c>
      <c r="K1665" s="1" t="s">
        <v>18</v>
      </c>
      <c r="L1665" s="1" t="s">
        <v>19</v>
      </c>
      <c r="Q1665" s="21"/>
    </row>
    <row r="1666" spans="1:17" x14ac:dyDescent="0.15">
      <c r="A1666" s="1">
        <v>54262</v>
      </c>
      <c r="B1666" s="1">
        <v>0</v>
      </c>
      <c r="C1666" s="1" t="s">
        <v>26</v>
      </c>
      <c r="D1666" s="1" t="s">
        <v>27</v>
      </c>
      <c r="E1666" s="1" t="s">
        <v>597</v>
      </c>
      <c r="F1666" s="1" t="s">
        <v>430</v>
      </c>
      <c r="G1666" s="1" t="s">
        <v>23</v>
      </c>
      <c r="I1666" s="18">
        <v>40423.725555555553</v>
      </c>
      <c r="J1666" s="1" t="s">
        <v>173</v>
      </c>
      <c r="K1666" s="1" t="s">
        <v>18</v>
      </c>
      <c r="L1666" s="1" t="s">
        <v>19</v>
      </c>
      <c r="Q1666" s="21"/>
    </row>
    <row r="1667" spans="1:17" x14ac:dyDescent="0.15">
      <c r="A1667" s="1">
        <v>53930</v>
      </c>
      <c r="B1667" s="1">
        <v>0</v>
      </c>
      <c r="D1667" s="1" t="s">
        <v>27</v>
      </c>
      <c r="E1667" s="1" t="s">
        <v>3006</v>
      </c>
      <c r="F1667" s="1" t="s">
        <v>3007</v>
      </c>
      <c r="G1667" s="1" t="s">
        <v>16</v>
      </c>
      <c r="I1667" s="18">
        <v>40421.367025462961</v>
      </c>
      <c r="J1667" s="1" t="s">
        <v>151</v>
      </c>
      <c r="K1667" s="1" t="s">
        <v>18</v>
      </c>
      <c r="L1667" s="1" t="s">
        <v>19</v>
      </c>
      <c r="Q1667" s="21"/>
    </row>
    <row r="1668" spans="1:17" x14ac:dyDescent="0.15">
      <c r="A1668" s="1">
        <v>53747</v>
      </c>
      <c r="B1668" s="1">
        <v>0</v>
      </c>
      <c r="C1668" s="1" t="s">
        <v>26</v>
      </c>
      <c r="D1668" s="1" t="s">
        <v>27</v>
      </c>
      <c r="E1668" s="1" t="s">
        <v>2434</v>
      </c>
      <c r="F1668" s="1" t="s">
        <v>2435</v>
      </c>
      <c r="G1668" s="1" t="s">
        <v>23</v>
      </c>
      <c r="I1668" s="18">
        <v>40419.222557870373</v>
      </c>
      <c r="J1668" s="1" t="s">
        <v>151</v>
      </c>
      <c r="K1668" s="1" t="s">
        <v>18</v>
      </c>
      <c r="L1668" s="1" t="s">
        <v>19</v>
      </c>
      <c r="Q1668" s="21"/>
    </row>
    <row r="1669" spans="1:17" x14ac:dyDescent="0.15">
      <c r="A1669" s="1">
        <v>53640</v>
      </c>
      <c r="B1669" s="1">
        <v>0</v>
      </c>
      <c r="C1669" s="1" t="s">
        <v>26</v>
      </c>
      <c r="D1669" s="1" t="s">
        <v>27</v>
      </c>
      <c r="E1669" s="1" t="s">
        <v>2780</v>
      </c>
      <c r="F1669" s="1" t="s">
        <v>862</v>
      </c>
      <c r="G1669" s="1" t="s">
        <v>23</v>
      </c>
      <c r="I1669" s="18">
        <v>40417.877384259256</v>
      </c>
      <c r="J1669" s="1" t="s">
        <v>40</v>
      </c>
      <c r="K1669" s="1" t="s">
        <v>18</v>
      </c>
      <c r="L1669" s="1" t="s">
        <v>19</v>
      </c>
      <c r="Q1669" s="21"/>
    </row>
    <row r="1670" spans="1:17" x14ac:dyDescent="0.15">
      <c r="A1670" s="1">
        <v>53394</v>
      </c>
      <c r="B1670" s="1">
        <v>0</v>
      </c>
      <c r="C1670" s="1" t="s">
        <v>905</v>
      </c>
      <c r="D1670" s="1" t="s">
        <v>27</v>
      </c>
      <c r="E1670" s="1" t="s">
        <v>1615</v>
      </c>
      <c r="F1670" s="1" t="s">
        <v>1616</v>
      </c>
      <c r="G1670" s="1" t="s">
        <v>23</v>
      </c>
      <c r="I1670" s="18">
        <v>40416.149907407409</v>
      </c>
      <c r="J1670" s="1" t="s">
        <v>40</v>
      </c>
      <c r="K1670" s="1" t="s">
        <v>18</v>
      </c>
      <c r="L1670" s="1" t="s">
        <v>19</v>
      </c>
      <c r="Q1670" s="21"/>
    </row>
    <row r="1671" spans="1:17" x14ac:dyDescent="0.15">
      <c r="A1671" s="1">
        <v>53361</v>
      </c>
      <c r="B1671" s="1">
        <v>0</v>
      </c>
      <c r="C1671" s="1" t="s">
        <v>170</v>
      </c>
      <c r="D1671" s="1" t="s">
        <v>3714</v>
      </c>
      <c r="E1671" s="1" t="s">
        <v>3886</v>
      </c>
      <c r="F1671" s="1" t="s">
        <v>3887</v>
      </c>
      <c r="G1671" s="1" t="s">
        <v>540</v>
      </c>
      <c r="I1671" s="18">
        <v>40415.88559027778</v>
      </c>
      <c r="J1671" s="1" t="s">
        <v>40</v>
      </c>
      <c r="K1671" s="1" t="s">
        <v>3586</v>
      </c>
      <c r="L1671" s="1" t="s">
        <v>19</v>
      </c>
      <c r="Q1671" s="21"/>
    </row>
    <row r="1672" spans="1:17" x14ac:dyDescent="0.15">
      <c r="A1672" s="1">
        <v>53230</v>
      </c>
      <c r="B1672" s="1">
        <v>0</v>
      </c>
      <c r="C1672" s="1" t="s">
        <v>26</v>
      </c>
      <c r="D1672" s="1" t="s">
        <v>27</v>
      </c>
      <c r="E1672" s="1" t="s">
        <v>1310</v>
      </c>
      <c r="F1672" s="1" t="s">
        <v>1311</v>
      </c>
      <c r="G1672" s="1" t="s">
        <v>23</v>
      </c>
      <c r="I1672" s="18">
        <v>40414.786759259259</v>
      </c>
      <c r="J1672" s="1" t="s">
        <v>1312</v>
      </c>
      <c r="K1672" s="1" t="s">
        <v>18</v>
      </c>
      <c r="L1672" s="1" t="s">
        <v>19</v>
      </c>
      <c r="Q1672" s="21"/>
    </row>
    <row r="1673" spans="1:17" x14ac:dyDescent="0.15">
      <c r="A1673" s="1">
        <v>53142</v>
      </c>
      <c r="B1673" s="1">
        <v>0</v>
      </c>
      <c r="D1673" s="1" t="s">
        <v>27</v>
      </c>
      <c r="E1673" s="1" t="s">
        <v>3617</v>
      </c>
      <c r="F1673" s="1" t="s">
        <v>3618</v>
      </c>
      <c r="G1673" s="1"/>
      <c r="H1673" s="1"/>
      <c r="I1673" s="18">
        <v>40413.975925925923</v>
      </c>
      <c r="J1673" s="1" t="s">
        <v>151</v>
      </c>
      <c r="K1673" s="1" t="s">
        <v>3586</v>
      </c>
      <c r="L1673" s="1" t="s">
        <v>19</v>
      </c>
      <c r="Q1673" s="21"/>
    </row>
    <row r="1674" spans="1:17" x14ac:dyDescent="0.15">
      <c r="A1674" s="1">
        <v>52682</v>
      </c>
      <c r="B1674" s="1">
        <v>0</v>
      </c>
      <c r="C1674" s="1" t="s">
        <v>170</v>
      </c>
      <c r="D1674" s="1" t="s">
        <v>27</v>
      </c>
      <c r="E1674" s="1" t="s">
        <v>1239</v>
      </c>
      <c r="F1674" s="1" t="s">
        <v>1240</v>
      </c>
      <c r="G1674" s="1"/>
      <c r="H1674" s="1"/>
      <c r="I1674" s="18">
        <v>40409.165636574071</v>
      </c>
      <c r="J1674" s="1" t="s">
        <v>1241</v>
      </c>
      <c r="K1674" s="1" t="s">
        <v>18</v>
      </c>
      <c r="L1674" s="1" t="s">
        <v>19</v>
      </c>
      <c r="Q1674" s="21"/>
    </row>
    <row r="1675" spans="1:17" ht="16" x14ac:dyDescent="0.2">
      <c r="A1675" s="1">
        <v>52587</v>
      </c>
      <c r="B1675" s="1">
        <v>1</v>
      </c>
      <c r="C1675" s="1" t="s">
        <v>26</v>
      </c>
      <c r="D1675" s="1" t="s">
        <v>27</v>
      </c>
      <c r="E1675" s="1" t="s">
        <v>1769</v>
      </c>
      <c r="F1675" s="1" t="s">
        <v>720</v>
      </c>
      <c r="G1675" s="1" t="s">
        <v>23</v>
      </c>
      <c r="I1675" s="18">
        <v>40408.590775462966</v>
      </c>
      <c r="J1675" s="1" t="s">
        <v>398</v>
      </c>
      <c r="K1675" s="1" t="s">
        <v>18</v>
      </c>
      <c r="L1675" s="1" t="s">
        <v>19</v>
      </c>
      <c r="O1675" s="45">
        <v>40078</v>
      </c>
      <c r="P1675" s="44" t="s">
        <v>366</v>
      </c>
      <c r="Q1675" s="21">
        <f t="shared" ref="Q1675" si="30">ABS(O1675-I1675)</f>
        <v>330.59077546296612</v>
      </c>
    </row>
    <row r="1676" spans="1:17" x14ac:dyDescent="0.15">
      <c r="A1676" s="1">
        <v>52443</v>
      </c>
      <c r="B1676" s="1">
        <v>0</v>
      </c>
      <c r="C1676" s="1" t="s">
        <v>26</v>
      </c>
      <c r="D1676" s="1" t="s">
        <v>27</v>
      </c>
      <c r="E1676" s="1" t="s">
        <v>861</v>
      </c>
      <c r="F1676" s="1" t="s">
        <v>862</v>
      </c>
      <c r="G1676" s="1" t="s">
        <v>23</v>
      </c>
      <c r="I1676" s="18">
        <v>40407.698842592596</v>
      </c>
      <c r="J1676" s="1" t="s">
        <v>863</v>
      </c>
      <c r="K1676" s="1" t="s">
        <v>18</v>
      </c>
      <c r="L1676" s="1" t="s">
        <v>19</v>
      </c>
      <c r="Q1676" s="21"/>
    </row>
    <row r="1677" spans="1:17" x14ac:dyDescent="0.15">
      <c r="A1677" s="1">
        <v>51919</v>
      </c>
      <c r="B1677" s="1">
        <v>0</v>
      </c>
      <c r="C1677" s="1" t="s">
        <v>3753</v>
      </c>
      <c r="D1677" s="1" t="s">
        <v>3714</v>
      </c>
      <c r="E1677" s="1" t="s">
        <v>3754</v>
      </c>
      <c r="F1677" s="1" t="s">
        <v>3755</v>
      </c>
      <c r="G1677" s="1"/>
      <c r="H1677" s="1"/>
      <c r="I1677" s="18">
        <v>40402.645810185182</v>
      </c>
      <c r="J1677" s="1" t="s">
        <v>263</v>
      </c>
      <c r="K1677" s="1" t="s">
        <v>18</v>
      </c>
      <c r="L1677" s="1" t="s">
        <v>19</v>
      </c>
      <c r="Q1677" s="21"/>
    </row>
    <row r="1678" spans="1:17" x14ac:dyDescent="0.15">
      <c r="A1678" s="1">
        <v>51739</v>
      </c>
      <c r="B1678" s="1">
        <v>0</v>
      </c>
      <c r="C1678" s="1" t="s">
        <v>26</v>
      </c>
      <c r="D1678" s="1" t="s">
        <v>27</v>
      </c>
      <c r="E1678" s="1" t="s">
        <v>3561</v>
      </c>
      <c r="F1678" s="1" t="s">
        <v>3562</v>
      </c>
      <c r="G1678" s="1"/>
      <c r="H1678" s="1"/>
      <c r="I1678" s="18">
        <v>40400.999050925922</v>
      </c>
      <c r="J1678" s="1" t="s">
        <v>98</v>
      </c>
      <c r="K1678" s="1" t="s">
        <v>18</v>
      </c>
      <c r="L1678" s="1" t="s">
        <v>19</v>
      </c>
      <c r="Q1678" s="21"/>
    </row>
    <row r="1679" spans="1:17" x14ac:dyDescent="0.15">
      <c r="A1679" s="1">
        <v>51670</v>
      </c>
      <c r="B1679" s="1">
        <v>0</v>
      </c>
      <c r="C1679" s="1" t="s">
        <v>1718</v>
      </c>
      <c r="D1679" s="1" t="s">
        <v>27</v>
      </c>
      <c r="E1679" s="1" t="s">
        <v>1719</v>
      </c>
      <c r="F1679" s="1" t="s">
        <v>1720</v>
      </c>
      <c r="G1679" s="1" t="s">
        <v>23</v>
      </c>
      <c r="I1679" s="18">
        <v>40400.340995370374</v>
      </c>
      <c r="J1679" s="1" t="s">
        <v>263</v>
      </c>
      <c r="K1679" s="1" t="s">
        <v>18</v>
      </c>
      <c r="L1679" s="1" t="s">
        <v>19</v>
      </c>
      <c r="Q1679" s="21"/>
    </row>
    <row r="1680" spans="1:17" x14ac:dyDescent="0.15">
      <c r="A1680" s="1">
        <v>51654</v>
      </c>
      <c r="B1680" s="1">
        <v>0</v>
      </c>
      <c r="C1680" s="1" t="s">
        <v>26</v>
      </c>
      <c r="D1680" s="1" t="s">
        <v>27</v>
      </c>
      <c r="E1680" s="1" t="s">
        <v>3008</v>
      </c>
      <c r="F1680" s="1" t="s">
        <v>1557</v>
      </c>
      <c r="G1680" s="1"/>
      <c r="H1680" s="1"/>
      <c r="I1680" s="18">
        <v>40400.200439814813</v>
      </c>
      <c r="J1680" s="1" t="s">
        <v>263</v>
      </c>
      <c r="K1680" s="1" t="s">
        <v>18</v>
      </c>
      <c r="L1680" s="1" t="s">
        <v>19</v>
      </c>
      <c r="Q1680" s="21"/>
    </row>
    <row r="1681" spans="1:17" x14ac:dyDescent="0.15">
      <c r="A1681" s="1">
        <v>51653</v>
      </c>
      <c r="B1681" s="1">
        <v>0</v>
      </c>
      <c r="C1681" s="1" t="s">
        <v>26</v>
      </c>
      <c r="D1681" s="1" t="s">
        <v>27</v>
      </c>
      <c r="E1681" s="1" t="s">
        <v>3009</v>
      </c>
      <c r="F1681" s="1" t="s">
        <v>29</v>
      </c>
      <c r="G1681" s="1"/>
      <c r="H1681" s="1"/>
      <c r="I1681" s="18">
        <v>40400.185312499998</v>
      </c>
      <c r="J1681" s="1" t="s">
        <v>263</v>
      </c>
      <c r="K1681" s="1" t="s">
        <v>18</v>
      </c>
      <c r="L1681" s="1" t="s">
        <v>19</v>
      </c>
      <c r="Q1681" s="21"/>
    </row>
    <row r="1682" spans="1:17" x14ac:dyDescent="0.15">
      <c r="A1682" s="1">
        <v>51630</v>
      </c>
      <c r="B1682" s="1">
        <v>0</v>
      </c>
      <c r="C1682" s="1" t="s">
        <v>26</v>
      </c>
      <c r="D1682" s="1" t="s">
        <v>27</v>
      </c>
      <c r="E1682" s="1" t="s">
        <v>2634</v>
      </c>
      <c r="F1682" s="1" t="s">
        <v>2635</v>
      </c>
      <c r="G1682" s="1" t="s">
        <v>23</v>
      </c>
      <c r="I1682" s="18">
        <v>40399.919502314813</v>
      </c>
      <c r="J1682" s="1" t="s">
        <v>2636</v>
      </c>
      <c r="K1682" s="1" t="s">
        <v>18</v>
      </c>
      <c r="L1682" s="1" t="s">
        <v>19</v>
      </c>
      <c r="Q1682" s="21"/>
    </row>
    <row r="1683" spans="1:17" x14ac:dyDescent="0.15">
      <c r="A1683" s="1">
        <v>51602</v>
      </c>
      <c r="B1683" s="1">
        <v>0</v>
      </c>
      <c r="C1683" s="1" t="s">
        <v>133</v>
      </c>
      <c r="D1683" s="1" t="s">
        <v>27</v>
      </c>
      <c r="E1683" s="1" t="s">
        <v>1075</v>
      </c>
      <c r="F1683" s="1" t="s">
        <v>651</v>
      </c>
      <c r="G1683" s="1" t="s">
        <v>23</v>
      </c>
      <c r="I1683" s="18">
        <v>40399.73164351852</v>
      </c>
      <c r="J1683" s="1" t="s">
        <v>255</v>
      </c>
      <c r="K1683" s="1" t="s">
        <v>18</v>
      </c>
      <c r="L1683" s="1" t="s">
        <v>19</v>
      </c>
      <c r="Q1683" s="21"/>
    </row>
    <row r="1684" spans="1:17" x14ac:dyDescent="0.15">
      <c r="A1684" s="1">
        <v>51252</v>
      </c>
      <c r="B1684" s="1">
        <v>0</v>
      </c>
      <c r="C1684" s="1" t="s">
        <v>26</v>
      </c>
      <c r="D1684" s="1" t="s">
        <v>27</v>
      </c>
      <c r="E1684" s="1" t="s">
        <v>3097</v>
      </c>
      <c r="F1684" s="1" t="s">
        <v>315</v>
      </c>
      <c r="G1684" s="1" t="s">
        <v>23</v>
      </c>
      <c r="I1684" s="18">
        <v>40395.365902777776</v>
      </c>
      <c r="J1684" s="1" t="s">
        <v>263</v>
      </c>
      <c r="K1684" s="1" t="s">
        <v>18</v>
      </c>
      <c r="L1684" s="1" t="s">
        <v>19</v>
      </c>
      <c r="Q1684" s="21"/>
    </row>
    <row r="1685" spans="1:17" x14ac:dyDescent="0.15">
      <c r="A1685" s="1">
        <v>51070</v>
      </c>
      <c r="B1685" s="1">
        <v>0</v>
      </c>
      <c r="C1685" s="1" t="s">
        <v>170</v>
      </c>
      <c r="D1685" s="1" t="s">
        <v>27</v>
      </c>
      <c r="E1685" s="1" t="s">
        <v>3698</v>
      </c>
      <c r="F1685" s="1" t="s">
        <v>3699</v>
      </c>
      <c r="G1685" s="1"/>
      <c r="H1685" s="1"/>
      <c r="I1685" s="18">
        <v>40393.697187500002</v>
      </c>
      <c r="J1685" s="1" t="s">
        <v>151</v>
      </c>
      <c r="K1685" s="1" t="s">
        <v>3586</v>
      </c>
      <c r="L1685" s="1" t="s">
        <v>19</v>
      </c>
      <c r="Q1685" s="21"/>
    </row>
    <row r="1686" spans="1:17" x14ac:dyDescent="0.15">
      <c r="A1686" s="1">
        <v>50839</v>
      </c>
      <c r="B1686" s="1">
        <v>0</v>
      </c>
      <c r="C1686" s="1" t="s">
        <v>2984</v>
      </c>
      <c r="D1686" s="1" t="s">
        <v>27</v>
      </c>
      <c r="E1686" s="1" t="s">
        <v>2985</v>
      </c>
      <c r="F1686" s="1" t="s">
        <v>862</v>
      </c>
      <c r="G1686" s="1" t="s">
        <v>23</v>
      </c>
      <c r="I1686" s="18">
        <v>40390.439456018517</v>
      </c>
      <c r="J1686" s="1" t="s">
        <v>148</v>
      </c>
      <c r="K1686" s="1" t="s">
        <v>18</v>
      </c>
      <c r="L1686" s="1" t="s">
        <v>19</v>
      </c>
      <c r="Q1686" s="21"/>
    </row>
    <row r="1687" spans="1:17" x14ac:dyDescent="0.15">
      <c r="A1687" s="1">
        <v>50712</v>
      </c>
      <c r="B1687" s="1">
        <v>1</v>
      </c>
      <c r="C1687" s="1" t="s">
        <v>26</v>
      </c>
      <c r="D1687" s="1" t="s">
        <v>27</v>
      </c>
      <c r="E1687" s="1" t="s">
        <v>367</v>
      </c>
      <c r="F1687" s="1" t="s">
        <v>368</v>
      </c>
      <c r="G1687" s="1" t="s">
        <v>23</v>
      </c>
      <c r="I1687" s="18">
        <v>40389.127638888887</v>
      </c>
      <c r="J1687" s="1" t="s">
        <v>263</v>
      </c>
      <c r="K1687" s="1" t="s">
        <v>18</v>
      </c>
      <c r="L1687" s="1" t="s">
        <v>19</v>
      </c>
      <c r="M1687" s="48">
        <v>50713</v>
      </c>
      <c r="O1687" s="24">
        <v>40359</v>
      </c>
      <c r="Q1687" s="21">
        <f t="shared" ref="Q1687" si="31">ABS(O1687-I1687)</f>
        <v>30.127638888887304</v>
      </c>
    </row>
    <row r="1688" spans="1:17" x14ac:dyDescent="0.15">
      <c r="A1688" s="1">
        <v>50553</v>
      </c>
      <c r="B1688" s="1">
        <v>0</v>
      </c>
      <c r="D1688" s="1" t="s">
        <v>3714</v>
      </c>
      <c r="E1688" s="1" t="s">
        <v>3895</v>
      </c>
      <c r="F1688" s="1" t="s">
        <v>3896</v>
      </c>
      <c r="G1688" s="1" t="s">
        <v>159</v>
      </c>
      <c r="I1688" s="18">
        <v>40387.832002314812</v>
      </c>
      <c r="J1688" s="1" t="s">
        <v>3897</v>
      </c>
      <c r="K1688" s="1" t="s">
        <v>3586</v>
      </c>
      <c r="L1688" s="1" t="s">
        <v>19</v>
      </c>
      <c r="Q1688" s="21"/>
    </row>
    <row r="1689" spans="1:17" x14ac:dyDescent="0.15">
      <c r="A1689" s="1">
        <v>50428</v>
      </c>
      <c r="B1689" s="1">
        <v>0</v>
      </c>
      <c r="C1689" s="1" t="s">
        <v>2709</v>
      </c>
      <c r="D1689" s="1" t="s">
        <v>27</v>
      </c>
      <c r="E1689" s="1" t="s">
        <v>3610</v>
      </c>
      <c r="F1689" s="1" t="s">
        <v>3591</v>
      </c>
      <c r="G1689" s="1" t="s">
        <v>23</v>
      </c>
      <c r="I1689" s="18">
        <v>40386.935208333336</v>
      </c>
      <c r="J1689" s="1" t="s">
        <v>1435</v>
      </c>
      <c r="K1689" s="1" t="s">
        <v>3586</v>
      </c>
      <c r="L1689" s="1" t="s">
        <v>19</v>
      </c>
      <c r="Q1689" s="21"/>
    </row>
    <row r="1690" spans="1:17" x14ac:dyDescent="0.15">
      <c r="A1690" s="1">
        <v>50250</v>
      </c>
      <c r="B1690" s="1">
        <v>0</v>
      </c>
      <c r="C1690" s="1" t="s">
        <v>26</v>
      </c>
      <c r="D1690" s="1" t="s">
        <v>27</v>
      </c>
      <c r="E1690" s="1" t="s">
        <v>1412</v>
      </c>
      <c r="F1690" s="1" t="s">
        <v>1413</v>
      </c>
      <c r="G1690" s="1" t="s">
        <v>23</v>
      </c>
      <c r="I1690" s="18">
        <v>40385.807708333334</v>
      </c>
      <c r="J1690" s="1" t="s">
        <v>40</v>
      </c>
      <c r="K1690" s="1" t="s">
        <v>18</v>
      </c>
      <c r="L1690" s="1" t="s">
        <v>19</v>
      </c>
      <c r="Q1690" s="21"/>
    </row>
    <row r="1691" spans="1:17" x14ac:dyDescent="0.15">
      <c r="A1691" s="1">
        <v>49964</v>
      </c>
      <c r="B1691" s="1">
        <v>0</v>
      </c>
      <c r="C1691" s="1" t="s">
        <v>26</v>
      </c>
      <c r="D1691" s="1" t="s">
        <v>27</v>
      </c>
      <c r="E1691" s="1" t="s">
        <v>3234</v>
      </c>
      <c r="F1691" s="1" t="s">
        <v>1479</v>
      </c>
      <c r="G1691" s="1"/>
      <c r="H1691" s="1"/>
      <c r="I1691" s="18">
        <v>40381.80914351852</v>
      </c>
      <c r="J1691" s="1" t="s">
        <v>3235</v>
      </c>
      <c r="K1691" s="1" t="s">
        <v>18</v>
      </c>
      <c r="L1691" s="1" t="s">
        <v>19</v>
      </c>
      <c r="Q1691" s="21"/>
    </row>
    <row r="1692" spans="1:17" x14ac:dyDescent="0.15">
      <c r="A1692" s="1">
        <v>49729</v>
      </c>
      <c r="B1692" s="1">
        <v>0</v>
      </c>
      <c r="C1692" s="1" t="s">
        <v>26</v>
      </c>
      <c r="D1692" s="1" t="s">
        <v>27</v>
      </c>
      <c r="E1692" s="1" t="s">
        <v>800</v>
      </c>
      <c r="F1692" s="1" t="s">
        <v>801</v>
      </c>
      <c r="G1692" s="1" t="s">
        <v>23</v>
      </c>
      <c r="I1692" s="18">
        <v>40380.057500000003</v>
      </c>
      <c r="J1692" s="1" t="s">
        <v>802</v>
      </c>
      <c r="K1692" s="1" t="s">
        <v>18</v>
      </c>
      <c r="L1692" s="1" t="s">
        <v>19</v>
      </c>
      <c r="Q1692" s="21"/>
    </row>
    <row r="1693" spans="1:17" x14ac:dyDescent="0.15">
      <c r="A1693" s="1">
        <v>49628</v>
      </c>
      <c r="B1693" s="1">
        <v>0</v>
      </c>
      <c r="C1693" s="1" t="s">
        <v>26</v>
      </c>
      <c r="D1693" s="1" t="s">
        <v>27</v>
      </c>
      <c r="E1693" s="1" t="s">
        <v>455</v>
      </c>
      <c r="F1693" s="1" t="s">
        <v>456</v>
      </c>
      <c r="G1693" s="1" t="s">
        <v>23</v>
      </c>
      <c r="I1693" s="18">
        <v>40379.638935185183</v>
      </c>
      <c r="J1693" s="1" t="s">
        <v>40</v>
      </c>
      <c r="K1693" s="1" t="s">
        <v>18</v>
      </c>
      <c r="L1693" s="1" t="s">
        <v>19</v>
      </c>
      <c r="Q1693" s="21"/>
    </row>
    <row r="1694" spans="1:17" x14ac:dyDescent="0.15">
      <c r="A1694" s="1">
        <v>49596</v>
      </c>
      <c r="B1694" s="1">
        <v>0</v>
      </c>
      <c r="C1694" s="1" t="s">
        <v>26</v>
      </c>
      <c r="D1694" s="1" t="s">
        <v>27</v>
      </c>
      <c r="E1694" s="1" t="s">
        <v>486</v>
      </c>
      <c r="F1694" s="1" t="s">
        <v>487</v>
      </c>
      <c r="G1694" s="1" t="s">
        <v>23</v>
      </c>
      <c r="I1694" s="18">
        <v>40379.274872685186</v>
      </c>
      <c r="J1694" s="1" t="s">
        <v>30</v>
      </c>
      <c r="K1694" s="1" t="s">
        <v>18</v>
      </c>
      <c r="L1694" s="1" t="s">
        <v>19</v>
      </c>
      <c r="Q1694" s="21"/>
    </row>
    <row r="1695" spans="1:17" x14ac:dyDescent="0.15">
      <c r="A1695" s="1">
        <v>49377</v>
      </c>
      <c r="B1695" s="1">
        <v>0</v>
      </c>
      <c r="C1695" s="1" t="s">
        <v>1188</v>
      </c>
      <c r="D1695" s="1" t="s">
        <v>27</v>
      </c>
      <c r="E1695" s="1" t="s">
        <v>1189</v>
      </c>
      <c r="F1695" s="1" t="s">
        <v>1190</v>
      </c>
      <c r="G1695" s="1" t="s">
        <v>23</v>
      </c>
      <c r="I1695" s="18">
        <v>40375.936863425923</v>
      </c>
      <c r="J1695" s="1" t="s">
        <v>1064</v>
      </c>
      <c r="K1695" s="1" t="s">
        <v>18</v>
      </c>
      <c r="L1695" s="1" t="s">
        <v>19</v>
      </c>
      <c r="Q1695" s="21"/>
    </row>
    <row r="1696" spans="1:17" x14ac:dyDescent="0.15">
      <c r="A1696" s="1">
        <v>49318</v>
      </c>
      <c r="B1696" s="1">
        <v>0</v>
      </c>
      <c r="C1696" s="1" t="s">
        <v>26</v>
      </c>
      <c r="D1696" s="1" t="s">
        <v>27</v>
      </c>
      <c r="E1696" s="1" t="s">
        <v>2180</v>
      </c>
      <c r="F1696" s="1" t="s">
        <v>2181</v>
      </c>
      <c r="G1696" s="1"/>
      <c r="H1696" s="1"/>
      <c r="I1696" s="18">
        <v>40375.676851851851</v>
      </c>
      <c r="J1696" s="1" t="s">
        <v>40</v>
      </c>
      <c r="K1696" s="1" t="s">
        <v>18</v>
      </c>
      <c r="L1696" s="1" t="s">
        <v>19</v>
      </c>
      <c r="Q1696" s="21"/>
    </row>
    <row r="1697" spans="1:17" x14ac:dyDescent="0.15">
      <c r="A1697" s="1">
        <v>49317</v>
      </c>
      <c r="B1697" s="1">
        <v>0</v>
      </c>
      <c r="C1697" s="1" t="s">
        <v>26</v>
      </c>
      <c r="D1697" s="1" t="s">
        <v>27</v>
      </c>
      <c r="E1697" s="1" t="s">
        <v>2349</v>
      </c>
      <c r="F1697" s="1" t="s">
        <v>2350</v>
      </c>
      <c r="G1697" s="1"/>
      <c r="H1697" s="1"/>
      <c r="I1697" s="18">
        <v>40375.671203703707</v>
      </c>
      <c r="J1697" s="1" t="s">
        <v>40</v>
      </c>
      <c r="K1697" s="1" t="s">
        <v>18</v>
      </c>
      <c r="L1697" s="1" t="s">
        <v>19</v>
      </c>
      <c r="Q1697" s="21"/>
    </row>
    <row r="1698" spans="1:17" x14ac:dyDescent="0.15">
      <c r="A1698" s="1">
        <v>48857</v>
      </c>
      <c r="B1698" s="1">
        <v>0</v>
      </c>
      <c r="C1698" s="1" t="s">
        <v>1432</v>
      </c>
      <c r="D1698" s="1" t="s">
        <v>27</v>
      </c>
      <c r="E1698" s="1" t="s">
        <v>1433</v>
      </c>
      <c r="F1698" s="1" t="s">
        <v>1434</v>
      </c>
      <c r="G1698" s="1" t="s">
        <v>23</v>
      </c>
      <c r="I1698" s="18">
        <v>40371.832141203704</v>
      </c>
      <c r="J1698" s="1" t="s">
        <v>1435</v>
      </c>
      <c r="K1698" s="1" t="s">
        <v>18</v>
      </c>
      <c r="L1698" s="1" t="s">
        <v>19</v>
      </c>
      <c r="Q1698" s="21"/>
    </row>
    <row r="1699" spans="1:17" x14ac:dyDescent="0.15">
      <c r="A1699" s="1">
        <v>48733</v>
      </c>
      <c r="B1699" s="1">
        <v>0</v>
      </c>
      <c r="C1699" s="1" t="s">
        <v>170</v>
      </c>
      <c r="D1699" s="1" t="s">
        <v>27</v>
      </c>
      <c r="E1699" s="1" t="s">
        <v>3689</v>
      </c>
      <c r="F1699" s="1" t="s">
        <v>3690</v>
      </c>
      <c r="G1699" s="1" t="s">
        <v>16</v>
      </c>
      <c r="I1699" s="18">
        <v>40368.932789351849</v>
      </c>
      <c r="J1699" s="1" t="s">
        <v>3691</v>
      </c>
      <c r="K1699" s="1" t="s">
        <v>3586</v>
      </c>
      <c r="L1699" s="1" t="s">
        <v>19</v>
      </c>
      <c r="Q1699" s="21"/>
    </row>
    <row r="1700" spans="1:17" x14ac:dyDescent="0.15">
      <c r="A1700" s="1">
        <v>48284</v>
      </c>
      <c r="B1700" s="1">
        <v>0</v>
      </c>
      <c r="C1700" s="1" t="s">
        <v>26</v>
      </c>
      <c r="D1700" s="1" t="s">
        <v>27</v>
      </c>
      <c r="E1700" s="1" t="s">
        <v>1179</v>
      </c>
      <c r="F1700" s="1" t="s">
        <v>1180</v>
      </c>
      <c r="G1700" s="1"/>
      <c r="H1700" s="1"/>
      <c r="I1700" s="18">
        <v>40363.341111111113</v>
      </c>
      <c r="J1700" s="1" t="s">
        <v>190</v>
      </c>
      <c r="K1700" s="1" t="s">
        <v>18</v>
      </c>
      <c r="L1700" s="1" t="s">
        <v>19</v>
      </c>
      <c r="Q1700" s="21"/>
    </row>
    <row r="1701" spans="1:17" x14ac:dyDescent="0.15">
      <c r="A1701" s="1">
        <v>48283</v>
      </c>
      <c r="B1701" s="1">
        <v>0</v>
      </c>
      <c r="C1701" s="1" t="s">
        <v>170</v>
      </c>
      <c r="D1701" s="1" t="s">
        <v>27</v>
      </c>
      <c r="E1701" s="1" t="s">
        <v>3695</v>
      </c>
      <c r="F1701" s="1" t="s">
        <v>3696</v>
      </c>
      <c r="G1701" s="1" t="s">
        <v>159</v>
      </c>
      <c r="I1701" s="18">
        <v>40363.308483796296</v>
      </c>
      <c r="J1701" s="1" t="s">
        <v>3697</v>
      </c>
      <c r="K1701" s="1" t="s">
        <v>3586</v>
      </c>
      <c r="L1701" s="1" t="s">
        <v>19</v>
      </c>
      <c r="Q1701" s="21"/>
    </row>
    <row r="1702" spans="1:17" x14ac:dyDescent="0.15">
      <c r="A1702" s="1">
        <v>48282</v>
      </c>
      <c r="B1702" s="1">
        <v>0</v>
      </c>
      <c r="C1702" s="1" t="s">
        <v>26</v>
      </c>
      <c r="D1702" s="1" t="s">
        <v>27</v>
      </c>
      <c r="E1702" s="1" t="s">
        <v>3549</v>
      </c>
      <c r="F1702" s="1" t="s">
        <v>3550</v>
      </c>
      <c r="G1702" s="1" t="s">
        <v>23</v>
      </c>
      <c r="I1702" s="18">
        <v>40363.229988425926</v>
      </c>
      <c r="J1702" s="1" t="s">
        <v>435</v>
      </c>
      <c r="K1702" s="1" t="s">
        <v>18</v>
      </c>
      <c r="L1702" s="1" t="s">
        <v>19</v>
      </c>
      <c r="Q1702" s="21"/>
    </row>
    <row r="1703" spans="1:17" x14ac:dyDescent="0.15">
      <c r="A1703" s="1">
        <v>47915</v>
      </c>
      <c r="B1703" s="1">
        <v>0</v>
      </c>
      <c r="C1703" s="1" t="s">
        <v>26</v>
      </c>
      <c r="D1703" s="1" t="s">
        <v>27</v>
      </c>
      <c r="E1703" s="1" t="s">
        <v>2116</v>
      </c>
      <c r="F1703" s="1" t="s">
        <v>2117</v>
      </c>
      <c r="G1703" s="1" t="s">
        <v>23</v>
      </c>
      <c r="I1703" s="18">
        <v>40358.91165509259</v>
      </c>
      <c r="J1703" s="1" t="s">
        <v>40</v>
      </c>
      <c r="K1703" s="1" t="s">
        <v>18</v>
      </c>
      <c r="L1703" s="1" t="s">
        <v>19</v>
      </c>
      <c r="Q1703" s="21"/>
    </row>
    <row r="1704" spans="1:17" x14ac:dyDescent="0.15">
      <c r="A1704" s="1">
        <v>47866</v>
      </c>
      <c r="B1704" s="1">
        <v>0</v>
      </c>
      <c r="C1704" s="1" t="s">
        <v>26</v>
      </c>
      <c r="D1704" s="1" t="s">
        <v>27</v>
      </c>
      <c r="E1704" s="1" t="s">
        <v>1112</v>
      </c>
      <c r="F1704" s="1" t="s">
        <v>29</v>
      </c>
      <c r="G1704" s="1"/>
      <c r="H1704" s="1"/>
      <c r="I1704" s="18">
        <v>40358.702766203707</v>
      </c>
      <c r="J1704" s="1" t="s">
        <v>72</v>
      </c>
      <c r="K1704" s="1" t="s">
        <v>18</v>
      </c>
      <c r="L1704" s="1" t="s">
        <v>19</v>
      </c>
      <c r="Q1704" s="21"/>
    </row>
    <row r="1705" spans="1:17" x14ac:dyDescent="0.15">
      <c r="A1705" s="1">
        <v>47105</v>
      </c>
      <c r="B1705" s="1">
        <v>0</v>
      </c>
      <c r="C1705" s="1" t="s">
        <v>170</v>
      </c>
      <c r="D1705" s="1" t="s">
        <v>3714</v>
      </c>
      <c r="E1705" s="1" t="s">
        <v>3808</v>
      </c>
      <c r="F1705" s="1" t="s">
        <v>451</v>
      </c>
      <c r="G1705" s="1"/>
      <c r="H1705" s="1"/>
      <c r="I1705" s="18">
        <v>40350.938298611109</v>
      </c>
      <c r="J1705" s="1" t="s">
        <v>255</v>
      </c>
      <c r="K1705" s="1" t="s">
        <v>18</v>
      </c>
      <c r="L1705" s="1" t="s">
        <v>19</v>
      </c>
      <c r="Q1705" s="21"/>
    </row>
    <row r="1706" spans="1:17" x14ac:dyDescent="0.15">
      <c r="A1706" s="1">
        <v>47086</v>
      </c>
      <c r="B1706" s="1">
        <v>0</v>
      </c>
      <c r="C1706" s="1" t="s">
        <v>26</v>
      </c>
      <c r="D1706" s="1" t="s">
        <v>27</v>
      </c>
      <c r="E1706" s="1" t="s">
        <v>2940</v>
      </c>
      <c r="F1706" s="1" t="s">
        <v>2941</v>
      </c>
      <c r="G1706" s="1"/>
      <c r="H1706" s="1"/>
      <c r="I1706" s="18">
        <v>40350.867291666669</v>
      </c>
      <c r="J1706" s="1" t="s">
        <v>98</v>
      </c>
      <c r="K1706" s="1" t="s">
        <v>18</v>
      </c>
      <c r="L1706" s="1" t="s">
        <v>19</v>
      </c>
      <c r="Q1706" s="21"/>
    </row>
    <row r="1707" spans="1:17" x14ac:dyDescent="0.15">
      <c r="A1707" s="1">
        <v>46452</v>
      </c>
      <c r="B1707" s="1">
        <v>0</v>
      </c>
      <c r="C1707" s="1" t="s">
        <v>26</v>
      </c>
      <c r="D1707" s="1" t="s">
        <v>27</v>
      </c>
      <c r="E1707" s="1" t="s">
        <v>2036</v>
      </c>
      <c r="F1707" s="1" t="s">
        <v>2037</v>
      </c>
      <c r="G1707" s="1" t="s">
        <v>23</v>
      </c>
      <c r="I1707" s="18">
        <v>40342.56627314815</v>
      </c>
      <c r="J1707" s="1" t="s">
        <v>2038</v>
      </c>
      <c r="K1707" s="1" t="s">
        <v>18</v>
      </c>
      <c r="L1707" s="1" t="s">
        <v>19</v>
      </c>
      <c r="Q1707" s="21"/>
    </row>
    <row r="1708" spans="1:17" x14ac:dyDescent="0.15">
      <c r="A1708" s="1">
        <v>46360</v>
      </c>
      <c r="B1708" s="1">
        <v>0</v>
      </c>
      <c r="C1708" s="1" t="s">
        <v>26</v>
      </c>
      <c r="D1708" s="1" t="s">
        <v>27</v>
      </c>
      <c r="E1708" s="1" t="s">
        <v>1823</v>
      </c>
      <c r="F1708" s="1" t="s">
        <v>29</v>
      </c>
      <c r="G1708" s="1"/>
      <c r="H1708" s="1"/>
      <c r="I1708" s="18">
        <v>40340.687627314815</v>
      </c>
      <c r="J1708" s="1" t="s">
        <v>40</v>
      </c>
      <c r="K1708" s="1" t="s">
        <v>18</v>
      </c>
      <c r="L1708" s="1" t="s">
        <v>19</v>
      </c>
      <c r="Q1708" s="21"/>
    </row>
    <row r="1709" spans="1:17" x14ac:dyDescent="0.15">
      <c r="A1709" s="1">
        <v>46126</v>
      </c>
      <c r="B1709" s="1">
        <v>0</v>
      </c>
      <c r="C1709" s="1" t="s">
        <v>170</v>
      </c>
      <c r="D1709" s="1" t="s">
        <v>27</v>
      </c>
      <c r="E1709" s="1" t="s">
        <v>1202</v>
      </c>
      <c r="F1709" s="1" t="s">
        <v>1203</v>
      </c>
      <c r="G1709" s="1"/>
      <c r="H1709" s="1"/>
      <c r="I1709" s="18">
        <v>40338.108981481484</v>
      </c>
      <c r="J1709" s="1" t="s">
        <v>40</v>
      </c>
      <c r="K1709" s="1" t="s">
        <v>18</v>
      </c>
      <c r="L1709" s="1" t="s">
        <v>19</v>
      </c>
      <c r="Q1709" s="21"/>
    </row>
    <row r="1710" spans="1:17" x14ac:dyDescent="0.15">
      <c r="A1710" s="1">
        <v>46018</v>
      </c>
      <c r="B1710" s="1">
        <v>0</v>
      </c>
      <c r="C1710" s="1" t="s">
        <v>3589</v>
      </c>
      <c r="D1710" s="1" t="s">
        <v>27</v>
      </c>
      <c r="E1710" s="1" t="s">
        <v>3590</v>
      </c>
      <c r="F1710" s="1" t="s">
        <v>3591</v>
      </c>
      <c r="G1710" s="1" t="s">
        <v>23</v>
      </c>
      <c r="I1710" s="18">
        <v>40336.847094907411</v>
      </c>
      <c r="J1710" s="1" t="s">
        <v>2199</v>
      </c>
      <c r="K1710" s="1" t="s">
        <v>3586</v>
      </c>
      <c r="L1710" s="1" t="s">
        <v>19</v>
      </c>
      <c r="Q1710" s="21"/>
    </row>
    <row r="1711" spans="1:17" x14ac:dyDescent="0.15">
      <c r="A1711" s="1">
        <v>45983</v>
      </c>
      <c r="B1711" s="1">
        <v>0</v>
      </c>
      <c r="C1711" s="1" t="s">
        <v>26</v>
      </c>
      <c r="D1711" s="1" t="s">
        <v>27</v>
      </c>
      <c r="E1711" s="1" t="s">
        <v>1556</v>
      </c>
      <c r="F1711" s="1" t="s">
        <v>1557</v>
      </c>
      <c r="G1711" s="1"/>
      <c r="H1711" s="1"/>
      <c r="I1711" s="18">
        <v>40336.310636574075</v>
      </c>
      <c r="J1711" s="1" t="s">
        <v>190</v>
      </c>
      <c r="K1711" s="1" t="s">
        <v>18</v>
      </c>
      <c r="L1711" s="1" t="s">
        <v>19</v>
      </c>
      <c r="Q1711" s="21"/>
    </row>
    <row r="1712" spans="1:17" x14ac:dyDescent="0.15">
      <c r="A1712" s="1">
        <v>45659</v>
      </c>
      <c r="B1712" s="1">
        <v>0</v>
      </c>
      <c r="C1712" s="1" t="s">
        <v>26</v>
      </c>
      <c r="D1712" s="1" t="s">
        <v>27</v>
      </c>
      <c r="E1712" s="1" t="s">
        <v>1421</v>
      </c>
      <c r="F1712" s="1" t="s">
        <v>1422</v>
      </c>
      <c r="G1712" s="1"/>
      <c r="H1712" s="1"/>
      <c r="I1712" s="18">
        <v>40331.747893518521</v>
      </c>
      <c r="J1712" s="1" t="s">
        <v>1423</v>
      </c>
      <c r="K1712" s="1" t="s">
        <v>18</v>
      </c>
      <c r="L1712" s="1" t="s">
        <v>19</v>
      </c>
      <c r="Q1712" s="21"/>
    </row>
    <row r="1713" spans="1:17" x14ac:dyDescent="0.15">
      <c r="A1713" s="1">
        <v>45615</v>
      </c>
      <c r="B1713" s="1">
        <v>0</v>
      </c>
      <c r="C1713" s="1" t="s">
        <v>26</v>
      </c>
      <c r="D1713" s="1" t="s">
        <v>27</v>
      </c>
      <c r="E1713" s="1" t="s">
        <v>2963</v>
      </c>
      <c r="F1713" s="1" t="s">
        <v>2964</v>
      </c>
      <c r="G1713" s="1"/>
      <c r="H1713" s="1"/>
      <c r="I1713" s="18">
        <v>40331.249178240738</v>
      </c>
      <c r="J1713" s="1" t="s">
        <v>40</v>
      </c>
      <c r="K1713" s="1" t="s">
        <v>18</v>
      </c>
      <c r="L1713" s="1" t="s">
        <v>19</v>
      </c>
      <c r="Q1713" s="21"/>
    </row>
    <row r="1714" spans="1:17" x14ac:dyDescent="0.15">
      <c r="A1714" s="1">
        <v>45614</v>
      </c>
      <c r="B1714" s="1">
        <v>0</v>
      </c>
      <c r="C1714" s="1" t="s">
        <v>26</v>
      </c>
      <c r="D1714" s="1" t="s">
        <v>27</v>
      </c>
      <c r="E1714" s="1" t="s">
        <v>2310</v>
      </c>
      <c r="F1714" s="1" t="s">
        <v>2311</v>
      </c>
      <c r="G1714" s="1"/>
      <c r="H1714" s="1"/>
      <c r="I1714" s="18">
        <v>40331.234039351853</v>
      </c>
      <c r="J1714" s="1" t="s">
        <v>40</v>
      </c>
      <c r="K1714" s="1" t="s">
        <v>18</v>
      </c>
      <c r="L1714" s="1" t="s">
        <v>19</v>
      </c>
      <c r="Q1714" s="21"/>
    </row>
    <row r="1715" spans="1:17" x14ac:dyDescent="0.15">
      <c r="A1715" s="1">
        <v>45609</v>
      </c>
      <c r="B1715" s="1">
        <v>2</v>
      </c>
      <c r="C1715" s="1" t="s">
        <v>26</v>
      </c>
      <c r="D1715" s="1" t="s">
        <v>27</v>
      </c>
      <c r="E1715" s="1" t="s">
        <v>1732</v>
      </c>
      <c r="F1715" s="1" t="s">
        <v>1733</v>
      </c>
      <c r="G1715" s="1"/>
      <c r="H1715" s="1"/>
      <c r="I1715" s="18">
        <v>40331.134328703702</v>
      </c>
      <c r="J1715" s="1" t="s">
        <v>40</v>
      </c>
      <c r="K1715" s="1" t="s">
        <v>18</v>
      </c>
      <c r="L1715" s="1" t="s">
        <v>19</v>
      </c>
      <c r="N1715" s="48">
        <v>46976</v>
      </c>
      <c r="O1715" s="24">
        <v>40348</v>
      </c>
      <c r="Q1715" s="21">
        <f t="shared" ref="Q1715" si="32">ABS(O1715-I1715)</f>
        <v>16.865671296298387</v>
      </c>
    </row>
    <row r="1716" spans="1:17" x14ac:dyDescent="0.15">
      <c r="A1716" s="1">
        <v>45267</v>
      </c>
      <c r="B1716" s="1">
        <v>0</v>
      </c>
      <c r="D1716" s="1" t="s">
        <v>27</v>
      </c>
      <c r="E1716" s="1" t="s">
        <v>2029</v>
      </c>
      <c r="F1716" s="1" t="s">
        <v>2030</v>
      </c>
      <c r="G1716" s="1"/>
      <c r="H1716" s="1"/>
      <c r="I1716" s="18">
        <v>40325.846562500003</v>
      </c>
      <c r="J1716" s="1" t="s">
        <v>98</v>
      </c>
      <c r="K1716" s="1" t="s">
        <v>18</v>
      </c>
      <c r="L1716" s="1" t="s">
        <v>19</v>
      </c>
      <c r="Q1716" s="21"/>
    </row>
    <row r="1717" spans="1:17" x14ac:dyDescent="0.15">
      <c r="A1717" s="1">
        <v>44955</v>
      </c>
      <c r="B1717" s="1">
        <v>0</v>
      </c>
      <c r="C1717" s="1" t="s">
        <v>26</v>
      </c>
      <c r="D1717" s="1" t="s">
        <v>27</v>
      </c>
      <c r="E1717" s="1" t="s">
        <v>1012</v>
      </c>
      <c r="F1717" s="1" t="s">
        <v>254</v>
      </c>
      <c r="G1717" s="1"/>
      <c r="H1717" s="1"/>
      <c r="I1717" s="18">
        <v>40322.97079861111</v>
      </c>
      <c r="J1717" s="1" t="s">
        <v>40</v>
      </c>
      <c r="K1717" s="1" t="s">
        <v>18</v>
      </c>
      <c r="L1717" s="1" t="s">
        <v>19</v>
      </c>
      <c r="Q1717" s="21"/>
    </row>
    <row r="1718" spans="1:17" x14ac:dyDescent="0.15">
      <c r="A1718" s="1">
        <v>44868</v>
      </c>
      <c r="B1718" s="1">
        <v>0</v>
      </c>
      <c r="C1718" s="1" t="s">
        <v>26</v>
      </c>
      <c r="D1718" s="1" t="s">
        <v>27</v>
      </c>
      <c r="E1718" s="1" t="s">
        <v>2075</v>
      </c>
      <c r="F1718" s="1" t="s">
        <v>451</v>
      </c>
      <c r="G1718" s="1"/>
      <c r="H1718" s="1"/>
      <c r="I1718" s="18">
        <v>40321.67732638889</v>
      </c>
      <c r="J1718" s="1" t="s">
        <v>398</v>
      </c>
      <c r="K1718" s="1" t="s">
        <v>18</v>
      </c>
      <c r="L1718" s="1" t="s">
        <v>19</v>
      </c>
      <c r="Q1718" s="21"/>
    </row>
    <row r="1719" spans="1:17" x14ac:dyDescent="0.15">
      <c r="A1719" s="1">
        <v>44740</v>
      </c>
      <c r="B1719" s="1">
        <v>0</v>
      </c>
      <c r="C1719" s="1" t="s">
        <v>26</v>
      </c>
      <c r="D1719" s="1" t="s">
        <v>27</v>
      </c>
      <c r="E1719" s="1" t="s">
        <v>1659</v>
      </c>
      <c r="F1719" s="1" t="s">
        <v>451</v>
      </c>
      <c r="G1719" s="1"/>
      <c r="H1719" s="1"/>
      <c r="I1719" s="18">
        <v>40319.46603009259</v>
      </c>
      <c r="J1719" s="1" t="s">
        <v>151</v>
      </c>
      <c r="K1719" s="1" t="s">
        <v>18</v>
      </c>
      <c r="L1719" s="1" t="s">
        <v>19</v>
      </c>
      <c r="Q1719" s="21"/>
    </row>
    <row r="1720" spans="1:17" x14ac:dyDescent="0.15">
      <c r="A1720" s="1">
        <v>44658</v>
      </c>
      <c r="B1720" s="1">
        <v>0</v>
      </c>
      <c r="C1720" s="1" t="s">
        <v>170</v>
      </c>
      <c r="D1720" s="1" t="s">
        <v>27</v>
      </c>
      <c r="E1720" s="1" t="s">
        <v>2719</v>
      </c>
      <c r="F1720" s="1" t="s">
        <v>2720</v>
      </c>
      <c r="G1720" s="1"/>
      <c r="H1720" s="1"/>
      <c r="I1720" s="18">
        <v>40318.692719907405</v>
      </c>
      <c r="J1720" s="1" t="s">
        <v>2721</v>
      </c>
      <c r="K1720" s="1" t="s">
        <v>18</v>
      </c>
      <c r="L1720" s="1" t="s">
        <v>19</v>
      </c>
      <c r="Q1720" s="21"/>
    </row>
    <row r="1721" spans="1:17" x14ac:dyDescent="0.15">
      <c r="A1721" s="1">
        <v>44500</v>
      </c>
      <c r="B1721" s="1">
        <v>0</v>
      </c>
      <c r="C1721" s="1" t="s">
        <v>26</v>
      </c>
      <c r="D1721" s="1" t="s">
        <v>27</v>
      </c>
      <c r="E1721" s="1" t="s">
        <v>1974</v>
      </c>
      <c r="F1721" s="1" t="s">
        <v>1975</v>
      </c>
      <c r="G1721" s="1"/>
      <c r="H1721" s="1"/>
      <c r="I1721" s="18">
        <v>40316.862569444442</v>
      </c>
      <c r="J1721" s="1" t="s">
        <v>398</v>
      </c>
      <c r="K1721" s="1" t="s">
        <v>18</v>
      </c>
      <c r="L1721" s="1" t="s">
        <v>19</v>
      </c>
      <c r="Q1721" s="21"/>
    </row>
    <row r="1722" spans="1:17" x14ac:dyDescent="0.15">
      <c r="A1722" s="1">
        <v>44424</v>
      </c>
      <c r="B1722" s="1">
        <v>0</v>
      </c>
      <c r="C1722" s="1" t="s">
        <v>26</v>
      </c>
      <c r="D1722" s="1" t="s">
        <v>27</v>
      </c>
      <c r="E1722" s="1" t="s">
        <v>28</v>
      </c>
      <c r="F1722" s="1" t="s">
        <v>29</v>
      </c>
      <c r="G1722" s="1"/>
      <c r="H1722" s="1"/>
      <c r="I1722" s="18">
        <v>40316.073784722219</v>
      </c>
      <c r="J1722" s="1" t="s">
        <v>30</v>
      </c>
      <c r="K1722" s="1" t="s">
        <v>18</v>
      </c>
      <c r="L1722" s="1" t="s">
        <v>19</v>
      </c>
      <c r="Q1722" s="21"/>
    </row>
    <row r="1723" spans="1:17" ht="16" x14ac:dyDescent="0.2">
      <c r="A1723" s="1">
        <v>43967</v>
      </c>
      <c r="B1723" s="1">
        <v>1</v>
      </c>
      <c r="C1723" s="1" t="s">
        <v>1122</v>
      </c>
      <c r="D1723" s="1" t="s">
        <v>27</v>
      </c>
      <c r="E1723" s="1" t="s">
        <v>1123</v>
      </c>
      <c r="F1723" s="1" t="s">
        <v>1124</v>
      </c>
      <c r="G1723" s="1" t="s">
        <v>23</v>
      </c>
      <c r="I1723" s="18">
        <v>40310.214212962965</v>
      </c>
      <c r="J1723" s="1" t="s">
        <v>1125</v>
      </c>
      <c r="K1723" s="1" t="s">
        <v>18</v>
      </c>
      <c r="L1723" s="1" t="s">
        <v>19</v>
      </c>
      <c r="O1723" s="46">
        <v>40154</v>
      </c>
      <c r="P1723" s="47" t="s">
        <v>366</v>
      </c>
      <c r="Q1723" s="21">
        <f t="shared" ref="Q1723" si="33">ABS(O1723-I1723)</f>
        <v>156.21421296296467</v>
      </c>
    </row>
    <row r="1724" spans="1:17" x14ac:dyDescent="0.15">
      <c r="A1724" s="1">
        <v>43902</v>
      </c>
      <c r="B1724" s="1">
        <v>0</v>
      </c>
      <c r="C1724" s="1" t="s">
        <v>26</v>
      </c>
      <c r="D1724" s="1" t="s">
        <v>27</v>
      </c>
      <c r="E1724" s="1" t="s">
        <v>2050</v>
      </c>
      <c r="F1724" s="1" t="s">
        <v>2051</v>
      </c>
      <c r="G1724" s="1"/>
      <c r="H1724" s="1"/>
      <c r="I1724" s="18">
        <v>40309.799004629633</v>
      </c>
      <c r="J1724" s="1" t="s">
        <v>2052</v>
      </c>
      <c r="K1724" s="1" t="s">
        <v>18</v>
      </c>
      <c r="L1724" s="1" t="s">
        <v>19</v>
      </c>
      <c r="Q1724" s="21"/>
    </row>
    <row r="1725" spans="1:17" x14ac:dyDescent="0.15">
      <c r="A1725" s="1">
        <v>43813</v>
      </c>
      <c r="B1725" s="1">
        <v>0</v>
      </c>
      <c r="C1725" s="1" t="s">
        <v>514</v>
      </c>
      <c r="D1725" s="1" t="s">
        <v>27</v>
      </c>
      <c r="E1725" s="1" t="s">
        <v>1008</v>
      </c>
      <c r="F1725" s="1" t="s">
        <v>487</v>
      </c>
      <c r="G1725" s="1" t="s">
        <v>23</v>
      </c>
      <c r="I1725" s="18">
        <v>40308.940196759257</v>
      </c>
      <c r="J1725" s="1" t="s">
        <v>1009</v>
      </c>
      <c r="K1725" s="1" t="s">
        <v>18</v>
      </c>
      <c r="L1725" s="1" t="s">
        <v>19</v>
      </c>
      <c r="Q1725" s="21"/>
    </row>
    <row r="1726" spans="1:17" x14ac:dyDescent="0.15">
      <c r="A1726" s="1">
        <v>43488</v>
      </c>
      <c r="B1726" s="1">
        <v>1</v>
      </c>
      <c r="C1726" s="1" t="s">
        <v>26</v>
      </c>
      <c r="D1726" s="1" t="s">
        <v>27</v>
      </c>
      <c r="E1726" s="1" t="s">
        <v>2284</v>
      </c>
      <c r="F1726" s="1" t="s">
        <v>2285</v>
      </c>
      <c r="G1726" s="1"/>
      <c r="H1726" s="1"/>
      <c r="I1726" s="18">
        <v>40304.993587962963</v>
      </c>
      <c r="J1726" s="1" t="s">
        <v>398</v>
      </c>
      <c r="K1726" s="1" t="s">
        <v>18</v>
      </c>
      <c r="L1726" s="1" t="s">
        <v>19</v>
      </c>
      <c r="N1726" s="48">
        <v>45331</v>
      </c>
      <c r="O1726" s="24">
        <v>40304</v>
      </c>
      <c r="Q1726" s="21">
        <f t="shared" ref="Q1726" si="34">ABS(O1726-I1726)</f>
        <v>0.99358796296291985</v>
      </c>
    </row>
    <row r="1727" spans="1:17" x14ac:dyDescent="0.15">
      <c r="A1727" s="1">
        <v>43487</v>
      </c>
      <c r="B1727" s="1">
        <v>0</v>
      </c>
      <c r="C1727" s="1" t="s">
        <v>26</v>
      </c>
      <c r="D1727" s="1" t="s">
        <v>27</v>
      </c>
      <c r="E1727" s="1" t="s">
        <v>450</v>
      </c>
      <c r="F1727" s="1" t="s">
        <v>451</v>
      </c>
      <c r="G1727" s="1"/>
      <c r="H1727" s="1"/>
      <c r="I1727" s="18">
        <v>40304.992407407408</v>
      </c>
      <c r="J1727" s="1" t="s">
        <v>398</v>
      </c>
      <c r="K1727" s="1" t="s">
        <v>18</v>
      </c>
      <c r="L1727" s="1" t="s">
        <v>19</v>
      </c>
      <c r="Q1727" s="21"/>
    </row>
    <row r="1728" spans="1:17" x14ac:dyDescent="0.15">
      <c r="A1728" s="1">
        <v>43322</v>
      </c>
      <c r="B1728" s="1">
        <v>0</v>
      </c>
      <c r="D1728" s="1" t="s">
        <v>27</v>
      </c>
      <c r="E1728" s="1" t="s">
        <v>2514</v>
      </c>
      <c r="F1728" s="1" t="s">
        <v>2515</v>
      </c>
      <c r="G1728" s="1"/>
      <c r="H1728" s="1"/>
      <c r="I1728" s="18">
        <v>40303.620312500003</v>
      </c>
      <c r="J1728" s="1" t="s">
        <v>151</v>
      </c>
      <c r="K1728" s="1" t="s">
        <v>18</v>
      </c>
      <c r="L1728" s="1" t="s">
        <v>19</v>
      </c>
      <c r="Q1728" s="21"/>
    </row>
    <row r="1729" spans="1:17" x14ac:dyDescent="0.15">
      <c r="A1729" s="1">
        <v>43315</v>
      </c>
      <c r="B1729" s="1">
        <v>0</v>
      </c>
      <c r="D1729" s="1" t="s">
        <v>27</v>
      </c>
      <c r="E1729" s="1" t="s">
        <v>572</v>
      </c>
      <c r="F1729" s="1" t="s">
        <v>254</v>
      </c>
      <c r="G1729" s="1"/>
      <c r="H1729" s="1"/>
      <c r="I1729" s="18">
        <v>40303.600555555553</v>
      </c>
      <c r="J1729" s="1" t="s">
        <v>151</v>
      </c>
      <c r="K1729" s="1" t="s">
        <v>18</v>
      </c>
      <c r="L1729" s="1" t="s">
        <v>19</v>
      </c>
      <c r="Q1729" s="21"/>
    </row>
    <row r="1730" spans="1:17" x14ac:dyDescent="0.15">
      <c r="A1730" s="1">
        <v>43307</v>
      </c>
      <c r="B1730" s="1">
        <v>0</v>
      </c>
      <c r="D1730" s="1" t="s">
        <v>27</v>
      </c>
      <c r="E1730" s="1" t="s">
        <v>1226</v>
      </c>
      <c r="F1730" s="1" t="s">
        <v>254</v>
      </c>
      <c r="G1730" s="1"/>
      <c r="H1730" s="1"/>
      <c r="I1730" s="18">
        <v>40303.560995370368</v>
      </c>
      <c r="J1730" s="1" t="s">
        <v>151</v>
      </c>
      <c r="K1730" s="1" t="s">
        <v>18</v>
      </c>
      <c r="L1730" s="1" t="s">
        <v>19</v>
      </c>
      <c r="Q1730" s="21"/>
    </row>
    <row r="1731" spans="1:17" x14ac:dyDescent="0.15">
      <c r="A1731" s="1">
        <v>43304</v>
      </c>
      <c r="B1731" s="1">
        <v>0</v>
      </c>
      <c r="D1731" s="1" t="s">
        <v>27</v>
      </c>
      <c r="E1731" s="1" t="s">
        <v>1227</v>
      </c>
      <c r="F1731" s="1" t="s">
        <v>1228</v>
      </c>
      <c r="G1731" s="1" t="s">
        <v>16</v>
      </c>
      <c r="I1731" s="18">
        <v>40303.522511574076</v>
      </c>
      <c r="J1731" s="1" t="s">
        <v>151</v>
      </c>
      <c r="K1731" s="1" t="s">
        <v>18</v>
      </c>
      <c r="L1731" s="1" t="s">
        <v>19</v>
      </c>
      <c r="Q1731" s="21"/>
    </row>
    <row r="1732" spans="1:17" x14ac:dyDescent="0.15">
      <c r="A1732" s="1">
        <v>42755</v>
      </c>
      <c r="B1732" s="1">
        <v>0</v>
      </c>
      <c r="D1732" s="1" t="s">
        <v>27</v>
      </c>
      <c r="E1732" s="1" t="s">
        <v>2461</v>
      </c>
      <c r="F1732" s="1" t="s">
        <v>198</v>
      </c>
      <c r="G1732" s="1"/>
      <c r="H1732" s="1"/>
      <c r="I1732" s="18">
        <v>40296.762488425928</v>
      </c>
      <c r="J1732" s="1" t="s">
        <v>151</v>
      </c>
      <c r="K1732" s="1" t="s">
        <v>18</v>
      </c>
      <c r="L1732" s="1" t="s">
        <v>19</v>
      </c>
      <c r="Q1732" s="21"/>
    </row>
    <row r="1733" spans="1:17" x14ac:dyDescent="0.15">
      <c r="A1733" s="1">
        <v>42723</v>
      </c>
      <c r="B1733" s="1">
        <v>0</v>
      </c>
      <c r="C1733" s="1" t="s">
        <v>133</v>
      </c>
      <c r="D1733" s="1" t="s">
        <v>27</v>
      </c>
      <c r="E1733" s="1" t="s">
        <v>2231</v>
      </c>
      <c r="F1733" s="1" t="s">
        <v>29</v>
      </c>
      <c r="G1733" s="1"/>
      <c r="H1733" s="1"/>
      <c r="I1733" s="18">
        <v>40296.594317129631</v>
      </c>
      <c r="J1733" s="1" t="s">
        <v>151</v>
      </c>
      <c r="K1733" s="1" t="s">
        <v>18</v>
      </c>
      <c r="L1733" s="1" t="s">
        <v>19</v>
      </c>
      <c r="Q1733" s="21"/>
    </row>
    <row r="1734" spans="1:17" x14ac:dyDescent="0.15">
      <c r="A1734" s="1">
        <v>42306</v>
      </c>
      <c r="B1734" s="1">
        <v>0</v>
      </c>
      <c r="C1734" s="1" t="s">
        <v>549</v>
      </c>
      <c r="D1734" s="1" t="s">
        <v>27</v>
      </c>
      <c r="E1734" s="1" t="s">
        <v>2534</v>
      </c>
      <c r="F1734" s="1" t="s">
        <v>1346</v>
      </c>
      <c r="G1734" s="1"/>
      <c r="H1734" s="1"/>
      <c r="I1734" s="18">
        <v>40290.556435185186</v>
      </c>
      <c r="J1734" s="1" t="s">
        <v>151</v>
      </c>
      <c r="K1734" s="1" t="s">
        <v>18</v>
      </c>
      <c r="L1734" s="1" t="s">
        <v>19</v>
      </c>
      <c r="Q1734" s="21"/>
    </row>
    <row r="1735" spans="1:17" x14ac:dyDescent="0.15">
      <c r="A1735" s="1">
        <v>42294</v>
      </c>
      <c r="B1735" s="1">
        <v>0</v>
      </c>
      <c r="C1735" s="1" t="s">
        <v>3019</v>
      </c>
      <c r="D1735" s="1" t="s">
        <v>27</v>
      </c>
      <c r="E1735" s="1" t="s">
        <v>3020</v>
      </c>
      <c r="F1735" s="1" t="s">
        <v>3021</v>
      </c>
      <c r="G1735" s="1"/>
      <c r="H1735" s="1"/>
      <c r="I1735" s="18">
        <v>40290.419548611113</v>
      </c>
      <c r="J1735" s="1" t="s">
        <v>30</v>
      </c>
      <c r="K1735" s="1" t="s">
        <v>18</v>
      </c>
      <c r="L1735" s="1" t="s">
        <v>19</v>
      </c>
      <c r="Q1735" s="21"/>
    </row>
    <row r="1736" spans="1:17" x14ac:dyDescent="0.15">
      <c r="A1736" s="1">
        <v>42228</v>
      </c>
      <c r="B1736" s="1">
        <v>0</v>
      </c>
      <c r="D1736" s="1" t="s">
        <v>27</v>
      </c>
      <c r="E1736" s="1" t="s">
        <v>197</v>
      </c>
      <c r="F1736" s="1" t="s">
        <v>198</v>
      </c>
      <c r="G1736" s="1"/>
      <c r="H1736" s="1"/>
      <c r="I1736" s="18">
        <v>40289.795960648145</v>
      </c>
      <c r="J1736" s="1" t="s">
        <v>199</v>
      </c>
      <c r="K1736" s="1" t="s">
        <v>18</v>
      </c>
      <c r="L1736" s="1" t="s">
        <v>19</v>
      </c>
      <c r="Q1736" s="21"/>
    </row>
    <row r="1737" spans="1:17" x14ac:dyDescent="0.15">
      <c r="A1737" s="1">
        <v>40635</v>
      </c>
      <c r="B1737" s="1">
        <v>0</v>
      </c>
      <c r="C1737" s="1" t="s">
        <v>145</v>
      </c>
      <c r="D1737" s="1" t="s">
        <v>27</v>
      </c>
      <c r="E1737" s="1" t="s">
        <v>146</v>
      </c>
      <c r="F1737" s="1" t="s">
        <v>147</v>
      </c>
      <c r="G1737" s="1"/>
      <c r="H1737" s="1"/>
      <c r="I1737" s="18">
        <v>40275.407581018517</v>
      </c>
      <c r="J1737" s="1" t="s">
        <v>148</v>
      </c>
      <c r="K1737" s="1" t="s">
        <v>18</v>
      </c>
      <c r="L1737" s="1" t="s">
        <v>19</v>
      </c>
      <c r="Q1737" s="21"/>
    </row>
    <row r="1738" spans="1:17" x14ac:dyDescent="0.15">
      <c r="A1738" s="1">
        <v>40487</v>
      </c>
      <c r="B1738" s="1">
        <v>0</v>
      </c>
      <c r="C1738" s="1" t="s">
        <v>26</v>
      </c>
      <c r="D1738" s="1" t="s">
        <v>27</v>
      </c>
      <c r="E1738" s="1" t="s">
        <v>253</v>
      </c>
      <c r="F1738" s="1" t="s">
        <v>254</v>
      </c>
      <c r="G1738" s="1"/>
      <c r="H1738" s="1"/>
      <c r="I1738" s="18">
        <v>40273.978483796294</v>
      </c>
      <c r="J1738" s="1" t="s">
        <v>255</v>
      </c>
      <c r="K1738" s="1" t="s">
        <v>18</v>
      </c>
      <c r="L1738" s="1" t="s">
        <v>19</v>
      </c>
      <c r="Q1738" s="21"/>
    </row>
    <row r="1739" spans="1:17" x14ac:dyDescent="0.15">
      <c r="A1739" s="1">
        <v>40445</v>
      </c>
      <c r="B1739" s="1">
        <v>0</v>
      </c>
      <c r="C1739" s="1" t="s">
        <v>26</v>
      </c>
      <c r="D1739" s="1" t="s">
        <v>27</v>
      </c>
      <c r="E1739" s="1" t="s">
        <v>4184</v>
      </c>
      <c r="F1739" s="1" t="s">
        <v>2858</v>
      </c>
      <c r="G1739" s="1"/>
      <c r="H1739" s="1"/>
      <c r="I1739" s="18">
        <v>40273.823333333334</v>
      </c>
      <c r="J1739" s="1" t="s">
        <v>173</v>
      </c>
      <c r="K1739" s="1" t="s">
        <v>18</v>
      </c>
      <c r="L1739" s="1" t="s">
        <v>19</v>
      </c>
      <c r="Q1739" s="21"/>
    </row>
    <row r="1740" spans="1:17" x14ac:dyDescent="0.15">
      <c r="A1740" s="1">
        <v>40138</v>
      </c>
      <c r="B1740" s="1">
        <v>0</v>
      </c>
      <c r="D1740" s="1" t="s">
        <v>3714</v>
      </c>
      <c r="E1740" s="1" t="s">
        <v>3841</v>
      </c>
      <c r="F1740" s="1" t="s">
        <v>3842</v>
      </c>
      <c r="G1740" s="1"/>
      <c r="H1740" s="1"/>
      <c r="I1740" s="18">
        <v>40269.846354166664</v>
      </c>
      <c r="J1740" s="1" t="s">
        <v>1423</v>
      </c>
      <c r="K1740" s="1" t="s">
        <v>18</v>
      </c>
      <c r="L1740" s="1" t="s">
        <v>19</v>
      </c>
      <c r="Q1740" s="21"/>
    </row>
    <row r="1741" spans="1:17" x14ac:dyDescent="0.15">
      <c r="A1741" s="1">
        <v>39985</v>
      </c>
      <c r="B1741" s="1">
        <v>0</v>
      </c>
      <c r="C1741" s="1" t="s">
        <v>26</v>
      </c>
      <c r="D1741" s="1" t="s">
        <v>27</v>
      </c>
      <c r="E1741" s="1" t="s">
        <v>1478</v>
      </c>
      <c r="F1741" s="1" t="s">
        <v>1479</v>
      </c>
      <c r="G1741" s="1"/>
      <c r="H1741" s="1"/>
      <c r="I1741" s="18">
        <v>40268.606759259259</v>
      </c>
      <c r="J1741" s="1" t="s">
        <v>398</v>
      </c>
      <c r="K1741" s="1" t="s">
        <v>18</v>
      </c>
      <c r="L1741" s="1" t="s">
        <v>19</v>
      </c>
      <c r="Q1741" s="21"/>
    </row>
    <row r="1742" spans="1:17" x14ac:dyDescent="0.15">
      <c r="A1742" s="1">
        <v>39698</v>
      </c>
      <c r="B1742" s="1">
        <v>0</v>
      </c>
      <c r="C1742" s="1" t="s">
        <v>26</v>
      </c>
      <c r="D1742" s="1" t="s">
        <v>27</v>
      </c>
      <c r="E1742" s="1" t="s">
        <v>2519</v>
      </c>
      <c r="F1742" s="1" t="s">
        <v>2520</v>
      </c>
      <c r="G1742" s="1"/>
      <c r="H1742" s="1"/>
      <c r="I1742" s="18">
        <v>40266.682650462964</v>
      </c>
      <c r="J1742" s="1" t="s">
        <v>2521</v>
      </c>
      <c r="K1742" s="1" t="s">
        <v>18</v>
      </c>
      <c r="L1742" s="1" t="s">
        <v>19</v>
      </c>
      <c r="Q1742" s="21"/>
    </row>
    <row r="1743" spans="1:17" x14ac:dyDescent="0.15">
      <c r="A1743" s="1">
        <v>39660</v>
      </c>
      <c r="B1743" s="1">
        <v>0</v>
      </c>
      <c r="D1743" s="1" t="s">
        <v>27</v>
      </c>
      <c r="E1743" s="1" t="s">
        <v>354</v>
      </c>
      <c r="F1743" s="1" t="s">
        <v>355</v>
      </c>
      <c r="G1743" s="1"/>
      <c r="H1743" s="1"/>
      <c r="I1743" s="18">
        <v>40266.188101851854</v>
      </c>
      <c r="J1743" s="1" t="s">
        <v>151</v>
      </c>
      <c r="K1743" s="1" t="s">
        <v>18</v>
      </c>
      <c r="L1743" s="1" t="s">
        <v>19</v>
      </c>
      <c r="Q1743" s="21"/>
    </row>
    <row r="1744" spans="1:17" x14ac:dyDescent="0.15">
      <c r="A1744" s="1">
        <v>39443</v>
      </c>
      <c r="B1744" s="1">
        <v>0</v>
      </c>
      <c r="D1744" s="1" t="s">
        <v>3714</v>
      </c>
      <c r="E1744" s="1" t="s">
        <v>3817</v>
      </c>
      <c r="F1744" s="1" t="s">
        <v>3818</v>
      </c>
      <c r="G1744" s="1"/>
      <c r="H1744" s="1"/>
      <c r="I1744" s="18">
        <v>40263.49895833333</v>
      </c>
      <c r="J1744" s="1" t="s">
        <v>263</v>
      </c>
      <c r="K1744" s="1" t="s">
        <v>18</v>
      </c>
      <c r="L1744" s="1" t="s">
        <v>19</v>
      </c>
      <c r="Q1744" s="21"/>
    </row>
    <row r="1745" spans="1:17" x14ac:dyDescent="0.15">
      <c r="A1745" s="1">
        <v>37827</v>
      </c>
      <c r="B1745" s="1">
        <v>0</v>
      </c>
      <c r="D1745" s="1" t="s">
        <v>27</v>
      </c>
      <c r="E1745" s="1" t="s">
        <v>3137</v>
      </c>
      <c r="F1745" s="1" t="s">
        <v>3117</v>
      </c>
      <c r="G1745" s="1"/>
      <c r="H1745" s="1"/>
      <c r="I1745" s="18">
        <v>40247.287685185183</v>
      </c>
      <c r="J1745" s="1" t="s">
        <v>151</v>
      </c>
      <c r="K1745" s="1" t="s">
        <v>18</v>
      </c>
      <c r="L1745" s="1" t="s">
        <v>19</v>
      </c>
      <c r="Q1745" s="21"/>
    </row>
    <row r="1746" spans="1:17" x14ac:dyDescent="0.15">
      <c r="A1746" s="1">
        <v>37826</v>
      </c>
      <c r="B1746" s="1">
        <v>0</v>
      </c>
      <c r="D1746" s="1" t="s">
        <v>27</v>
      </c>
      <c r="E1746" s="1" t="s">
        <v>3116</v>
      </c>
      <c r="F1746" s="1" t="s">
        <v>3117</v>
      </c>
      <c r="G1746" s="1"/>
      <c r="H1746" s="1"/>
      <c r="I1746" s="18">
        <v>40247.267453703702</v>
      </c>
      <c r="J1746" s="1" t="s">
        <v>151</v>
      </c>
      <c r="K1746" s="1" t="s">
        <v>18</v>
      </c>
      <c r="L1746" s="1" t="s">
        <v>19</v>
      </c>
      <c r="Q1746" s="21"/>
    </row>
    <row r="1747" spans="1:17" x14ac:dyDescent="0.15">
      <c r="A1747" s="1">
        <v>37383</v>
      </c>
      <c r="B1747" s="1">
        <v>0</v>
      </c>
      <c r="C1747" s="1" t="s">
        <v>3859</v>
      </c>
      <c r="D1747" s="1" t="s">
        <v>3714</v>
      </c>
      <c r="E1747" s="1" t="s">
        <v>3860</v>
      </c>
      <c r="F1747" s="1" t="s">
        <v>3861</v>
      </c>
      <c r="G1747" s="1"/>
      <c r="H1747" s="1"/>
      <c r="I1747" s="18">
        <v>40241.311631944445</v>
      </c>
      <c r="J1747" s="1" t="s">
        <v>263</v>
      </c>
      <c r="K1747" s="1" t="s">
        <v>18</v>
      </c>
      <c r="L1747" s="1" t="s">
        <v>19</v>
      </c>
      <c r="Q1747" s="21"/>
    </row>
    <row r="1748" spans="1:17" x14ac:dyDescent="0.15">
      <c r="A1748" s="1">
        <v>37310</v>
      </c>
      <c r="B1748" s="1">
        <v>0</v>
      </c>
      <c r="C1748" s="1" t="s">
        <v>549</v>
      </c>
      <c r="D1748" s="1" t="s">
        <v>27</v>
      </c>
      <c r="E1748" s="1" t="s">
        <v>550</v>
      </c>
      <c r="F1748" s="1" t="s">
        <v>551</v>
      </c>
      <c r="G1748" s="1" t="s">
        <v>23</v>
      </c>
      <c r="I1748" s="18">
        <v>40240.710509259261</v>
      </c>
      <c r="J1748" s="1" t="s">
        <v>552</v>
      </c>
      <c r="K1748" s="1" t="s">
        <v>18</v>
      </c>
      <c r="L1748" s="1" t="s">
        <v>19</v>
      </c>
      <c r="Q1748" s="21"/>
    </row>
    <row r="1749" spans="1:17" x14ac:dyDescent="0.15">
      <c r="A1749" s="1">
        <v>35366</v>
      </c>
      <c r="B1749" s="1">
        <v>0</v>
      </c>
      <c r="C1749" s="1" t="s">
        <v>26</v>
      </c>
      <c r="D1749" s="1" t="s">
        <v>27</v>
      </c>
      <c r="E1749" s="1" t="s">
        <v>1093</v>
      </c>
      <c r="F1749" s="1" t="s">
        <v>1094</v>
      </c>
      <c r="G1749" s="1" t="s">
        <v>23</v>
      </c>
      <c r="I1749" s="18">
        <v>40220.17328703704</v>
      </c>
      <c r="J1749" s="1" t="s">
        <v>151</v>
      </c>
      <c r="K1749" s="1" t="s">
        <v>18</v>
      </c>
      <c r="L1749" s="1" t="s">
        <v>19</v>
      </c>
      <c r="Q1749" s="21"/>
    </row>
    <row r="1750" spans="1:17" x14ac:dyDescent="0.15">
      <c r="A1750" s="1">
        <v>35079</v>
      </c>
      <c r="B1750" s="1">
        <v>0</v>
      </c>
      <c r="D1750" s="1" t="s">
        <v>27</v>
      </c>
      <c r="E1750" s="1" t="s">
        <v>3358</v>
      </c>
      <c r="F1750" s="1" t="s">
        <v>355</v>
      </c>
      <c r="G1750" s="1"/>
      <c r="H1750" s="1"/>
      <c r="I1750" s="18">
        <v>40218.09170138889</v>
      </c>
      <c r="J1750" s="1" t="s">
        <v>151</v>
      </c>
      <c r="K1750" s="1" t="s">
        <v>18</v>
      </c>
      <c r="L1750" s="1" t="s">
        <v>19</v>
      </c>
      <c r="Q1750" s="21"/>
    </row>
    <row r="1751" spans="1:17" x14ac:dyDescent="0.15">
      <c r="A1751" s="1">
        <v>34978</v>
      </c>
      <c r="B1751" s="1">
        <v>0</v>
      </c>
      <c r="C1751" s="1" t="s">
        <v>26</v>
      </c>
      <c r="D1751" s="1" t="s">
        <v>27</v>
      </c>
      <c r="E1751" s="1" t="s">
        <v>2597</v>
      </c>
      <c r="F1751" s="1" t="s">
        <v>2598</v>
      </c>
      <c r="G1751" s="1"/>
      <c r="H1751" s="1"/>
      <c r="I1751" s="18">
        <v>40217.352210648147</v>
      </c>
      <c r="J1751" s="1" t="s">
        <v>30</v>
      </c>
      <c r="K1751" s="1" t="s">
        <v>18</v>
      </c>
      <c r="L1751" s="1" t="s">
        <v>19</v>
      </c>
      <c r="Q1751" s="21"/>
    </row>
    <row r="1752" spans="1:17" x14ac:dyDescent="0.15">
      <c r="A1752" s="1">
        <v>34498</v>
      </c>
      <c r="B1752" s="1">
        <v>0</v>
      </c>
      <c r="D1752" s="1" t="s">
        <v>27</v>
      </c>
      <c r="E1752" s="1" t="s">
        <v>1345</v>
      </c>
      <c r="F1752" s="1" t="s">
        <v>1346</v>
      </c>
      <c r="G1752" s="1"/>
      <c r="H1752" s="1"/>
      <c r="I1752" s="18">
        <v>40212.927129629628</v>
      </c>
      <c r="J1752" s="1" t="s">
        <v>151</v>
      </c>
      <c r="K1752" s="1" t="s">
        <v>18</v>
      </c>
      <c r="L1752" s="1" t="s">
        <v>19</v>
      </c>
      <c r="Q1752" s="21"/>
    </row>
    <row r="1753" spans="1:17" x14ac:dyDescent="0.15">
      <c r="A1753" s="1">
        <v>34495</v>
      </c>
      <c r="B1753" s="1">
        <v>0</v>
      </c>
      <c r="D1753" s="1" t="s">
        <v>27</v>
      </c>
      <c r="E1753" s="1" t="s">
        <v>1477</v>
      </c>
      <c r="F1753" s="1" t="s">
        <v>1346</v>
      </c>
      <c r="G1753" s="1"/>
      <c r="H1753" s="1"/>
      <c r="I1753" s="18">
        <v>40212.91815972222</v>
      </c>
      <c r="J1753" s="1" t="s">
        <v>151</v>
      </c>
      <c r="K1753" s="1" t="s">
        <v>18</v>
      </c>
      <c r="L1753" s="1" t="s">
        <v>19</v>
      </c>
      <c r="Q1753" s="21"/>
    </row>
    <row r="1754" spans="1:17" x14ac:dyDescent="0.15">
      <c r="A1754" s="1">
        <v>34135</v>
      </c>
      <c r="B1754" s="1">
        <v>0</v>
      </c>
      <c r="C1754" s="1" t="s">
        <v>2196</v>
      </c>
      <c r="D1754" s="1" t="s">
        <v>27</v>
      </c>
      <c r="E1754" s="1" t="s">
        <v>2197</v>
      </c>
      <c r="F1754" s="1" t="s">
        <v>2198</v>
      </c>
      <c r="G1754" s="1"/>
      <c r="H1754" s="1"/>
      <c r="I1754" s="18">
        <v>40210.994490740741</v>
      </c>
      <c r="J1754" s="1" t="s">
        <v>2199</v>
      </c>
      <c r="K1754" s="1" t="s">
        <v>18</v>
      </c>
      <c r="L1754" s="1" t="s">
        <v>19</v>
      </c>
      <c r="Q1754" s="21"/>
    </row>
    <row r="1755" spans="1:17" x14ac:dyDescent="0.15">
      <c r="A1755" s="1">
        <v>33053</v>
      </c>
      <c r="B1755" s="1">
        <v>0</v>
      </c>
      <c r="D1755" s="1" t="s">
        <v>27</v>
      </c>
      <c r="E1755" s="1" t="s">
        <v>1531</v>
      </c>
      <c r="F1755" s="1" t="s">
        <v>1346</v>
      </c>
      <c r="G1755" s="1"/>
      <c r="H1755" s="1"/>
      <c r="I1755" s="18">
        <v>40203.455520833333</v>
      </c>
      <c r="J1755" s="1" t="s">
        <v>435</v>
      </c>
      <c r="K1755" s="1" t="s">
        <v>18</v>
      </c>
      <c r="L1755" s="1" t="s">
        <v>19</v>
      </c>
      <c r="Q1755" s="21"/>
    </row>
    <row r="1756" spans="1:17" x14ac:dyDescent="0.15">
      <c r="A1756" s="1">
        <v>32915</v>
      </c>
      <c r="B1756" s="1">
        <v>0</v>
      </c>
      <c r="D1756" s="1" t="s">
        <v>27</v>
      </c>
      <c r="E1756" s="1" t="s">
        <v>1452</v>
      </c>
      <c r="F1756" s="1" t="s">
        <v>1453</v>
      </c>
      <c r="G1756" s="1" t="s">
        <v>159</v>
      </c>
      <c r="I1756" s="18">
        <v>40200.89271990741</v>
      </c>
      <c r="J1756" s="1" t="s">
        <v>1241</v>
      </c>
      <c r="K1756" s="1" t="s">
        <v>18</v>
      </c>
      <c r="L1756" s="1" t="s">
        <v>19</v>
      </c>
      <c r="Q1756" s="21"/>
    </row>
    <row r="1757" spans="1:17" x14ac:dyDescent="0.15">
      <c r="A1757" s="1">
        <v>32455</v>
      </c>
      <c r="B1757" s="1">
        <v>0</v>
      </c>
      <c r="D1757" s="1" t="s">
        <v>27</v>
      </c>
      <c r="E1757" s="1" t="s">
        <v>459</v>
      </c>
      <c r="F1757" s="1" t="s">
        <v>150</v>
      </c>
      <c r="G1757" s="1"/>
      <c r="H1757" s="1"/>
      <c r="I1757" s="18">
        <v>40194.31150462963</v>
      </c>
      <c r="J1757" s="1" t="s">
        <v>435</v>
      </c>
      <c r="K1757" s="1" t="s">
        <v>18</v>
      </c>
      <c r="L1757" s="1" t="s">
        <v>19</v>
      </c>
      <c r="Q1757" s="21"/>
    </row>
    <row r="1758" spans="1:17" x14ac:dyDescent="0.15">
      <c r="A1758" s="1">
        <v>31880</v>
      </c>
      <c r="B1758" s="1">
        <v>0</v>
      </c>
      <c r="C1758" s="1" t="s">
        <v>170</v>
      </c>
      <c r="D1758" s="1" t="s">
        <v>27</v>
      </c>
      <c r="E1758" s="1" t="s">
        <v>3556</v>
      </c>
      <c r="F1758" s="1" t="s">
        <v>2520</v>
      </c>
      <c r="G1758" s="1"/>
      <c r="H1758" s="1"/>
      <c r="I1758" s="18">
        <v>40187.230208333334</v>
      </c>
      <c r="J1758" s="1" t="s">
        <v>398</v>
      </c>
      <c r="K1758" s="1" t="s">
        <v>18</v>
      </c>
      <c r="L1758" s="1" t="s">
        <v>19</v>
      </c>
      <c r="Q1758" s="21"/>
    </row>
    <row r="1759" spans="1:17" x14ac:dyDescent="0.15">
      <c r="A1759" s="1">
        <v>31692</v>
      </c>
      <c r="B1759" s="1">
        <v>0</v>
      </c>
      <c r="C1759" s="1" t="s">
        <v>133</v>
      </c>
      <c r="D1759" s="1" t="s">
        <v>3714</v>
      </c>
      <c r="E1759" s="1" t="s">
        <v>3853</v>
      </c>
      <c r="F1759" s="1" t="s">
        <v>3854</v>
      </c>
      <c r="G1759" s="1"/>
      <c r="H1759" s="1"/>
      <c r="I1759" s="18">
        <v>40184.857557870368</v>
      </c>
      <c r="J1759" s="1" t="s">
        <v>148</v>
      </c>
      <c r="K1759" s="1" t="s">
        <v>18</v>
      </c>
      <c r="L1759" s="1" t="s">
        <v>19</v>
      </c>
      <c r="Q1759" s="21"/>
    </row>
    <row r="1760" spans="1:17" x14ac:dyDescent="0.15">
      <c r="A1760" s="1">
        <v>31568</v>
      </c>
      <c r="B1760" s="1">
        <v>0</v>
      </c>
      <c r="C1760" s="1" t="s">
        <v>26</v>
      </c>
      <c r="D1760" s="1" t="s">
        <v>27</v>
      </c>
      <c r="E1760" s="1" t="s">
        <v>2407</v>
      </c>
      <c r="F1760" s="1" t="s">
        <v>355</v>
      </c>
      <c r="G1760" s="1"/>
      <c r="H1760" s="1"/>
      <c r="I1760" s="18">
        <v>40183.080706018518</v>
      </c>
      <c r="J1760" s="1" t="s">
        <v>151</v>
      </c>
      <c r="K1760" s="1" t="s">
        <v>18</v>
      </c>
      <c r="L1760" s="1" t="s">
        <v>19</v>
      </c>
      <c r="Q1760" s="21"/>
    </row>
    <row r="1761" spans="1:17" x14ac:dyDescent="0.15">
      <c r="A1761" s="1">
        <v>31542</v>
      </c>
      <c r="B1761" s="1">
        <v>0</v>
      </c>
      <c r="C1761" s="1" t="s">
        <v>26</v>
      </c>
      <c r="D1761" s="1" t="s">
        <v>27</v>
      </c>
      <c r="E1761" s="1" t="s">
        <v>337</v>
      </c>
      <c r="F1761" s="1" t="s">
        <v>338</v>
      </c>
      <c r="G1761" s="1"/>
      <c r="H1761" s="1"/>
      <c r="I1761" s="18">
        <v>40182.863993055558</v>
      </c>
      <c r="J1761" s="1" t="s">
        <v>339</v>
      </c>
      <c r="K1761" s="1" t="s">
        <v>18</v>
      </c>
      <c r="L1761" s="1" t="s">
        <v>19</v>
      </c>
      <c r="Q1761" s="21"/>
    </row>
    <row r="1762" spans="1:17" x14ac:dyDescent="0.15">
      <c r="A1762" s="1">
        <v>31307</v>
      </c>
      <c r="B1762" s="1">
        <v>0</v>
      </c>
      <c r="D1762" s="1" t="s">
        <v>27</v>
      </c>
      <c r="E1762" s="1" t="s">
        <v>149</v>
      </c>
      <c r="F1762" s="1" t="s">
        <v>150</v>
      </c>
      <c r="G1762" s="1"/>
      <c r="H1762" s="1"/>
      <c r="I1762" s="18">
        <v>40177.112754629627</v>
      </c>
      <c r="J1762" s="1" t="s">
        <v>151</v>
      </c>
      <c r="K1762" s="1" t="s">
        <v>18</v>
      </c>
      <c r="L1762" s="1" t="s">
        <v>19</v>
      </c>
      <c r="Q1762" s="21"/>
    </row>
    <row r="1763" spans="1:17" x14ac:dyDescent="0.15">
      <c r="A1763" s="1">
        <v>31009</v>
      </c>
      <c r="B1763" s="1">
        <v>0</v>
      </c>
      <c r="D1763" s="1" t="s">
        <v>27</v>
      </c>
      <c r="E1763" s="1" t="s">
        <v>2891</v>
      </c>
      <c r="F1763" s="1" t="s">
        <v>355</v>
      </c>
      <c r="G1763" s="1"/>
      <c r="H1763" s="1"/>
      <c r="I1763" s="18">
        <v>40169.837152777778</v>
      </c>
      <c r="J1763" s="1" t="s">
        <v>151</v>
      </c>
      <c r="K1763" s="1" t="s">
        <v>18</v>
      </c>
      <c r="L1763" s="1" t="s">
        <v>19</v>
      </c>
      <c r="Q1763" s="21"/>
    </row>
    <row r="1764" spans="1:17" x14ac:dyDescent="0.15">
      <c r="A1764" s="1">
        <v>30660</v>
      </c>
      <c r="B1764" s="1">
        <v>0</v>
      </c>
      <c r="D1764" s="1" t="s">
        <v>27</v>
      </c>
      <c r="E1764" s="1" t="s">
        <v>783</v>
      </c>
      <c r="F1764" s="1" t="s">
        <v>784</v>
      </c>
      <c r="G1764" s="1" t="s">
        <v>23</v>
      </c>
      <c r="I1764" s="18">
        <v>40164.303090277775</v>
      </c>
      <c r="J1764" s="1" t="s">
        <v>785</v>
      </c>
      <c r="K1764" s="1" t="s">
        <v>18</v>
      </c>
      <c r="L1764" s="1" t="s">
        <v>19</v>
      </c>
      <c r="Q1764" s="21"/>
    </row>
    <row r="1765" spans="1:17" x14ac:dyDescent="0.15">
      <c r="A1765" s="1">
        <v>30525</v>
      </c>
      <c r="B1765" s="1">
        <v>0</v>
      </c>
      <c r="C1765" s="1" t="s">
        <v>26</v>
      </c>
      <c r="D1765" s="1" t="s">
        <v>27</v>
      </c>
      <c r="E1765" s="1" t="s">
        <v>2827</v>
      </c>
      <c r="F1765" s="1" t="s">
        <v>2828</v>
      </c>
      <c r="G1765" s="1" t="s">
        <v>23</v>
      </c>
      <c r="I1765" s="18">
        <v>40163.039085648146</v>
      </c>
      <c r="J1765" s="1" t="s">
        <v>435</v>
      </c>
      <c r="K1765" s="1" t="s">
        <v>18</v>
      </c>
      <c r="L1765" s="1" t="s">
        <v>19</v>
      </c>
      <c r="Q1765" s="21"/>
    </row>
    <row r="1766" spans="1:17" x14ac:dyDescent="0.15">
      <c r="A1766" s="1">
        <v>30146</v>
      </c>
      <c r="B1766" s="1">
        <v>0</v>
      </c>
      <c r="C1766" s="1" t="s">
        <v>305</v>
      </c>
      <c r="D1766" s="1" t="s">
        <v>27</v>
      </c>
      <c r="E1766" s="1" t="s">
        <v>2217</v>
      </c>
      <c r="F1766" s="1" t="s">
        <v>2218</v>
      </c>
      <c r="G1766" s="1" t="s">
        <v>23</v>
      </c>
      <c r="I1766" s="18">
        <v>40158.84747685185</v>
      </c>
      <c r="J1766" s="1" t="s">
        <v>2219</v>
      </c>
      <c r="K1766" s="1" t="s">
        <v>18</v>
      </c>
      <c r="L1766" s="1" t="s">
        <v>19</v>
      </c>
      <c r="Q1766" s="21"/>
    </row>
    <row r="1767" spans="1:17" x14ac:dyDescent="0.15">
      <c r="A1767" s="1">
        <v>29854</v>
      </c>
      <c r="B1767" s="1">
        <v>0</v>
      </c>
      <c r="C1767" s="1" t="s">
        <v>26</v>
      </c>
      <c r="D1767" s="1" t="s">
        <v>3714</v>
      </c>
      <c r="E1767" s="1" t="s">
        <v>3809</v>
      </c>
      <c r="F1767" s="1" t="s">
        <v>2828</v>
      </c>
      <c r="G1767" s="1" t="s">
        <v>23</v>
      </c>
      <c r="I1767" s="18">
        <v>40156.438530092593</v>
      </c>
      <c r="J1767" s="1" t="s">
        <v>148</v>
      </c>
      <c r="K1767" s="1" t="s">
        <v>18</v>
      </c>
      <c r="L1767" s="1" t="s">
        <v>19</v>
      </c>
      <c r="Q1767" s="21"/>
    </row>
    <row r="1768" spans="1:17" x14ac:dyDescent="0.15">
      <c r="A1768" s="1">
        <v>29828</v>
      </c>
      <c r="B1768" s="1">
        <v>0</v>
      </c>
      <c r="D1768" s="1" t="s">
        <v>27</v>
      </c>
      <c r="E1768" s="1" t="s">
        <v>302</v>
      </c>
      <c r="F1768" s="1" t="s">
        <v>303</v>
      </c>
      <c r="G1768" s="1" t="s">
        <v>23</v>
      </c>
      <c r="I1768" s="18">
        <v>40156.214039351849</v>
      </c>
      <c r="J1768" s="1" t="s">
        <v>304</v>
      </c>
      <c r="K1768" s="1" t="s">
        <v>18</v>
      </c>
      <c r="L1768" s="1" t="s">
        <v>19</v>
      </c>
      <c r="Q1768" s="21"/>
    </row>
    <row r="1769" spans="1:17" x14ac:dyDescent="0.15">
      <c r="A1769" s="1">
        <v>29577</v>
      </c>
      <c r="B1769" s="1">
        <v>0</v>
      </c>
      <c r="C1769" s="1" t="s">
        <v>26</v>
      </c>
      <c r="D1769" s="1" t="s">
        <v>27</v>
      </c>
      <c r="E1769" s="1" t="s">
        <v>2829</v>
      </c>
      <c r="F1769" s="1" t="s">
        <v>2830</v>
      </c>
      <c r="G1769" s="1" t="s">
        <v>23</v>
      </c>
      <c r="I1769" s="18">
        <v>40154.703553240739</v>
      </c>
      <c r="J1769" s="1" t="s">
        <v>2831</v>
      </c>
      <c r="K1769" s="1" t="s">
        <v>18</v>
      </c>
      <c r="L1769" s="1" t="s">
        <v>19</v>
      </c>
      <c r="Q1769" s="21"/>
    </row>
    <row r="1770" spans="1:17" x14ac:dyDescent="0.15">
      <c r="A1770" s="1">
        <v>28811</v>
      </c>
      <c r="B1770" s="1">
        <v>0</v>
      </c>
      <c r="C1770" s="1" t="s">
        <v>3723</v>
      </c>
      <c r="D1770" s="1" t="s">
        <v>3714</v>
      </c>
      <c r="E1770" s="1" t="s">
        <v>3724</v>
      </c>
      <c r="F1770" s="1" t="s">
        <v>2828</v>
      </c>
      <c r="G1770" s="1" t="s">
        <v>23</v>
      </c>
      <c r="I1770" s="18">
        <v>40142.870185185187</v>
      </c>
      <c r="J1770" s="1" t="s">
        <v>148</v>
      </c>
      <c r="K1770" s="1" t="s">
        <v>18</v>
      </c>
      <c r="L1770" s="1" t="s">
        <v>19</v>
      </c>
      <c r="Q1770" s="21"/>
    </row>
    <row r="1771" spans="1:17" x14ac:dyDescent="0.15">
      <c r="A1771" s="1">
        <v>28574</v>
      </c>
      <c r="B1771" s="1">
        <v>0</v>
      </c>
      <c r="D1771" s="1" t="s">
        <v>27</v>
      </c>
      <c r="E1771" s="1" t="s">
        <v>1181</v>
      </c>
      <c r="F1771" s="1" t="s">
        <v>1182</v>
      </c>
      <c r="G1771" s="1" t="s">
        <v>16</v>
      </c>
      <c r="I1771" s="18">
        <v>40140.655995370369</v>
      </c>
      <c r="J1771" s="1" t="s">
        <v>870</v>
      </c>
      <c r="K1771" s="1" t="s">
        <v>18</v>
      </c>
      <c r="L1771" s="1" t="s">
        <v>19</v>
      </c>
      <c r="Q1771" s="21"/>
    </row>
    <row r="1772" spans="1:17" x14ac:dyDescent="0.15">
      <c r="A1772" s="1">
        <v>28566</v>
      </c>
      <c r="B1772" s="1">
        <v>0</v>
      </c>
      <c r="C1772" s="1" t="s">
        <v>26</v>
      </c>
      <c r="D1772" s="1" t="s">
        <v>3714</v>
      </c>
      <c r="E1772" s="1" t="s">
        <v>3795</v>
      </c>
      <c r="F1772" s="1" t="s">
        <v>3757</v>
      </c>
      <c r="G1772" s="1" t="s">
        <v>23</v>
      </c>
      <c r="I1772" s="18">
        <v>40140.614571759259</v>
      </c>
      <c r="J1772" s="1" t="s">
        <v>870</v>
      </c>
      <c r="K1772" s="1" t="s">
        <v>18</v>
      </c>
      <c r="L1772" s="1" t="s">
        <v>19</v>
      </c>
      <c r="Q1772" s="21"/>
    </row>
    <row r="1773" spans="1:17" x14ac:dyDescent="0.15">
      <c r="A1773" s="1">
        <v>28449</v>
      </c>
      <c r="B1773" s="1">
        <v>0</v>
      </c>
      <c r="C1773" s="1" t="s">
        <v>26</v>
      </c>
      <c r="D1773" s="1" t="s">
        <v>27</v>
      </c>
      <c r="E1773" s="1" t="s">
        <v>1013</v>
      </c>
      <c r="F1773" s="1" t="s">
        <v>1014</v>
      </c>
      <c r="G1773" s="1" t="s">
        <v>23</v>
      </c>
      <c r="I1773" s="18">
        <v>40138.096655092595</v>
      </c>
      <c r="J1773" s="1" t="s">
        <v>1015</v>
      </c>
      <c r="K1773" s="1" t="s">
        <v>18</v>
      </c>
      <c r="L1773" s="1" t="s">
        <v>19</v>
      </c>
      <c r="Q1773" s="21"/>
    </row>
    <row r="1774" spans="1:17" x14ac:dyDescent="0.15">
      <c r="A1774" s="1">
        <v>28250</v>
      </c>
      <c r="B1774" s="1">
        <v>0</v>
      </c>
      <c r="D1774" s="1" t="s">
        <v>27</v>
      </c>
      <c r="E1774" s="1" t="s">
        <v>868</v>
      </c>
      <c r="F1774" s="1" t="s">
        <v>869</v>
      </c>
      <c r="G1774" s="1" t="s">
        <v>16</v>
      </c>
      <c r="I1774" s="18">
        <v>40136.710682870369</v>
      </c>
      <c r="J1774" s="1" t="s">
        <v>870</v>
      </c>
      <c r="K1774" s="1" t="s">
        <v>18</v>
      </c>
      <c r="L1774" s="1" t="s">
        <v>19</v>
      </c>
      <c r="Q1774" s="21"/>
    </row>
    <row r="1775" spans="1:17" x14ac:dyDescent="0.15">
      <c r="A1775" s="1">
        <v>26585</v>
      </c>
      <c r="B1775" s="1">
        <v>0</v>
      </c>
      <c r="C1775" s="1" t="s">
        <v>170</v>
      </c>
      <c r="D1775" s="1" t="s">
        <v>3714</v>
      </c>
      <c r="E1775" s="1" t="s">
        <v>3771</v>
      </c>
      <c r="F1775" s="1" t="s">
        <v>3772</v>
      </c>
      <c r="G1775" s="1" t="s">
        <v>540</v>
      </c>
      <c r="I1775" s="18">
        <v>40120.60083333333</v>
      </c>
      <c r="J1775" s="1" t="s">
        <v>3773</v>
      </c>
      <c r="K1775" s="1" t="s">
        <v>18</v>
      </c>
      <c r="L1775" s="1" t="s">
        <v>19</v>
      </c>
      <c r="Q1775" s="21"/>
    </row>
    <row r="1776" spans="1:17" x14ac:dyDescent="0.15">
      <c r="A1776" s="1">
        <v>26179</v>
      </c>
      <c r="B1776" s="1">
        <v>0</v>
      </c>
      <c r="D1776" s="1" t="s">
        <v>27</v>
      </c>
      <c r="E1776" s="1" t="s">
        <v>3595</v>
      </c>
      <c r="F1776" s="1" t="s">
        <v>3596</v>
      </c>
      <c r="G1776" s="1" t="s">
        <v>23</v>
      </c>
      <c r="I1776" s="18">
        <v>40115.159143518518</v>
      </c>
      <c r="J1776" s="1" t="s">
        <v>151</v>
      </c>
      <c r="K1776" s="1" t="s">
        <v>3586</v>
      </c>
      <c r="L1776" s="1" t="s">
        <v>19</v>
      </c>
      <c r="Q1776" s="21"/>
    </row>
    <row r="1777" spans="1:17" x14ac:dyDescent="0.15">
      <c r="A1777" s="1">
        <v>24733</v>
      </c>
      <c r="B1777" s="1">
        <v>0</v>
      </c>
      <c r="D1777" s="1" t="s">
        <v>3714</v>
      </c>
      <c r="E1777" s="1" t="s">
        <v>3891</v>
      </c>
      <c r="F1777" s="1" t="s">
        <v>3596</v>
      </c>
      <c r="G1777" s="1" t="s">
        <v>23</v>
      </c>
      <c r="I1777" s="18">
        <v>40099.796076388891</v>
      </c>
      <c r="J1777" s="1" t="s">
        <v>151</v>
      </c>
      <c r="K1777" s="1" t="s">
        <v>3586</v>
      </c>
      <c r="L1777" s="1" t="s">
        <v>19</v>
      </c>
      <c r="Q1777" s="21"/>
    </row>
    <row r="1778" spans="1:17" x14ac:dyDescent="0.15">
      <c r="A1778" s="1">
        <v>24646</v>
      </c>
      <c r="B1778" s="1">
        <v>0</v>
      </c>
      <c r="C1778" s="1" t="s">
        <v>26</v>
      </c>
      <c r="D1778" s="1" t="s">
        <v>3714</v>
      </c>
      <c r="E1778" s="1" t="s">
        <v>3756</v>
      </c>
      <c r="F1778" s="1" t="s">
        <v>3757</v>
      </c>
      <c r="G1778" s="1" t="s">
        <v>23</v>
      </c>
      <c r="I1778" s="18">
        <v>40098.795590277776</v>
      </c>
      <c r="J1778" s="1" t="s">
        <v>2848</v>
      </c>
      <c r="K1778" s="1" t="s">
        <v>18</v>
      </c>
      <c r="L1778" s="1" t="s">
        <v>19</v>
      </c>
      <c r="Q1778" s="21"/>
    </row>
    <row r="1779" spans="1:17" x14ac:dyDescent="0.15">
      <c r="A1779" s="1">
        <v>22115</v>
      </c>
      <c r="B1779" s="1">
        <v>0</v>
      </c>
      <c r="C1779" s="1" t="s">
        <v>26</v>
      </c>
      <c r="D1779" s="1" t="s">
        <v>27</v>
      </c>
      <c r="E1779" s="1" t="s">
        <v>612</v>
      </c>
      <c r="F1779" s="1" t="s">
        <v>613</v>
      </c>
      <c r="G1779" s="1" t="s">
        <v>23</v>
      </c>
      <c r="I1779" s="18">
        <v>40073.33798611111</v>
      </c>
      <c r="J1779" s="1" t="s">
        <v>614</v>
      </c>
      <c r="K1779" s="1" t="s">
        <v>18</v>
      </c>
      <c r="L1779" s="1" t="s">
        <v>19</v>
      </c>
      <c r="Q1779" s="21"/>
    </row>
    <row r="1780" spans="1:17" x14ac:dyDescent="0.15">
      <c r="A1780" s="1">
        <v>21771</v>
      </c>
      <c r="B1780" s="1">
        <v>0</v>
      </c>
      <c r="D1780" s="1" t="s">
        <v>27</v>
      </c>
      <c r="E1780" s="1" t="s">
        <v>2156</v>
      </c>
      <c r="F1780" s="1" t="s">
        <v>2155</v>
      </c>
      <c r="G1780" s="1" t="s">
        <v>23</v>
      </c>
      <c r="I1780" s="18">
        <v>40070.721631944441</v>
      </c>
      <c r="J1780" s="1" t="s">
        <v>366</v>
      </c>
      <c r="K1780" s="1" t="s">
        <v>18</v>
      </c>
      <c r="L1780" s="1" t="s">
        <v>19</v>
      </c>
      <c r="Q1780" s="21"/>
    </row>
    <row r="1781" spans="1:17" x14ac:dyDescent="0.15">
      <c r="A1781" s="1">
        <v>21770</v>
      </c>
      <c r="B1781" s="1">
        <v>0</v>
      </c>
      <c r="D1781" s="1" t="s">
        <v>27</v>
      </c>
      <c r="E1781" s="1" t="s">
        <v>2154</v>
      </c>
      <c r="F1781" s="1" t="s">
        <v>2155</v>
      </c>
      <c r="G1781" s="1" t="s">
        <v>23</v>
      </c>
      <c r="I1781" s="18">
        <v>40070.719363425924</v>
      </c>
      <c r="J1781" s="1" t="s">
        <v>366</v>
      </c>
      <c r="K1781" s="1" t="s">
        <v>18</v>
      </c>
      <c r="L1781" s="1" t="s">
        <v>19</v>
      </c>
      <c r="Q1781" s="21"/>
    </row>
    <row r="1782" spans="1:17" x14ac:dyDescent="0.15">
      <c r="A1782" s="1">
        <v>21338</v>
      </c>
      <c r="B1782" s="1">
        <v>0</v>
      </c>
      <c r="C1782" s="1" t="s">
        <v>26</v>
      </c>
      <c r="D1782" s="1" t="s">
        <v>27</v>
      </c>
      <c r="E1782" s="1" t="s">
        <v>1474</v>
      </c>
      <c r="F1782" s="1" t="s">
        <v>1475</v>
      </c>
      <c r="G1782" s="1" t="s">
        <v>23</v>
      </c>
      <c r="I1782" s="18">
        <v>40065.058831018519</v>
      </c>
      <c r="J1782" s="1" t="s">
        <v>1476</v>
      </c>
      <c r="K1782" s="1" t="s">
        <v>18</v>
      </c>
      <c r="L1782" s="1" t="s">
        <v>19</v>
      </c>
      <c r="Q1782" s="21"/>
    </row>
    <row r="1783" spans="1:17" x14ac:dyDescent="0.15">
      <c r="A1783" s="1">
        <v>21242</v>
      </c>
      <c r="B1783" s="1">
        <v>0</v>
      </c>
      <c r="C1783" s="1" t="s">
        <v>26</v>
      </c>
      <c r="D1783" s="1" t="s">
        <v>27</v>
      </c>
      <c r="E1783" s="1" t="s">
        <v>433</v>
      </c>
      <c r="F1783" s="1" t="s">
        <v>434</v>
      </c>
      <c r="G1783" s="1" t="s">
        <v>23</v>
      </c>
      <c r="I1783" s="18">
        <v>40064.082928240743</v>
      </c>
      <c r="J1783" s="1" t="s">
        <v>435</v>
      </c>
      <c r="K1783" s="1" t="s">
        <v>18</v>
      </c>
      <c r="L1783" s="1" t="s">
        <v>19</v>
      </c>
      <c r="Q1783" s="21"/>
    </row>
    <row r="1784" spans="1:17" x14ac:dyDescent="0.15">
      <c r="A1784" s="1">
        <v>19158</v>
      </c>
      <c r="B1784" s="1">
        <v>0</v>
      </c>
      <c r="C1784" s="1" t="s">
        <v>170</v>
      </c>
      <c r="D1784" s="1" t="s">
        <v>27</v>
      </c>
      <c r="E1784" s="1" t="s">
        <v>176</v>
      </c>
      <c r="F1784" s="1" t="s">
        <v>177</v>
      </c>
      <c r="G1784" s="1" t="s">
        <v>23</v>
      </c>
      <c r="I1784" s="18">
        <v>40037.671886574077</v>
      </c>
      <c r="J1784" s="1" t="s">
        <v>178</v>
      </c>
      <c r="K1784" s="1" t="s">
        <v>18</v>
      </c>
      <c r="L1784" s="1" t="s">
        <v>19</v>
      </c>
      <c r="Q1784" s="21"/>
    </row>
    <row r="1785" spans="1:17" x14ac:dyDescent="0.15">
      <c r="A1785" s="1">
        <v>18639</v>
      </c>
      <c r="B1785" s="1">
        <v>0</v>
      </c>
      <c r="D1785" s="1" t="s">
        <v>27</v>
      </c>
      <c r="E1785" s="1" t="s">
        <v>3042</v>
      </c>
      <c r="F1785" s="1" t="s">
        <v>3043</v>
      </c>
      <c r="G1785" s="1" t="s">
        <v>23</v>
      </c>
      <c r="I1785" s="18">
        <v>40031.696956018517</v>
      </c>
      <c r="J1785" s="1" t="s">
        <v>3044</v>
      </c>
      <c r="K1785" s="1" t="s">
        <v>18</v>
      </c>
      <c r="L1785" s="1" t="s">
        <v>19</v>
      </c>
      <c r="Q1785" s="21"/>
    </row>
    <row r="1786" spans="1:17" x14ac:dyDescent="0.15">
      <c r="A1786" s="1">
        <v>16535</v>
      </c>
      <c r="B1786" s="1">
        <v>0</v>
      </c>
      <c r="D1786" s="1" t="s">
        <v>27</v>
      </c>
      <c r="E1786" s="1" t="s">
        <v>3446</v>
      </c>
      <c r="F1786" s="1" t="s">
        <v>3447</v>
      </c>
      <c r="G1786" s="1" t="s">
        <v>23</v>
      </c>
      <c r="I1786" s="18">
        <v>40005.730671296296</v>
      </c>
      <c r="J1786" s="1" t="s">
        <v>366</v>
      </c>
      <c r="K1786" s="1" t="s">
        <v>18</v>
      </c>
      <c r="L1786" s="1" t="s">
        <v>19</v>
      </c>
      <c r="Q1786" s="21"/>
    </row>
    <row r="1787" spans="1:17" x14ac:dyDescent="0.15">
      <c r="A1787" s="1">
        <v>14719</v>
      </c>
      <c r="B1787" s="1">
        <v>0</v>
      </c>
      <c r="C1787" s="1" t="s">
        <v>26</v>
      </c>
      <c r="D1787" s="1" t="s">
        <v>27</v>
      </c>
      <c r="E1787" s="1" t="s">
        <v>2528</v>
      </c>
      <c r="F1787" s="1" t="s">
        <v>2529</v>
      </c>
      <c r="G1787" s="1" t="s">
        <v>23</v>
      </c>
      <c r="I1787" s="18">
        <v>39983.697777777779</v>
      </c>
      <c r="J1787" s="1" t="s">
        <v>151</v>
      </c>
      <c r="K1787" s="1" t="s">
        <v>18</v>
      </c>
      <c r="L1787" s="1" t="s">
        <v>19</v>
      </c>
      <c r="Q1787" s="21"/>
    </row>
    <row r="1788" spans="1:17" x14ac:dyDescent="0.15">
      <c r="A1788" s="1">
        <v>14508</v>
      </c>
      <c r="B1788" s="1">
        <v>0</v>
      </c>
      <c r="C1788" s="1" t="s">
        <v>170</v>
      </c>
      <c r="D1788" s="1" t="s">
        <v>27</v>
      </c>
      <c r="E1788" s="1" t="s">
        <v>3605</v>
      </c>
      <c r="F1788" s="1" t="s">
        <v>3606</v>
      </c>
      <c r="G1788" s="1" t="s">
        <v>23</v>
      </c>
      <c r="I1788" s="18">
        <v>39982.170439814814</v>
      </c>
      <c r="J1788" s="1" t="s">
        <v>151</v>
      </c>
      <c r="K1788" s="1" t="s">
        <v>3586</v>
      </c>
      <c r="L1788" s="1" t="s">
        <v>19</v>
      </c>
      <c r="Q1788" s="21"/>
    </row>
    <row r="1789" spans="1:17" x14ac:dyDescent="0.15">
      <c r="A1789" s="1">
        <v>11934</v>
      </c>
      <c r="B1789" s="1">
        <v>0</v>
      </c>
      <c r="D1789" s="1" t="s">
        <v>27</v>
      </c>
      <c r="E1789" s="1" t="s">
        <v>998</v>
      </c>
      <c r="F1789" s="1" t="s">
        <v>999</v>
      </c>
      <c r="G1789" s="1" t="s">
        <v>23</v>
      </c>
      <c r="I1789" s="18">
        <v>39947.086400462962</v>
      </c>
      <c r="J1789" s="1" t="s">
        <v>1000</v>
      </c>
      <c r="K1789" s="1" t="s">
        <v>18</v>
      </c>
      <c r="L1789" s="1" t="s">
        <v>19</v>
      </c>
      <c r="Q1789" s="21"/>
    </row>
    <row r="1790" spans="1:17" x14ac:dyDescent="0.15">
      <c r="A1790" s="1">
        <v>11739</v>
      </c>
      <c r="B1790" s="1">
        <v>0</v>
      </c>
      <c r="D1790" s="1" t="s">
        <v>3714</v>
      </c>
      <c r="E1790" s="1" t="s">
        <v>3868</v>
      </c>
      <c r="F1790" s="1" t="s">
        <v>3869</v>
      </c>
      <c r="G1790" s="1" t="s">
        <v>23</v>
      </c>
      <c r="I1790" s="18">
        <v>39944.594606481478</v>
      </c>
      <c r="J1790" s="1" t="s">
        <v>148</v>
      </c>
      <c r="K1790" s="1" t="s">
        <v>18</v>
      </c>
      <c r="L1790" s="1" t="s">
        <v>19</v>
      </c>
      <c r="Q1790" s="21"/>
    </row>
    <row r="1791" spans="1:17" x14ac:dyDescent="0.15">
      <c r="A1791" s="1">
        <v>10869</v>
      </c>
      <c r="B1791" s="1">
        <v>0</v>
      </c>
      <c r="C1791" s="1" t="s">
        <v>170</v>
      </c>
      <c r="D1791" s="1" t="s">
        <v>27</v>
      </c>
      <c r="E1791" s="1" t="s">
        <v>3350</v>
      </c>
      <c r="F1791" s="1" t="s">
        <v>3351</v>
      </c>
      <c r="G1791" s="1" t="s">
        <v>23</v>
      </c>
      <c r="I1791" s="18">
        <v>39926.053738425922</v>
      </c>
      <c r="J1791" s="1" t="s">
        <v>1241</v>
      </c>
      <c r="K1791" s="1" t="s">
        <v>18</v>
      </c>
      <c r="L1791" s="1" t="s">
        <v>19</v>
      </c>
      <c r="Q1791" s="21"/>
    </row>
    <row r="1792" spans="1:17" x14ac:dyDescent="0.15">
      <c r="A1792" s="1">
        <v>10736</v>
      </c>
      <c r="B1792" s="1">
        <v>0</v>
      </c>
      <c r="D1792" s="1" t="s">
        <v>3714</v>
      </c>
      <c r="E1792" s="1" t="s">
        <v>3742</v>
      </c>
      <c r="F1792" s="1" t="s">
        <v>3743</v>
      </c>
      <c r="G1792" s="1" t="s">
        <v>23</v>
      </c>
      <c r="I1792" s="18">
        <v>39922.820115740738</v>
      </c>
      <c r="J1792" s="1" t="s">
        <v>148</v>
      </c>
      <c r="K1792" s="1" t="s">
        <v>18</v>
      </c>
      <c r="L1792" s="1" t="s">
        <v>19</v>
      </c>
      <c r="Q1792" s="21"/>
    </row>
    <row r="1793" spans="1:17" x14ac:dyDescent="0.15">
      <c r="A1793" s="1">
        <v>9860</v>
      </c>
      <c r="B1793" s="1">
        <v>0</v>
      </c>
      <c r="C1793" s="1" t="s">
        <v>170</v>
      </c>
      <c r="D1793" s="1" t="s">
        <v>3714</v>
      </c>
      <c r="E1793" s="1" t="s">
        <v>3833</v>
      </c>
      <c r="F1793" s="1" t="s">
        <v>2187</v>
      </c>
      <c r="G1793" s="1" t="s">
        <v>23</v>
      </c>
      <c r="I1793" s="18">
        <v>39911.439108796294</v>
      </c>
      <c r="J1793" s="1" t="s">
        <v>3834</v>
      </c>
      <c r="K1793" s="1" t="s">
        <v>18</v>
      </c>
      <c r="L1793" s="1" t="s">
        <v>19</v>
      </c>
      <c r="Q1793" s="21"/>
    </row>
    <row r="1794" spans="1:17" x14ac:dyDescent="0.15">
      <c r="A1794" s="1">
        <v>9019</v>
      </c>
      <c r="B1794" s="1">
        <v>0</v>
      </c>
      <c r="C1794" s="1" t="s">
        <v>26</v>
      </c>
      <c r="D1794" s="1" t="s">
        <v>27</v>
      </c>
      <c r="E1794" s="1" t="s">
        <v>1782</v>
      </c>
      <c r="F1794" s="1" t="s">
        <v>1783</v>
      </c>
      <c r="G1794" s="1" t="s">
        <v>23</v>
      </c>
      <c r="I1794" s="18">
        <v>39891.988668981481</v>
      </c>
      <c r="J1794" s="1" t="s">
        <v>1784</v>
      </c>
      <c r="K1794" s="1" t="s">
        <v>18</v>
      </c>
      <c r="L1794" s="1" t="s">
        <v>19</v>
      </c>
      <c r="Q1794" s="21"/>
    </row>
    <row r="1795" spans="1:17" x14ac:dyDescent="0.15">
      <c r="A1795" s="1">
        <v>8198</v>
      </c>
      <c r="B1795" s="1">
        <v>0</v>
      </c>
      <c r="C1795" s="1" t="s">
        <v>1436</v>
      </c>
      <c r="D1795" s="1" t="s">
        <v>27</v>
      </c>
      <c r="E1795" s="1" t="s">
        <v>1437</v>
      </c>
      <c r="F1795" s="1" t="s">
        <v>1438</v>
      </c>
      <c r="G1795" s="1" t="s">
        <v>23</v>
      </c>
      <c r="I1795" s="18">
        <v>39871.740335648145</v>
      </c>
      <c r="J1795" s="1" t="s">
        <v>1439</v>
      </c>
      <c r="K1795" s="1" t="s">
        <v>18</v>
      </c>
      <c r="L1795" s="1" t="s">
        <v>19</v>
      </c>
      <c r="Q1795" s="21"/>
    </row>
    <row r="1796" spans="1:17" x14ac:dyDescent="0.15">
      <c r="A1796" s="1">
        <v>7338</v>
      </c>
      <c r="B1796" s="1">
        <v>0</v>
      </c>
      <c r="C1796" s="1" t="s">
        <v>170</v>
      </c>
      <c r="D1796" s="1" t="s">
        <v>27</v>
      </c>
      <c r="E1796" s="1" t="s">
        <v>2186</v>
      </c>
      <c r="F1796" s="1" t="s">
        <v>2187</v>
      </c>
      <c r="G1796" s="1" t="s">
        <v>23</v>
      </c>
      <c r="I1796" s="18">
        <v>39847.378599537034</v>
      </c>
      <c r="J1796" s="1" t="s">
        <v>366</v>
      </c>
      <c r="K1796" s="1" t="s">
        <v>18</v>
      </c>
      <c r="L1796" s="1" t="s">
        <v>19</v>
      </c>
      <c r="Q1796" s="21"/>
    </row>
    <row r="1797" spans="1:17" x14ac:dyDescent="0.15">
      <c r="A1797" s="1">
        <v>6869</v>
      </c>
      <c r="B1797" s="1">
        <v>0</v>
      </c>
      <c r="C1797" s="1" t="s">
        <v>26</v>
      </c>
      <c r="D1797" s="1" t="s">
        <v>3714</v>
      </c>
      <c r="E1797" s="1" t="s">
        <v>3764</v>
      </c>
      <c r="F1797" s="1" t="s">
        <v>3765</v>
      </c>
      <c r="G1797" s="1" t="s">
        <v>23</v>
      </c>
      <c r="I1797" s="18">
        <v>39835.817245370374</v>
      </c>
      <c r="J1797" s="1" t="s">
        <v>151</v>
      </c>
      <c r="K1797" s="1" t="s">
        <v>18</v>
      </c>
      <c r="L1797" s="1" t="s">
        <v>19</v>
      </c>
      <c r="Q1797" s="21"/>
    </row>
    <row r="1798" spans="1:17" x14ac:dyDescent="0.15">
      <c r="A1798" s="1">
        <v>6264</v>
      </c>
      <c r="B1798" s="1">
        <v>0</v>
      </c>
      <c r="D1798" s="1" t="s">
        <v>27</v>
      </c>
      <c r="E1798" s="1" t="s">
        <v>3448</v>
      </c>
      <c r="F1798" s="1" t="s">
        <v>2155</v>
      </c>
      <c r="G1798" s="1" t="s">
        <v>23</v>
      </c>
      <c r="I1798" s="18">
        <v>39825.003842592596</v>
      </c>
      <c r="J1798" s="1" t="s">
        <v>366</v>
      </c>
      <c r="K1798" s="1" t="s">
        <v>18</v>
      </c>
      <c r="L1798" s="1" t="s">
        <v>19</v>
      </c>
      <c r="Q1798" s="21"/>
    </row>
    <row r="1799" spans="1:17" x14ac:dyDescent="0.15">
      <c r="A1799" s="1">
        <v>6062</v>
      </c>
      <c r="B1799" s="1">
        <v>0</v>
      </c>
      <c r="C1799" s="1" t="s">
        <v>26</v>
      </c>
      <c r="D1799" s="1" t="s">
        <v>27</v>
      </c>
      <c r="E1799" s="1" t="s">
        <v>598</v>
      </c>
      <c r="F1799" s="1" t="s">
        <v>599</v>
      </c>
      <c r="G1799" s="1" t="s">
        <v>23</v>
      </c>
      <c r="I1799" s="18">
        <v>39820.000092592592</v>
      </c>
      <c r="J1799" s="1" t="s">
        <v>600</v>
      </c>
      <c r="K1799" s="1" t="s">
        <v>18</v>
      </c>
      <c r="L1799" s="1" t="s">
        <v>19</v>
      </c>
      <c r="Q1799" s="21"/>
    </row>
    <row r="1800" spans="1:17" x14ac:dyDescent="0.15">
      <c r="Q1800" s="21"/>
    </row>
    <row r="1801" spans="1:17" x14ac:dyDescent="0.15">
      <c r="A1801" s="1">
        <v>1798</v>
      </c>
      <c r="B1801">
        <v>183</v>
      </c>
      <c r="C1801" s="11">
        <v>0.10199999999999999</v>
      </c>
      <c r="Q1801" s="21"/>
    </row>
    <row r="1802" spans="1:17" x14ac:dyDescent="0.15">
      <c r="Q1802" s="21"/>
    </row>
    <row r="1803" spans="1:17" x14ac:dyDescent="0.15">
      <c r="Q1803" s="21"/>
    </row>
    <row r="1804" spans="1:17" x14ac:dyDescent="0.15">
      <c r="Q1804" s="21"/>
    </row>
    <row r="1805" spans="1:17" x14ac:dyDescent="0.15">
      <c r="Q1805" s="21"/>
    </row>
    <row r="1806" spans="1:17" x14ac:dyDescent="0.15">
      <c r="D1806" t="s">
        <v>4196</v>
      </c>
      <c r="E1806" t="s">
        <v>4197</v>
      </c>
      <c r="F1806" t="s">
        <v>4198</v>
      </c>
      <c r="G1806" t="s">
        <v>4199</v>
      </c>
      <c r="H1806" t="s">
        <v>4200</v>
      </c>
      <c r="I1806" t="s">
        <v>4237</v>
      </c>
      <c r="Q1806" s="21"/>
    </row>
    <row r="1807" spans="1:17" x14ac:dyDescent="0.15">
      <c r="C1807">
        <v>2009</v>
      </c>
      <c r="D1807">
        <f>COUNTIFS(I:I,"&gt;1/1/09",I:I,"&lt;12/31/09")</f>
        <v>38</v>
      </c>
      <c r="E1807">
        <f>COUNTIFS(B:B, "&gt;0",I:I,"&gt;1/1/09",I:I,"&lt;12/31/09")</f>
        <v>0</v>
      </c>
      <c r="F1807" s="11">
        <f>E1807/D1807</f>
        <v>0</v>
      </c>
      <c r="G1807">
        <f>COUNTIFS(B:B, "&gt;1",I:I,"&gt;1/1/09",I:I,"&lt;12/31/09")</f>
        <v>0</v>
      </c>
      <c r="H1807">
        <f>COUNTIFS(Q:Q, "&gt;0",I:I,"&gt;1/1/09",I:I,"&lt;12/31/09")</f>
        <v>0</v>
      </c>
      <c r="I1807" s="11" t="e">
        <f>G1807/E1807</f>
        <v>#DIV/0!</v>
      </c>
      <c r="Q1807" s="21"/>
    </row>
    <row r="1808" spans="1:17" x14ac:dyDescent="0.15">
      <c r="C1808">
        <v>2010</v>
      </c>
      <c r="D1808">
        <v>180</v>
      </c>
      <c r="E1808">
        <f>COUNTIFS(B:B, "&gt;0",I:I,"&gt;1/1/10",I:I,"&lt;12/31/10")</f>
        <v>8</v>
      </c>
      <c r="F1808" s="11">
        <f t="shared" ref="F1808:F1815" si="35">E1808/D1808</f>
        <v>4.4444444444444446E-2</v>
      </c>
      <c r="G1808">
        <f>COUNTIFS(B:B, "&gt;1",I:I,"&gt;1/1/10",I:I,"&lt;12/31/10")</f>
        <v>1</v>
      </c>
      <c r="H1808" s="21">
        <f>AVERAGE(Q1583:Q1761)</f>
        <v>78.598344907407409</v>
      </c>
      <c r="I1808" s="11">
        <f t="shared" ref="I1808:I1815" si="36">G1808/E1808</f>
        <v>0.125</v>
      </c>
      <c r="Q1808" s="21"/>
    </row>
    <row r="1809" spans="2:17" x14ac:dyDescent="0.15">
      <c r="C1809">
        <v>2011</v>
      </c>
      <c r="D1809">
        <f>COUNTIFS(I:I,"&gt;1/1/11",I:I,"&lt;12/31/11")</f>
        <v>275</v>
      </c>
      <c r="E1809">
        <f>COUNTIFS(B:B, "&gt;0",I:I,"&gt;1/1/11",I:I,"&lt;12/31/11")</f>
        <v>43</v>
      </c>
      <c r="F1809" s="11">
        <f t="shared" si="35"/>
        <v>0.15636363636363637</v>
      </c>
      <c r="G1809">
        <f>COUNTIFS(B:B, "&gt;1",I:I,"&gt;1/1/11",I:I,"&lt;12/31/11")</f>
        <v>10</v>
      </c>
      <c r="H1809" s="21">
        <f>AVERAGE(Q1307:Q1582)</f>
        <v>34.413340331610399</v>
      </c>
      <c r="I1809" s="11">
        <f t="shared" si="36"/>
        <v>0.23255813953488372</v>
      </c>
      <c r="Q1809" s="21"/>
    </row>
    <row r="1810" spans="2:17" x14ac:dyDescent="0.15">
      <c r="C1810">
        <v>2012</v>
      </c>
      <c r="D1810">
        <f>COUNTIFS(I:I,"&gt;1/1/12",I:I,"&lt;12/31/12")</f>
        <v>298</v>
      </c>
      <c r="E1810">
        <f>COUNTIFS(B:B, "&gt;0",I:I,"&gt;1/1/12",I:I,"&lt;12/31/12")</f>
        <v>46</v>
      </c>
      <c r="F1810" s="11">
        <f t="shared" si="35"/>
        <v>0.15436241610738255</v>
      </c>
      <c r="G1810">
        <f>COUNTIFS(B:B, "&gt;1",I:I,"&gt;1/1/12",I:I,"&lt;12/31/12")</f>
        <v>12</v>
      </c>
      <c r="H1810" s="21">
        <f>AVERAGE(Q1009:Q1306)</f>
        <v>22.860451388889647</v>
      </c>
      <c r="I1810" s="11">
        <f t="shared" si="36"/>
        <v>0.2608695652173913</v>
      </c>
      <c r="Q1810" s="21"/>
    </row>
    <row r="1811" spans="2:17" x14ac:dyDescent="0.15">
      <c r="C1811">
        <v>2013</v>
      </c>
      <c r="D1811">
        <f>COUNTIFS(I:I,"&gt;1/1/13",I:I,"&lt;12/31/13")</f>
        <v>237</v>
      </c>
      <c r="E1811">
        <f>COUNTIFS(B:B, "&gt;0",I:I,"&gt;1/1/13",I:I,"&lt;12/31/13")</f>
        <v>32</v>
      </c>
      <c r="F1811" s="11">
        <f t="shared" si="35"/>
        <v>0.13502109704641349</v>
      </c>
      <c r="G1811">
        <f>COUNTIFS(B:B, "&gt;1",I:I,"&gt;1/1/13",I:I,"&lt;12/31/13")</f>
        <v>4</v>
      </c>
      <c r="H1811" s="21">
        <f>AVERAGE(Q772:Q1008)</f>
        <v>56.868429904513732</v>
      </c>
      <c r="I1811" s="11">
        <f t="shared" si="36"/>
        <v>0.125</v>
      </c>
      <c r="Q1811" s="21"/>
    </row>
    <row r="1812" spans="2:17" x14ac:dyDescent="0.15">
      <c r="C1812">
        <v>2014</v>
      </c>
      <c r="D1812">
        <v>266</v>
      </c>
      <c r="E1812">
        <f>COUNTIFS(B:B, "&gt;0",I:I,"&gt;1/1/14",I:I,"&lt;12/31/14")</f>
        <v>23</v>
      </c>
      <c r="F1812" s="11">
        <f t="shared" si="35"/>
        <v>8.646616541353383E-2</v>
      </c>
      <c r="G1812">
        <f>COUNTIFS(B:B, "&gt;1",I:I,"&gt;1/1/14",I:I,"&lt;12/31/14")</f>
        <v>5</v>
      </c>
      <c r="H1812" s="21">
        <f>AVERAGE(Q506:Q771)</f>
        <v>48.575834339774978</v>
      </c>
      <c r="I1812" s="11">
        <f t="shared" si="36"/>
        <v>0.21739130434782608</v>
      </c>
      <c r="Q1812" s="21"/>
    </row>
    <row r="1813" spans="2:17" x14ac:dyDescent="0.15">
      <c r="C1813">
        <v>2015</v>
      </c>
      <c r="D1813">
        <f>COUNTIFS(I:I,"&gt;1/1/15",I:I,"&lt;12/31/15")</f>
        <v>250</v>
      </c>
      <c r="E1813">
        <f>COUNTIFS(B:B, "&gt;0",I:I,"&gt;1/1/15",I:I,"&lt;12/31/15")</f>
        <v>24</v>
      </c>
      <c r="F1813" s="11">
        <f t="shared" si="35"/>
        <v>9.6000000000000002E-2</v>
      </c>
      <c r="G1813">
        <f>COUNTIFS(B:B, "&gt;1",I:I,"&gt;1/1/15",I:I,"&lt;12/31/15")</f>
        <v>2</v>
      </c>
      <c r="H1813" s="21">
        <f>AVERAGE(Q256:Q505)</f>
        <v>35.652870370370998</v>
      </c>
      <c r="I1813" s="11">
        <f t="shared" si="36"/>
        <v>8.3333333333333329E-2</v>
      </c>
      <c r="Q1813" s="21"/>
    </row>
    <row r="1814" spans="2:17" x14ac:dyDescent="0.15">
      <c r="C1814">
        <v>2016</v>
      </c>
      <c r="D1814">
        <f>COUNTIFS(I:I,"&gt;1/1/16",I:I,"&lt;12/31/16")</f>
        <v>211</v>
      </c>
      <c r="E1814">
        <f>COUNTIFS(B:B, "&gt;0",I:I,"&gt;1/1/16",I:I,"&lt;12/31/16")</f>
        <v>16</v>
      </c>
      <c r="F1814" s="11">
        <f t="shared" si="35"/>
        <v>7.582938388625593E-2</v>
      </c>
      <c r="G1814">
        <f>COUNTIFS(B:B, "&gt;1",I:I,"&gt;1/1/16",I:I,"&lt;12/31/16")</f>
        <v>4</v>
      </c>
      <c r="H1814" s="21">
        <f>AVERAGE(Q45:Q255)</f>
        <v>106.73190610532356</v>
      </c>
      <c r="I1814" s="11">
        <f t="shared" si="36"/>
        <v>0.25</v>
      </c>
      <c r="Q1814" s="21"/>
    </row>
    <row r="1815" spans="2:17" x14ac:dyDescent="0.15">
      <c r="B1815" t="s">
        <v>4201</v>
      </c>
      <c r="C1815">
        <v>2017</v>
      </c>
      <c r="D1815">
        <f>COUNTIFS(I:I,"&gt;1/1/17",I:I,"&lt;12/31/17")</f>
        <v>43</v>
      </c>
      <c r="E1815">
        <f>COUNTIFS(B:B, "&gt;0",I:I,"&gt;1/1/17",I:I,"&lt;12/31/17")</f>
        <v>3</v>
      </c>
      <c r="F1815" s="11">
        <f t="shared" si="35"/>
        <v>6.9767441860465115E-2</v>
      </c>
      <c r="G1815">
        <f>COUNTIFS(B:B, "&gt;1",I:I,"&gt;1/1/17",I:I,"&lt;12/31/17")</f>
        <v>0</v>
      </c>
      <c r="H1815">
        <v>0</v>
      </c>
      <c r="I1815" s="11">
        <f t="shared" si="36"/>
        <v>0</v>
      </c>
      <c r="Q1815" s="21"/>
    </row>
    <row r="1816" spans="2:17" x14ac:dyDescent="0.15">
      <c r="D1816" s="25"/>
      <c r="E1816" s="25"/>
      <c r="F1816" s="25"/>
      <c r="G1816" s="25"/>
      <c r="H1816" s="25"/>
      <c r="I1816" s="25"/>
      <c r="Q1816" s="21"/>
    </row>
    <row r="1817" spans="2:17" x14ac:dyDescent="0.15">
      <c r="D1817" s="26">
        <f>SUM(D1807:D1815)</f>
        <v>1798</v>
      </c>
      <c r="E1817" s="26">
        <f>SUM(E1807:E1815)</f>
        <v>195</v>
      </c>
      <c r="F1817" s="27">
        <f>E1817/D1817</f>
        <v>0.10845383759733036</v>
      </c>
      <c r="G1817" s="26">
        <f>SUM(G1807:G1814)</f>
        <v>38</v>
      </c>
      <c r="H1817" s="28">
        <f>AVERAGE(Q:Q)</f>
        <v>52.353632419278398</v>
      </c>
      <c r="I1817" s="26">
        <f>G1817/E1817</f>
        <v>0.19487179487179487</v>
      </c>
      <c r="Q1817" s="21"/>
    </row>
    <row r="1818" spans="2:17" x14ac:dyDescent="0.15">
      <c r="I1818" s="26"/>
      <c r="Q1818" s="21"/>
    </row>
    <row r="1819" spans="2:17" x14ac:dyDescent="0.15">
      <c r="Q1819" s="21"/>
    </row>
    <row r="1820" spans="2:17" x14ac:dyDescent="0.15">
      <c r="D1820" t="s">
        <v>4216</v>
      </c>
      <c r="E1820">
        <f>D1817-E1817</f>
        <v>1603</v>
      </c>
      <c r="Q1820" s="21"/>
    </row>
    <row r="1821" spans="2:17" x14ac:dyDescent="0.15">
      <c r="Q1821" s="21"/>
    </row>
    <row r="1822" spans="2:17" x14ac:dyDescent="0.15">
      <c r="D1822" t="s">
        <v>4217</v>
      </c>
      <c r="E1822">
        <f>E1817-G1817</f>
        <v>157</v>
      </c>
      <c r="F1822">
        <f>E1822/E1820</f>
        <v>9.7941359950093579E-2</v>
      </c>
      <c r="Q1822" s="21"/>
    </row>
    <row r="1823" spans="2:17" x14ac:dyDescent="0.15">
      <c r="D1823" t="s">
        <v>4218</v>
      </c>
      <c r="E1823">
        <f>G1817</f>
        <v>38</v>
      </c>
      <c r="F1823">
        <f>E1823/E1820</f>
        <v>2.3705552089831567E-2</v>
      </c>
      <c r="Q1823" s="21"/>
    </row>
    <row r="1824" spans="2:17" x14ac:dyDescent="0.15">
      <c r="Q1824" s="21"/>
    </row>
    <row r="1825" spans="17:17" x14ac:dyDescent="0.15">
      <c r="Q1825" s="21"/>
    </row>
    <row r="1826" spans="17:17" x14ac:dyDescent="0.15">
      <c r="Q1826" s="21"/>
    </row>
    <row r="1827" spans="17:17" x14ac:dyDescent="0.15">
      <c r="Q1827" s="21"/>
    </row>
    <row r="1828" spans="17:17" x14ac:dyDescent="0.15">
      <c r="Q1828" s="21"/>
    </row>
    <row r="1829" spans="17:17" x14ac:dyDescent="0.15">
      <c r="Q1829" s="21"/>
    </row>
    <row r="1830" spans="17:17" x14ac:dyDescent="0.15">
      <c r="Q1830" s="21"/>
    </row>
    <row r="1831" spans="17:17" x14ac:dyDescent="0.15">
      <c r="Q1831" s="21"/>
    </row>
    <row r="1832" spans="17:17" x14ac:dyDescent="0.15">
      <c r="Q1832" s="21"/>
    </row>
    <row r="1833" spans="17:17" x14ac:dyDescent="0.15">
      <c r="Q1833" s="21"/>
    </row>
    <row r="1834" spans="17:17" x14ac:dyDescent="0.15">
      <c r="Q1834" s="21"/>
    </row>
    <row r="1835" spans="17:17" x14ac:dyDescent="0.15">
      <c r="Q1835" s="21"/>
    </row>
    <row r="1836" spans="17:17" x14ac:dyDescent="0.15">
      <c r="Q1836" s="21"/>
    </row>
    <row r="1837" spans="17:17" x14ac:dyDescent="0.15">
      <c r="Q1837" s="21"/>
    </row>
    <row r="1838" spans="17:17" x14ac:dyDescent="0.15">
      <c r="Q1838" s="21"/>
    </row>
    <row r="1839" spans="17:17" x14ac:dyDescent="0.15">
      <c r="Q1839" s="21"/>
    </row>
    <row r="1840" spans="17:17" x14ac:dyDescent="0.15">
      <c r="Q1840" s="21"/>
    </row>
    <row r="1841" spans="1:17" x14ac:dyDescent="0.15">
      <c r="Q1841" s="21"/>
    </row>
    <row r="1842" spans="1:17" x14ac:dyDescent="0.15">
      <c r="Q1842" s="21"/>
    </row>
    <row r="1843" spans="1:17" x14ac:dyDescent="0.15">
      <c r="Q1843" s="21"/>
    </row>
    <row r="1844" spans="1:17" x14ac:dyDescent="0.15">
      <c r="Q1844" s="21"/>
    </row>
    <row r="1845" spans="1:17" x14ac:dyDescent="0.15">
      <c r="Q1845" s="21"/>
    </row>
    <row r="1846" spans="1:17" x14ac:dyDescent="0.15">
      <c r="Q1846" s="21"/>
    </row>
    <row r="1847" spans="1:17" x14ac:dyDescent="0.15">
      <c r="Q1847" s="21"/>
    </row>
    <row r="1848" spans="1:17" x14ac:dyDescent="0.15">
      <c r="Q1848" s="21"/>
    </row>
    <row r="1849" spans="1:17" x14ac:dyDescent="0.15">
      <c r="Q1849" s="21"/>
    </row>
    <row r="1850" spans="1:17" x14ac:dyDescent="0.15">
      <c r="Q1850" s="21"/>
    </row>
    <row r="1851" spans="1:17" x14ac:dyDescent="0.15">
      <c r="Q1851" s="21"/>
    </row>
    <row r="1854" spans="1:17" x14ac:dyDescent="0.15">
      <c r="A1854">
        <v>1</v>
      </c>
      <c r="B1854">
        <v>1</v>
      </c>
      <c r="C1854">
        <v>1</v>
      </c>
      <c r="E1854">
        <v>30</v>
      </c>
    </row>
    <row r="1855" spans="1:17" x14ac:dyDescent="0.15">
      <c r="A1855">
        <v>2</v>
      </c>
      <c r="B1855">
        <v>2</v>
      </c>
      <c r="C1855">
        <v>2</v>
      </c>
      <c r="E1855">
        <v>60</v>
      </c>
    </row>
    <row r="1856" spans="1:17" x14ac:dyDescent="0.15">
      <c r="A1856">
        <v>3</v>
      </c>
      <c r="B1856">
        <v>3</v>
      </c>
      <c r="C1856">
        <v>3</v>
      </c>
      <c r="E1856">
        <v>90</v>
      </c>
    </row>
    <row r="1857" spans="1:5" x14ac:dyDescent="0.15">
      <c r="A1857">
        <v>4</v>
      </c>
      <c r="B1857">
        <v>4</v>
      </c>
      <c r="C1857">
        <v>4</v>
      </c>
      <c r="E1857">
        <v>120</v>
      </c>
    </row>
    <row r="1858" spans="1:5" x14ac:dyDescent="0.15">
      <c r="A1858">
        <v>5</v>
      </c>
      <c r="B1858">
        <v>5</v>
      </c>
      <c r="C1858">
        <v>5</v>
      </c>
      <c r="E1858">
        <v>150</v>
      </c>
    </row>
    <row r="1859" spans="1:5" x14ac:dyDescent="0.15">
      <c r="A1859">
        <v>6</v>
      </c>
      <c r="B1859">
        <v>6</v>
      </c>
      <c r="C1859">
        <v>6</v>
      </c>
      <c r="E1859">
        <v>180</v>
      </c>
    </row>
    <row r="1860" spans="1:5" x14ac:dyDescent="0.15">
      <c r="A1860">
        <v>7</v>
      </c>
      <c r="B1860">
        <v>7</v>
      </c>
      <c r="C1860">
        <v>7</v>
      </c>
      <c r="E1860">
        <f>365*7</f>
        <v>2555</v>
      </c>
    </row>
    <row r="1861" spans="1:5" x14ac:dyDescent="0.15">
      <c r="A1861">
        <v>14</v>
      </c>
      <c r="B1861">
        <v>8</v>
      </c>
      <c r="C1861">
        <v>8</v>
      </c>
    </row>
    <row r="1862" spans="1:5" x14ac:dyDescent="0.15">
      <c r="A1862">
        <v>21</v>
      </c>
      <c r="B1862">
        <v>9</v>
      </c>
      <c r="C1862">
        <v>9</v>
      </c>
    </row>
    <row r="1863" spans="1:5" x14ac:dyDescent="0.15">
      <c r="A1863">
        <v>30</v>
      </c>
      <c r="B1863">
        <v>10</v>
      </c>
      <c r="C1863">
        <v>10</v>
      </c>
    </row>
    <row r="1864" spans="1:5" x14ac:dyDescent="0.15">
      <c r="A1864">
        <v>60</v>
      </c>
      <c r="B1864">
        <v>11</v>
      </c>
      <c r="C1864">
        <v>11</v>
      </c>
    </row>
    <row r="1865" spans="1:5" x14ac:dyDescent="0.15">
      <c r="A1865">
        <v>90</v>
      </c>
      <c r="B1865">
        <v>12</v>
      </c>
      <c r="C1865">
        <v>12</v>
      </c>
    </row>
    <row r="1866" spans="1:5" x14ac:dyDescent="0.15">
      <c r="A1866">
        <v>120</v>
      </c>
      <c r="B1866">
        <v>13</v>
      </c>
      <c r="C1866">
        <v>13</v>
      </c>
      <c r="D1866">
        <v>7</v>
      </c>
    </row>
    <row r="1867" spans="1:5" x14ac:dyDescent="0.15">
      <c r="A1867">
        <v>150</v>
      </c>
      <c r="B1867">
        <v>14</v>
      </c>
      <c r="C1867">
        <v>14</v>
      </c>
      <c r="D1867">
        <v>14</v>
      </c>
    </row>
    <row r="1868" spans="1:5" x14ac:dyDescent="0.15">
      <c r="A1868">
        <v>180</v>
      </c>
      <c r="B1868">
        <v>15</v>
      </c>
      <c r="C1868">
        <v>15</v>
      </c>
      <c r="D1868">
        <v>21</v>
      </c>
    </row>
    <row r="1869" spans="1:5" x14ac:dyDescent="0.15">
      <c r="A1869">
        <v>210</v>
      </c>
      <c r="B1869">
        <v>16</v>
      </c>
      <c r="C1869">
        <v>16</v>
      </c>
      <c r="D1869">
        <v>30</v>
      </c>
    </row>
    <row r="1870" spans="1:5" x14ac:dyDescent="0.15">
      <c r="A1870">
        <v>240</v>
      </c>
      <c r="B1870">
        <v>17</v>
      </c>
      <c r="C1870">
        <v>17</v>
      </c>
      <c r="D1870">
        <v>60</v>
      </c>
    </row>
    <row r="1871" spans="1:5" x14ac:dyDescent="0.15">
      <c r="A1871">
        <v>270</v>
      </c>
      <c r="B1871">
        <v>18</v>
      </c>
      <c r="C1871">
        <v>18</v>
      </c>
      <c r="D1871">
        <v>90</v>
      </c>
    </row>
    <row r="1872" spans="1:5" x14ac:dyDescent="0.15">
      <c r="A1872">
        <v>300</v>
      </c>
      <c r="B1872">
        <v>19</v>
      </c>
      <c r="C1872">
        <v>19</v>
      </c>
      <c r="D1872">
        <v>120</v>
      </c>
    </row>
    <row r="1873" spans="1:4" x14ac:dyDescent="0.15">
      <c r="A1873">
        <v>330</v>
      </c>
      <c r="B1873">
        <v>20</v>
      </c>
      <c r="C1873">
        <v>20</v>
      </c>
      <c r="D1873">
        <v>150</v>
      </c>
    </row>
    <row r="1874" spans="1:4" x14ac:dyDescent="0.15">
      <c r="A1874">
        <v>365</v>
      </c>
      <c r="B1874">
        <v>21</v>
      </c>
      <c r="C1874">
        <v>21</v>
      </c>
      <c r="D1874">
        <v>180</v>
      </c>
    </row>
    <row r="1875" spans="1:4" x14ac:dyDescent="0.15">
      <c r="A1875">
        <f>A1874*2</f>
        <v>730</v>
      </c>
      <c r="B1875">
        <v>22</v>
      </c>
      <c r="C1875">
        <v>22</v>
      </c>
      <c r="D1875">
        <f>365*7</f>
        <v>2555</v>
      </c>
    </row>
    <row r="1876" spans="1:4" x14ac:dyDescent="0.15">
      <c r="A1876">
        <f>365*7</f>
        <v>2555</v>
      </c>
      <c r="B1876">
        <v>23</v>
      </c>
      <c r="C1876">
        <v>23</v>
      </c>
    </row>
    <row r="1877" spans="1:4" x14ac:dyDescent="0.15">
      <c r="B1877">
        <v>24</v>
      </c>
      <c r="C1877">
        <v>24</v>
      </c>
    </row>
    <row r="1878" spans="1:4" x14ac:dyDescent="0.15">
      <c r="B1878">
        <v>25</v>
      </c>
      <c r="C1878">
        <v>25</v>
      </c>
    </row>
    <row r="1879" spans="1:4" x14ac:dyDescent="0.15">
      <c r="B1879">
        <v>26</v>
      </c>
      <c r="C1879">
        <v>26</v>
      </c>
    </row>
    <row r="1880" spans="1:4" x14ac:dyDescent="0.15">
      <c r="B1880">
        <v>27</v>
      </c>
      <c r="C1880">
        <v>27</v>
      </c>
    </row>
    <row r="1881" spans="1:4" x14ac:dyDescent="0.15">
      <c r="A1881">
        <v>1</v>
      </c>
      <c r="B1881">
        <v>28</v>
      </c>
      <c r="C1881">
        <v>28</v>
      </c>
    </row>
    <row r="1882" spans="1:4" x14ac:dyDescent="0.15">
      <c r="A1882">
        <v>2</v>
      </c>
      <c r="B1882">
        <v>29</v>
      </c>
      <c r="C1882">
        <v>29</v>
      </c>
    </row>
    <row r="1883" spans="1:4" x14ac:dyDescent="0.15">
      <c r="A1883">
        <v>3</v>
      </c>
      <c r="B1883">
        <v>30</v>
      </c>
      <c r="C1883">
        <v>30</v>
      </c>
    </row>
    <row r="1884" spans="1:4" x14ac:dyDescent="0.15">
      <c r="A1884">
        <v>4</v>
      </c>
      <c r="C1884">
        <v>60</v>
      </c>
    </row>
    <row r="1885" spans="1:4" x14ac:dyDescent="0.15">
      <c r="A1885">
        <v>5</v>
      </c>
      <c r="C1885">
        <v>90</v>
      </c>
    </row>
    <row r="1886" spans="1:4" x14ac:dyDescent="0.15">
      <c r="A1886">
        <v>6</v>
      </c>
      <c r="C1886">
        <v>120</v>
      </c>
    </row>
    <row r="1887" spans="1:4" x14ac:dyDescent="0.15">
      <c r="A1887">
        <v>7</v>
      </c>
      <c r="C1887">
        <f>365*7</f>
        <v>2555</v>
      </c>
    </row>
    <row r="1888" spans="1:4" x14ac:dyDescent="0.15">
      <c r="A1888">
        <v>14</v>
      </c>
    </row>
    <row r="1889" spans="1:1" x14ac:dyDescent="0.15">
      <c r="A1889">
        <v>21</v>
      </c>
    </row>
    <row r="1890" spans="1:1" x14ac:dyDescent="0.15">
      <c r="A1890">
        <v>30</v>
      </c>
    </row>
    <row r="1891" spans="1:1" x14ac:dyDescent="0.15">
      <c r="A1891">
        <v>60</v>
      </c>
    </row>
    <row r="1892" spans="1:1" x14ac:dyDescent="0.15">
      <c r="A1892">
        <v>90</v>
      </c>
    </row>
    <row r="1893" spans="1:1" x14ac:dyDescent="0.15">
      <c r="A1893">
        <v>120</v>
      </c>
    </row>
    <row r="1894" spans="1:1" x14ac:dyDescent="0.15">
      <c r="A1894">
        <v>150</v>
      </c>
    </row>
    <row r="1895" spans="1:1" x14ac:dyDescent="0.15">
      <c r="A1895">
        <v>180</v>
      </c>
    </row>
    <row r="1896" spans="1:1" x14ac:dyDescent="0.15">
      <c r="A1896">
        <f>365*7</f>
        <v>2555</v>
      </c>
    </row>
  </sheetData>
  <sortState ref="A1:AO1801">
    <sortCondition descending="1" ref="I1:I1801"/>
  </sortState>
  <hyperlinks>
    <hyperlink ref="N811" r:id="rId1"/>
    <hyperlink ref="N738" r:id="rId2"/>
    <hyperlink ref="N332" r:id="rId3"/>
    <hyperlink ref="N7" r:id="rId4"/>
    <hyperlink ref="N50" r:id="rId5"/>
    <hyperlink ref="R50" r:id="rId6"/>
    <hyperlink ref="U50" r:id="rId7"/>
    <hyperlink ref="X50" r:id="rId8"/>
    <hyperlink ref="N125" r:id="rId9"/>
    <hyperlink ref="R125" r:id="rId10"/>
    <hyperlink ref="N204" r:id="rId11"/>
    <hyperlink ref="N925" r:id="rId12"/>
    <hyperlink ref="N251" r:id="rId13"/>
    <hyperlink ref="N913" r:id="rId14"/>
    <hyperlink ref="N1715" r:id="rId15" display="https://bugs.chromium.org/p/chromium/issues/detail?id=46976"/>
    <hyperlink ref="M1558" r:id="rId16" display="https://bugs.chromium.org/p/chromium/issues/detail?id=72937"/>
    <hyperlink ref="N1726" r:id="rId17" display="https://bugs.chromium.org/p/chromium/issues/detail?id=45331"/>
    <hyperlink ref="M1589" r:id="rId18" display="https://bugs.chromium.org/p/chromium/issues/detail?id=68070"/>
    <hyperlink ref="M1687" r:id="rId19" display="https://bugs.chromium.org/p/chromium/issues/detail?id=50713"/>
    <hyperlink ref="M590" r:id="rId20" display="https://bugs.chromium.org/p/chromium/issues/detail?id=407964"/>
    <hyperlink ref="M462" r:id="rId21" display="https://bugs.chromium.org/p/chromium/issues/detail?id=4497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tabSelected="1" topLeftCell="A11" zoomScale="75" workbookViewId="0">
      <selection activeCell="F54" sqref="F54"/>
    </sheetView>
  </sheetViews>
  <sheetFormatPr baseColWidth="10" defaultRowHeight="13" x14ac:dyDescent="0.15"/>
  <cols>
    <col min="10" max="10" width="12.33203125" bestFit="1" customWidth="1"/>
  </cols>
  <sheetData>
    <row r="1" spans="1:9" x14ac:dyDescent="0.15">
      <c r="A1" s="36" t="s">
        <v>4227</v>
      </c>
      <c r="B1" s="32"/>
      <c r="F1" s="36" t="s">
        <v>4228</v>
      </c>
      <c r="G1" s="32"/>
    </row>
    <row r="2" spans="1:9" x14ac:dyDescent="0.15">
      <c r="A2" s="29" t="s">
        <v>4211</v>
      </c>
      <c r="B2" s="30">
        <v>65</v>
      </c>
      <c r="C2">
        <f>B2</f>
        <v>65</v>
      </c>
      <c r="D2" s="11">
        <f>C2/C$11</f>
        <v>0.33333333333333331</v>
      </c>
      <c r="F2" s="29" t="s">
        <v>4211</v>
      </c>
      <c r="G2" s="30">
        <v>65</v>
      </c>
      <c r="H2">
        <f>G2</f>
        <v>65</v>
      </c>
      <c r="I2" s="11">
        <f>H2/C$14</f>
        <v>3.6151279199110126E-2</v>
      </c>
    </row>
    <row r="3" spans="1:9" x14ac:dyDescent="0.15">
      <c r="A3" s="29">
        <v>14</v>
      </c>
      <c r="B3" s="30">
        <v>31</v>
      </c>
      <c r="C3">
        <f>C2+B3</f>
        <v>96</v>
      </c>
      <c r="D3" s="11">
        <f t="shared" ref="D3:D11" si="0">C3/C$11</f>
        <v>0.49230769230769234</v>
      </c>
      <c r="F3" s="29">
        <v>14</v>
      </c>
      <c r="G3" s="30">
        <v>31</v>
      </c>
      <c r="H3">
        <f>H2+G3</f>
        <v>96</v>
      </c>
      <c r="I3" s="11">
        <f t="shared" ref="I3:I11" si="1">H3/C$14</f>
        <v>5.3392658509454953E-2</v>
      </c>
    </row>
    <row r="4" spans="1:9" x14ac:dyDescent="0.15">
      <c r="A4" s="29">
        <v>21</v>
      </c>
      <c r="B4" s="30">
        <v>24</v>
      </c>
      <c r="C4">
        <f t="shared" ref="C4:C11" si="2">C3+B4</f>
        <v>120</v>
      </c>
      <c r="D4" s="11">
        <f t="shared" si="0"/>
        <v>0.61538461538461542</v>
      </c>
      <c r="F4" s="29">
        <v>21</v>
      </c>
      <c r="G4" s="30">
        <v>24</v>
      </c>
      <c r="H4">
        <f t="shared" ref="H4:H11" si="3">H3+G4</f>
        <v>120</v>
      </c>
      <c r="I4" s="11">
        <f t="shared" si="1"/>
        <v>6.6740823136818686E-2</v>
      </c>
    </row>
    <row r="5" spans="1:9" x14ac:dyDescent="0.15">
      <c r="A5" s="29" t="s">
        <v>4212</v>
      </c>
      <c r="B5" s="30">
        <v>13</v>
      </c>
      <c r="C5">
        <f t="shared" si="2"/>
        <v>133</v>
      </c>
      <c r="D5" s="11">
        <f t="shared" si="0"/>
        <v>0.68205128205128207</v>
      </c>
      <c r="F5" s="29" t="s">
        <v>4212</v>
      </c>
      <c r="G5" s="30">
        <v>13</v>
      </c>
      <c r="H5">
        <f t="shared" si="3"/>
        <v>133</v>
      </c>
      <c r="I5" s="11">
        <f t="shared" si="1"/>
        <v>7.3971078976640708E-2</v>
      </c>
    </row>
    <row r="6" spans="1:9" x14ac:dyDescent="0.15">
      <c r="A6" s="29">
        <v>2</v>
      </c>
      <c r="B6" s="30">
        <v>24</v>
      </c>
      <c r="C6">
        <f t="shared" si="2"/>
        <v>157</v>
      </c>
      <c r="D6" s="11">
        <f t="shared" si="0"/>
        <v>0.80512820512820515</v>
      </c>
      <c r="F6" s="29">
        <v>2</v>
      </c>
      <c r="G6" s="30">
        <v>24</v>
      </c>
      <c r="H6">
        <f t="shared" si="3"/>
        <v>157</v>
      </c>
      <c r="I6" s="11">
        <f t="shared" si="1"/>
        <v>8.7319243604004448E-2</v>
      </c>
    </row>
    <row r="7" spans="1:9" x14ac:dyDescent="0.15">
      <c r="A7" s="29">
        <v>3</v>
      </c>
      <c r="B7" s="30">
        <v>14</v>
      </c>
      <c r="C7">
        <f t="shared" si="2"/>
        <v>171</v>
      </c>
      <c r="D7" s="11">
        <f t="shared" si="0"/>
        <v>0.87692307692307692</v>
      </c>
      <c r="F7" s="29">
        <v>3</v>
      </c>
      <c r="G7" s="30">
        <v>14</v>
      </c>
      <c r="H7">
        <f t="shared" si="3"/>
        <v>171</v>
      </c>
      <c r="I7" s="11">
        <f t="shared" si="1"/>
        <v>9.5105672969966623E-2</v>
      </c>
    </row>
    <row r="8" spans="1:9" x14ac:dyDescent="0.15">
      <c r="A8" s="29">
        <v>4</v>
      </c>
      <c r="B8" s="30">
        <v>4</v>
      </c>
      <c r="C8">
        <f t="shared" si="2"/>
        <v>175</v>
      </c>
      <c r="D8" s="11">
        <f t="shared" si="0"/>
        <v>0.89743589743589747</v>
      </c>
      <c r="F8" s="29">
        <v>4</v>
      </c>
      <c r="G8" s="30">
        <v>4</v>
      </c>
      <c r="H8">
        <f t="shared" si="3"/>
        <v>175</v>
      </c>
      <c r="I8" s="11">
        <f t="shared" si="1"/>
        <v>9.7330367074527246E-2</v>
      </c>
    </row>
    <row r="9" spans="1:9" x14ac:dyDescent="0.15">
      <c r="A9" s="29">
        <v>5</v>
      </c>
      <c r="B9" s="30">
        <v>8</v>
      </c>
      <c r="C9">
        <f t="shared" si="2"/>
        <v>183</v>
      </c>
      <c r="D9" s="11">
        <f t="shared" si="0"/>
        <v>0.93846153846153846</v>
      </c>
      <c r="F9" s="29">
        <v>5</v>
      </c>
      <c r="G9" s="30">
        <v>8</v>
      </c>
      <c r="H9">
        <f t="shared" si="3"/>
        <v>183</v>
      </c>
      <c r="I9" s="11">
        <f t="shared" si="1"/>
        <v>0.10177975528364849</v>
      </c>
    </row>
    <row r="10" spans="1:9" x14ac:dyDescent="0.15">
      <c r="A10" s="29">
        <v>6</v>
      </c>
      <c r="B10" s="30">
        <v>2</v>
      </c>
      <c r="C10">
        <f t="shared" si="2"/>
        <v>185</v>
      </c>
      <c r="D10" s="11">
        <f t="shared" si="0"/>
        <v>0.94871794871794868</v>
      </c>
      <c r="F10" s="29">
        <v>6</v>
      </c>
      <c r="G10" s="30">
        <v>2</v>
      </c>
      <c r="H10">
        <f t="shared" si="3"/>
        <v>185</v>
      </c>
      <c r="I10" s="11">
        <f t="shared" si="1"/>
        <v>0.10289210233592881</v>
      </c>
    </row>
    <row r="11" spans="1:9" x14ac:dyDescent="0.15">
      <c r="A11" s="29" t="s">
        <v>4214</v>
      </c>
      <c r="B11" s="30">
        <v>10</v>
      </c>
      <c r="C11">
        <f t="shared" si="2"/>
        <v>195</v>
      </c>
      <c r="D11" s="11">
        <f t="shared" si="0"/>
        <v>1</v>
      </c>
      <c r="F11" s="29" t="s">
        <v>4214</v>
      </c>
      <c r="G11" s="30">
        <v>10</v>
      </c>
      <c r="H11">
        <f t="shared" si="3"/>
        <v>195</v>
      </c>
      <c r="I11" s="11">
        <f t="shared" si="1"/>
        <v>0.10845383759733036</v>
      </c>
    </row>
    <row r="12" spans="1:9" ht="14" thickBot="1" x14ac:dyDescent="0.2">
      <c r="A12" s="31" t="s">
        <v>4203</v>
      </c>
      <c r="B12" s="31">
        <v>0</v>
      </c>
      <c r="F12" s="31" t="s">
        <v>4203</v>
      </c>
      <c r="G12" s="31">
        <v>0</v>
      </c>
    </row>
    <row r="14" spans="1:9" x14ac:dyDescent="0.15">
      <c r="B14" s="36" t="s">
        <v>4225</v>
      </c>
      <c r="C14" s="36">
        <v>1798</v>
      </c>
    </row>
    <row r="17" spans="1:9" x14ac:dyDescent="0.15">
      <c r="A17" s="36" t="s">
        <v>4227</v>
      </c>
      <c r="F17" s="36" t="s">
        <v>4228</v>
      </c>
    </row>
    <row r="18" spans="1:9" x14ac:dyDescent="0.15">
      <c r="A18" s="29" t="s">
        <v>4215</v>
      </c>
      <c r="B18" s="30">
        <v>21</v>
      </c>
      <c r="C18">
        <f>B18</f>
        <v>21</v>
      </c>
      <c r="D18" s="11">
        <f>C18/C$33</f>
        <v>0.1076923076923077</v>
      </c>
      <c r="F18" s="29" t="s">
        <v>4215</v>
      </c>
      <c r="G18" s="30">
        <v>21</v>
      </c>
      <c r="H18">
        <f>G18</f>
        <v>21</v>
      </c>
      <c r="I18" s="11">
        <f>H18/C$14</f>
        <v>1.1679644048943271E-2</v>
      </c>
    </row>
    <row r="19" spans="1:9" x14ac:dyDescent="0.15">
      <c r="A19" s="29">
        <v>2</v>
      </c>
      <c r="B19" s="30">
        <v>8</v>
      </c>
      <c r="C19">
        <f>C18+B19</f>
        <v>29</v>
      </c>
      <c r="D19" s="11">
        <f t="shared" ref="D19:D33" si="4">C19/C$33</f>
        <v>0.14871794871794872</v>
      </c>
      <c r="F19" s="29">
        <v>2</v>
      </c>
      <c r="G19" s="30">
        <v>8</v>
      </c>
      <c r="H19">
        <f>H18+G19</f>
        <v>29</v>
      </c>
      <c r="I19" s="11">
        <f t="shared" ref="I19:I33" si="5">H19/C$14</f>
        <v>1.6129032258064516E-2</v>
      </c>
    </row>
    <row r="20" spans="1:9" x14ac:dyDescent="0.15">
      <c r="A20" s="29">
        <v>3</v>
      </c>
      <c r="B20" s="30">
        <v>10</v>
      </c>
      <c r="C20">
        <f t="shared" ref="C20:C24" si="6">C19+B20</f>
        <v>39</v>
      </c>
      <c r="D20" s="11">
        <f t="shared" si="4"/>
        <v>0.2</v>
      </c>
      <c r="F20" s="29">
        <v>3</v>
      </c>
      <c r="G20" s="30">
        <v>10</v>
      </c>
      <c r="H20">
        <f t="shared" ref="H20:H24" si="7">H19+G20</f>
        <v>39</v>
      </c>
      <c r="I20" s="11">
        <f t="shared" si="5"/>
        <v>2.1690767519466074E-2</v>
      </c>
    </row>
    <row r="21" spans="1:9" x14ac:dyDescent="0.15">
      <c r="A21" s="29">
        <v>4</v>
      </c>
      <c r="B21" s="30">
        <v>11</v>
      </c>
      <c r="C21">
        <f t="shared" si="6"/>
        <v>50</v>
      </c>
      <c r="D21" s="11">
        <f t="shared" si="4"/>
        <v>0.25641025641025639</v>
      </c>
      <c r="F21" s="29">
        <v>4</v>
      </c>
      <c r="G21" s="30">
        <v>11</v>
      </c>
      <c r="H21">
        <f t="shared" si="7"/>
        <v>50</v>
      </c>
      <c r="I21" s="11">
        <f t="shared" si="5"/>
        <v>2.7808676307007785E-2</v>
      </c>
    </row>
    <row r="22" spans="1:9" x14ac:dyDescent="0.15">
      <c r="A22" s="29">
        <v>5</v>
      </c>
      <c r="B22" s="30">
        <v>6</v>
      </c>
      <c r="C22">
        <f t="shared" si="6"/>
        <v>56</v>
      </c>
      <c r="D22" s="11">
        <f t="shared" si="4"/>
        <v>0.28717948717948716</v>
      </c>
      <c r="F22" s="29">
        <v>5</v>
      </c>
      <c r="G22" s="30">
        <v>6</v>
      </c>
      <c r="H22">
        <f t="shared" si="7"/>
        <v>56</v>
      </c>
      <c r="I22" s="11">
        <f t="shared" si="5"/>
        <v>3.114571746384872E-2</v>
      </c>
    </row>
    <row r="23" spans="1:9" x14ac:dyDescent="0.15">
      <c r="A23" s="29">
        <v>6</v>
      </c>
      <c r="B23" s="30">
        <v>4</v>
      </c>
      <c r="C23">
        <f t="shared" si="6"/>
        <v>60</v>
      </c>
      <c r="D23" s="11">
        <f t="shared" si="4"/>
        <v>0.30769230769230771</v>
      </c>
      <c r="F23" s="29">
        <v>6</v>
      </c>
      <c r="G23" s="30">
        <v>4</v>
      </c>
      <c r="H23">
        <f t="shared" si="7"/>
        <v>60</v>
      </c>
      <c r="I23" s="11">
        <f t="shared" si="5"/>
        <v>3.3370411568409343E-2</v>
      </c>
    </row>
    <row r="24" spans="1:9" x14ac:dyDescent="0.15">
      <c r="A24" s="29">
        <v>7</v>
      </c>
      <c r="B24" s="30">
        <v>5</v>
      </c>
      <c r="C24">
        <f t="shared" si="6"/>
        <v>65</v>
      </c>
      <c r="D24" s="11">
        <f t="shared" si="4"/>
        <v>0.33333333333333331</v>
      </c>
      <c r="F24" s="29">
        <v>7</v>
      </c>
      <c r="G24" s="30">
        <v>5</v>
      </c>
      <c r="H24">
        <f t="shared" si="7"/>
        <v>65</v>
      </c>
      <c r="I24" s="11">
        <f t="shared" si="5"/>
        <v>3.6151279199110126E-2</v>
      </c>
    </row>
    <row r="25" spans="1:9" x14ac:dyDescent="0.15">
      <c r="A25" s="29">
        <v>14</v>
      </c>
      <c r="B25" s="30">
        <v>31</v>
      </c>
      <c r="C25">
        <f>C24+B25</f>
        <v>96</v>
      </c>
      <c r="D25" s="11">
        <f t="shared" si="4"/>
        <v>0.49230769230769234</v>
      </c>
      <c r="F25" s="29">
        <v>14</v>
      </c>
      <c r="G25" s="30">
        <v>31</v>
      </c>
      <c r="H25">
        <f>H24+G25</f>
        <v>96</v>
      </c>
      <c r="I25" s="11">
        <f t="shared" si="5"/>
        <v>5.3392658509454953E-2</v>
      </c>
    </row>
    <row r="26" spans="1:9" x14ac:dyDescent="0.15">
      <c r="A26" s="29">
        <v>21</v>
      </c>
      <c r="B26" s="30">
        <v>24</v>
      </c>
      <c r="C26">
        <f t="shared" ref="C26:C33" si="8">C25+B26</f>
        <v>120</v>
      </c>
      <c r="D26" s="11">
        <f t="shared" si="4"/>
        <v>0.61538461538461542</v>
      </c>
      <c r="F26" s="29">
        <v>21</v>
      </c>
      <c r="G26" s="30">
        <v>24</v>
      </c>
      <c r="H26">
        <f t="shared" ref="H26:H33" si="9">H25+G26</f>
        <v>120</v>
      </c>
      <c r="I26" s="11">
        <f t="shared" si="5"/>
        <v>6.6740823136818686E-2</v>
      </c>
    </row>
    <row r="27" spans="1:9" x14ac:dyDescent="0.15">
      <c r="A27" s="29" t="s">
        <v>4212</v>
      </c>
      <c r="B27" s="30">
        <v>13</v>
      </c>
      <c r="C27">
        <f t="shared" si="8"/>
        <v>133</v>
      </c>
      <c r="D27" s="11">
        <f t="shared" si="4"/>
        <v>0.68205128205128207</v>
      </c>
      <c r="F27" s="29" t="s">
        <v>4212</v>
      </c>
      <c r="G27" s="30">
        <v>13</v>
      </c>
      <c r="H27">
        <f t="shared" si="9"/>
        <v>133</v>
      </c>
      <c r="I27" s="11">
        <f t="shared" si="5"/>
        <v>7.3971078976640708E-2</v>
      </c>
    </row>
    <row r="28" spans="1:9" x14ac:dyDescent="0.15">
      <c r="A28" s="29">
        <v>2</v>
      </c>
      <c r="B28" s="30">
        <v>24</v>
      </c>
      <c r="C28">
        <f t="shared" si="8"/>
        <v>157</v>
      </c>
      <c r="D28" s="11">
        <f t="shared" si="4"/>
        <v>0.80512820512820515</v>
      </c>
      <c r="F28" s="29">
        <v>2</v>
      </c>
      <c r="G28" s="30">
        <v>24</v>
      </c>
      <c r="H28">
        <f t="shared" si="9"/>
        <v>157</v>
      </c>
      <c r="I28" s="11">
        <f t="shared" si="5"/>
        <v>8.7319243604004448E-2</v>
      </c>
    </row>
    <row r="29" spans="1:9" x14ac:dyDescent="0.15">
      <c r="A29" s="29">
        <v>3</v>
      </c>
      <c r="B29" s="30">
        <v>14</v>
      </c>
      <c r="C29">
        <f t="shared" si="8"/>
        <v>171</v>
      </c>
      <c r="D29" s="11">
        <f t="shared" si="4"/>
        <v>0.87692307692307692</v>
      </c>
      <c r="F29" s="29">
        <v>3</v>
      </c>
      <c r="G29" s="30">
        <v>14</v>
      </c>
      <c r="H29">
        <f t="shared" si="9"/>
        <v>171</v>
      </c>
      <c r="I29" s="11">
        <f t="shared" si="5"/>
        <v>9.5105672969966623E-2</v>
      </c>
    </row>
    <row r="30" spans="1:9" x14ac:dyDescent="0.15">
      <c r="A30" s="29">
        <v>4</v>
      </c>
      <c r="B30" s="30">
        <v>4</v>
      </c>
      <c r="C30">
        <f t="shared" si="8"/>
        <v>175</v>
      </c>
      <c r="D30" s="11">
        <f t="shared" si="4"/>
        <v>0.89743589743589747</v>
      </c>
      <c r="F30" s="29">
        <v>4</v>
      </c>
      <c r="G30" s="30">
        <v>4</v>
      </c>
      <c r="H30">
        <f t="shared" si="9"/>
        <v>175</v>
      </c>
      <c r="I30" s="11">
        <f t="shared" si="5"/>
        <v>9.7330367074527246E-2</v>
      </c>
    </row>
    <row r="31" spans="1:9" x14ac:dyDescent="0.15">
      <c r="A31" s="29">
        <v>5</v>
      </c>
      <c r="B31" s="30">
        <v>8</v>
      </c>
      <c r="C31">
        <f t="shared" si="8"/>
        <v>183</v>
      </c>
      <c r="D31" s="11">
        <f t="shared" si="4"/>
        <v>0.93846153846153846</v>
      </c>
      <c r="F31" s="29">
        <v>5</v>
      </c>
      <c r="G31" s="30">
        <v>8</v>
      </c>
      <c r="H31">
        <f t="shared" si="9"/>
        <v>183</v>
      </c>
      <c r="I31" s="11">
        <f t="shared" si="5"/>
        <v>0.10177975528364849</v>
      </c>
    </row>
    <row r="32" spans="1:9" x14ac:dyDescent="0.15">
      <c r="A32" s="29">
        <v>6</v>
      </c>
      <c r="B32" s="30">
        <v>2</v>
      </c>
      <c r="C32">
        <f t="shared" si="8"/>
        <v>185</v>
      </c>
      <c r="D32" s="11">
        <f t="shared" si="4"/>
        <v>0.94871794871794868</v>
      </c>
      <c r="F32" s="29">
        <v>6</v>
      </c>
      <c r="G32" s="30">
        <v>2</v>
      </c>
      <c r="H32">
        <f t="shared" si="9"/>
        <v>185</v>
      </c>
      <c r="I32" s="11">
        <f t="shared" si="5"/>
        <v>0.10289210233592881</v>
      </c>
    </row>
    <row r="33" spans="1:9" x14ac:dyDescent="0.15">
      <c r="A33" s="29" t="s">
        <v>4214</v>
      </c>
      <c r="B33" s="30">
        <v>10</v>
      </c>
      <c r="C33">
        <f t="shared" si="8"/>
        <v>195</v>
      </c>
      <c r="D33" s="11">
        <f t="shared" si="4"/>
        <v>1</v>
      </c>
      <c r="F33" s="29" t="s">
        <v>4214</v>
      </c>
      <c r="G33" s="30">
        <v>10</v>
      </c>
      <c r="H33">
        <f t="shared" si="9"/>
        <v>195</v>
      </c>
      <c r="I33" s="11">
        <f t="shared" si="5"/>
        <v>0.10845383759733036</v>
      </c>
    </row>
    <row r="36" spans="1:9" x14ac:dyDescent="0.15">
      <c r="A36" s="36" t="s">
        <v>4220</v>
      </c>
      <c r="F36" s="36" t="s">
        <v>4230</v>
      </c>
    </row>
    <row r="37" spans="1:9" x14ac:dyDescent="0.15">
      <c r="A37" s="36"/>
      <c r="B37" t="s">
        <v>4223</v>
      </c>
      <c r="C37" t="s">
        <v>4224</v>
      </c>
    </row>
    <row r="38" spans="1:9" ht="16" x14ac:dyDescent="0.15">
      <c r="A38" s="41" t="s">
        <v>4219</v>
      </c>
      <c r="B38" s="34">
        <v>5.6800000000000003E-2</v>
      </c>
      <c r="C38" s="40">
        <f>C48/E43</f>
        <v>5.6818181818181816E-2</v>
      </c>
      <c r="D38" s="35"/>
      <c r="E38" s="35"/>
      <c r="F38" s="29" t="s">
        <v>4219</v>
      </c>
      <c r="G38" s="30">
        <v>120</v>
      </c>
      <c r="H38">
        <f>G38</f>
        <v>120</v>
      </c>
      <c r="I38" s="11">
        <f>H38/C$14</f>
        <v>6.6740823136818686E-2</v>
      </c>
    </row>
    <row r="39" spans="1:9" ht="16" x14ac:dyDescent="0.15">
      <c r="A39" s="42">
        <v>1</v>
      </c>
      <c r="B39" s="35">
        <v>0.13919999999999999</v>
      </c>
      <c r="C39" s="11">
        <f>C49/E$43</f>
        <v>0.13920454545454544</v>
      </c>
      <c r="F39" s="29" t="s">
        <v>4212</v>
      </c>
      <c r="G39" s="30">
        <v>13</v>
      </c>
      <c r="H39">
        <f>H38+G39</f>
        <v>133</v>
      </c>
      <c r="I39" s="11">
        <f>H39/C$14</f>
        <v>7.3971078976640708E-2</v>
      </c>
    </row>
    <row r="40" spans="1:9" ht="16" x14ac:dyDescent="0.15">
      <c r="A40" s="42">
        <v>2</v>
      </c>
      <c r="B40" s="35">
        <v>0.1903</v>
      </c>
      <c r="C40" s="11">
        <f>C50/E$43</f>
        <v>0.19034090909090909</v>
      </c>
      <c r="F40" s="29">
        <v>2</v>
      </c>
      <c r="G40" s="30">
        <v>24</v>
      </c>
      <c r="H40">
        <f t="shared" ref="H40:H44" si="10">H39+G40</f>
        <v>157</v>
      </c>
      <c r="I40" s="11">
        <f t="shared" ref="I40:I44" si="11">H40/C$14</f>
        <v>8.7319243604004448E-2</v>
      </c>
    </row>
    <row r="41" spans="1:9" ht="16" x14ac:dyDescent="0.15">
      <c r="A41" s="42">
        <v>3</v>
      </c>
      <c r="B41" s="35">
        <v>0.20169999999999999</v>
      </c>
      <c r="C41" s="11">
        <f t="shared" ref="C41:C43" si="12">C51/E$43</f>
        <v>0.20170454545454544</v>
      </c>
      <c r="F41" s="29">
        <v>3</v>
      </c>
      <c r="G41" s="30">
        <v>14</v>
      </c>
      <c r="H41">
        <f t="shared" si="10"/>
        <v>171</v>
      </c>
      <c r="I41" s="11">
        <f t="shared" si="11"/>
        <v>9.5105672969966623E-2</v>
      </c>
    </row>
    <row r="42" spans="1:9" ht="16" x14ac:dyDescent="0.15">
      <c r="A42" s="42">
        <v>4</v>
      </c>
      <c r="B42" s="35">
        <v>0.2102</v>
      </c>
      <c r="C42" s="11">
        <f t="shared" si="12"/>
        <v>0.21022727272727273</v>
      </c>
      <c r="F42" s="29">
        <v>4</v>
      </c>
      <c r="G42" s="30">
        <v>4</v>
      </c>
      <c r="H42">
        <f t="shared" si="10"/>
        <v>175</v>
      </c>
      <c r="I42" s="11">
        <f t="shared" si="11"/>
        <v>9.7330367074527246E-2</v>
      </c>
    </row>
    <row r="43" spans="1:9" ht="16" x14ac:dyDescent="0.15">
      <c r="A43" s="42">
        <v>5</v>
      </c>
      <c r="B43" s="35">
        <v>0.21310000000000001</v>
      </c>
      <c r="C43" s="11">
        <f t="shared" si="12"/>
        <v>0.21306818181818182</v>
      </c>
      <c r="E43">
        <v>352</v>
      </c>
      <c r="F43" s="29">
        <v>5</v>
      </c>
      <c r="G43" s="30">
        <v>8</v>
      </c>
      <c r="H43">
        <f t="shared" si="10"/>
        <v>183</v>
      </c>
      <c r="I43" s="11">
        <f t="shared" si="11"/>
        <v>0.10177975528364849</v>
      </c>
    </row>
    <row r="44" spans="1:9" ht="16" x14ac:dyDescent="0.15">
      <c r="A44" s="43">
        <v>6</v>
      </c>
      <c r="C44" s="11">
        <f>C54/E$43</f>
        <v>0.21590909090909091</v>
      </c>
      <c r="F44" s="29">
        <v>6</v>
      </c>
      <c r="G44" s="30">
        <v>2</v>
      </c>
      <c r="H44">
        <f t="shared" si="10"/>
        <v>185</v>
      </c>
      <c r="I44" s="11">
        <f t="shared" si="11"/>
        <v>0.10289210233592881</v>
      </c>
    </row>
    <row r="45" spans="1:9" x14ac:dyDescent="0.15">
      <c r="A45" s="33"/>
      <c r="D45" s="11"/>
      <c r="F45" s="29"/>
      <c r="G45" s="30"/>
      <c r="I45" s="11"/>
    </row>
    <row r="46" spans="1:9" ht="14" thickBot="1" x14ac:dyDescent="0.2">
      <c r="A46" s="36" t="s">
        <v>4221</v>
      </c>
      <c r="F46" s="31" t="s">
        <v>4203</v>
      </c>
      <c r="G46" s="31">
        <v>0</v>
      </c>
    </row>
    <row r="47" spans="1:9" ht="16" x14ac:dyDescent="0.2">
      <c r="A47" s="37" t="s">
        <v>4202</v>
      </c>
      <c r="B47" s="37" t="s">
        <v>4204</v>
      </c>
    </row>
    <row r="48" spans="1:9" x14ac:dyDescent="0.15">
      <c r="A48" s="29">
        <v>0</v>
      </c>
      <c r="B48" s="30">
        <v>20</v>
      </c>
      <c r="C48">
        <f>B48</f>
        <v>20</v>
      </c>
      <c r="D48" s="11">
        <f>C48/C$56</f>
        <v>0.25974025974025972</v>
      </c>
    </row>
    <row r="49" spans="1:7" x14ac:dyDescent="0.15">
      <c r="A49" s="29">
        <v>1</v>
      </c>
      <c r="B49" s="30">
        <v>29</v>
      </c>
      <c r="C49">
        <f>C48+B49</f>
        <v>49</v>
      </c>
      <c r="D49" s="11">
        <f t="shared" ref="D49:D56" si="13">C49/C$56</f>
        <v>0.63636363636363635</v>
      </c>
      <c r="G49">
        <f>SUM(G38:G38)</f>
        <v>120</v>
      </c>
    </row>
    <row r="50" spans="1:7" x14ac:dyDescent="0.15">
      <c r="A50" s="29">
        <v>2</v>
      </c>
      <c r="B50" s="30">
        <v>18</v>
      </c>
      <c r="C50">
        <f t="shared" ref="C50:C54" si="14">C49+B50</f>
        <v>67</v>
      </c>
      <c r="D50" s="11">
        <f t="shared" si="13"/>
        <v>0.87012987012987009</v>
      </c>
    </row>
    <row r="51" spans="1:7" x14ac:dyDescent="0.15">
      <c r="A51" s="29">
        <v>3</v>
      </c>
      <c r="B51" s="30">
        <v>4</v>
      </c>
      <c r="C51">
        <f t="shared" si="14"/>
        <v>71</v>
      </c>
      <c r="D51" s="11">
        <f t="shared" si="13"/>
        <v>0.92207792207792205</v>
      </c>
    </row>
    <row r="52" spans="1:7" x14ac:dyDescent="0.15">
      <c r="A52" s="29">
        <v>4</v>
      </c>
      <c r="B52" s="30">
        <v>3</v>
      </c>
      <c r="C52">
        <f t="shared" si="14"/>
        <v>74</v>
      </c>
      <c r="D52" s="11">
        <f t="shared" si="13"/>
        <v>0.96103896103896103</v>
      </c>
    </row>
    <row r="53" spans="1:7" x14ac:dyDescent="0.15">
      <c r="A53" s="29">
        <v>5</v>
      </c>
      <c r="B53" s="30">
        <v>1</v>
      </c>
      <c r="C53">
        <f t="shared" si="14"/>
        <v>75</v>
      </c>
      <c r="D53" s="11">
        <f t="shared" si="13"/>
        <v>0.97402597402597402</v>
      </c>
    </row>
    <row r="54" spans="1:7" x14ac:dyDescent="0.15">
      <c r="A54" s="29">
        <v>6</v>
      </c>
      <c r="B54" s="30">
        <v>1</v>
      </c>
      <c r="C54">
        <f t="shared" si="14"/>
        <v>76</v>
      </c>
      <c r="D54" s="11">
        <f t="shared" si="13"/>
        <v>0.98701298701298701</v>
      </c>
      <c r="F54">
        <f>AVERAGE(20*0,29*1,18*2)</f>
        <v>21.666666666666668</v>
      </c>
    </row>
    <row r="55" spans="1:7" x14ac:dyDescent="0.15">
      <c r="A55" s="29">
        <v>7</v>
      </c>
      <c r="B55" s="30">
        <v>0</v>
      </c>
      <c r="C55">
        <f>C54+B55</f>
        <v>76</v>
      </c>
      <c r="D55" s="11">
        <f t="shared" si="13"/>
        <v>0.98701298701298701</v>
      </c>
    </row>
    <row r="56" spans="1:7" x14ac:dyDescent="0.15">
      <c r="A56" s="29">
        <v>8</v>
      </c>
      <c r="B56" s="30">
        <v>1</v>
      </c>
      <c r="C56">
        <f t="shared" ref="C56" si="15">C55+B56</f>
        <v>77</v>
      </c>
      <c r="D56" s="11">
        <f t="shared" si="13"/>
        <v>1</v>
      </c>
    </row>
    <row r="57" spans="1:7" ht="14" thickBot="1" x14ac:dyDescent="0.2">
      <c r="A57" s="31" t="s">
        <v>4203</v>
      </c>
      <c r="B57" s="31">
        <v>0</v>
      </c>
    </row>
    <row r="66" spans="1:4" ht="14" thickBot="1" x14ac:dyDescent="0.2">
      <c r="A66" t="s">
        <v>4226</v>
      </c>
    </row>
    <row r="67" spans="1:4" x14ac:dyDescent="0.15">
      <c r="A67" s="38" t="s">
        <v>4210</v>
      </c>
      <c r="B67" s="38" t="s">
        <v>4204</v>
      </c>
    </row>
    <row r="68" spans="1:4" x14ac:dyDescent="0.15">
      <c r="A68">
        <v>1</v>
      </c>
      <c r="B68">
        <v>124</v>
      </c>
      <c r="C68">
        <v>124</v>
      </c>
      <c r="D68" s="11">
        <f>C68/C$14</f>
        <v>6.8965517241379309E-2</v>
      </c>
    </row>
    <row r="69" spans="1:4" x14ac:dyDescent="0.15">
      <c r="A69">
        <v>2</v>
      </c>
      <c r="B69">
        <v>23</v>
      </c>
      <c r="C69">
        <v>147</v>
      </c>
      <c r="D69" s="11">
        <f t="shared" ref="D69:D74" si="16">C69/C$14</f>
        <v>8.1757508342602897E-2</v>
      </c>
    </row>
    <row r="70" spans="1:4" x14ac:dyDescent="0.15">
      <c r="A70">
        <v>3</v>
      </c>
      <c r="B70">
        <v>14</v>
      </c>
      <c r="C70">
        <v>161</v>
      </c>
      <c r="D70" s="11">
        <f t="shared" si="16"/>
        <v>8.9543937708565072E-2</v>
      </c>
    </row>
    <row r="71" spans="1:4" x14ac:dyDescent="0.15">
      <c r="A71">
        <v>4</v>
      </c>
      <c r="B71">
        <v>4</v>
      </c>
      <c r="C71">
        <v>165</v>
      </c>
      <c r="D71" s="11">
        <f t="shared" si="16"/>
        <v>9.1768631813125695E-2</v>
      </c>
    </row>
    <row r="72" spans="1:4" x14ac:dyDescent="0.15">
      <c r="A72">
        <v>5</v>
      </c>
      <c r="B72">
        <v>8</v>
      </c>
      <c r="C72">
        <v>173</v>
      </c>
      <c r="D72" s="11">
        <f t="shared" si="16"/>
        <v>9.6218020022246942E-2</v>
      </c>
    </row>
    <row r="73" spans="1:4" x14ac:dyDescent="0.15">
      <c r="A73">
        <v>6</v>
      </c>
      <c r="B73">
        <v>1</v>
      </c>
      <c r="C73">
        <v>174</v>
      </c>
      <c r="D73" s="11">
        <f t="shared" si="16"/>
        <v>9.6774193548387094E-2</v>
      </c>
    </row>
    <row r="74" spans="1:4" x14ac:dyDescent="0.15">
      <c r="A74" t="s">
        <v>4229</v>
      </c>
      <c r="B74">
        <v>9</v>
      </c>
      <c r="C74">
        <v>183</v>
      </c>
      <c r="D74" s="11">
        <f t="shared" si="16"/>
        <v>0.10177975528364849</v>
      </c>
    </row>
    <row r="75" spans="1:4" ht="14" thickBot="1" x14ac:dyDescent="0.2">
      <c r="A75" s="39" t="s">
        <v>4203</v>
      </c>
      <c r="B75" s="39">
        <v>0</v>
      </c>
    </row>
    <row r="83" spans="1:11" ht="16" x14ac:dyDescent="0.15">
      <c r="B83" s="52"/>
      <c r="C83" s="52"/>
      <c r="D83" s="52"/>
      <c r="E83" s="52"/>
      <c r="F83" s="52"/>
      <c r="G83" s="52"/>
      <c r="H83" s="52"/>
      <c r="I83" s="52"/>
      <c r="J83" s="52"/>
      <c r="K83" s="53" t="s">
        <v>4231</v>
      </c>
    </row>
    <row r="84" spans="1:11" ht="16" x14ac:dyDescent="0.15">
      <c r="A84" t="s">
        <v>1056</v>
      </c>
      <c r="B84" s="54">
        <v>2009</v>
      </c>
      <c r="C84" s="54">
        <v>2010</v>
      </c>
      <c r="D84" s="54">
        <v>2011</v>
      </c>
      <c r="E84" s="54">
        <v>2012</v>
      </c>
      <c r="F84" s="54">
        <v>2013</v>
      </c>
      <c r="G84" s="54">
        <v>2014</v>
      </c>
      <c r="H84" s="54">
        <v>2015</v>
      </c>
      <c r="I84" s="54">
        <v>2016</v>
      </c>
      <c r="J84" s="55">
        <v>2017</v>
      </c>
      <c r="K84" s="55"/>
    </row>
    <row r="85" spans="1:11" ht="16" x14ac:dyDescent="0.15">
      <c r="B85" s="54">
        <v>38</v>
      </c>
      <c r="C85" s="54">
        <v>180</v>
      </c>
      <c r="D85" s="54">
        <v>275</v>
      </c>
      <c r="E85" s="54">
        <v>298</v>
      </c>
      <c r="F85" s="54">
        <v>237</v>
      </c>
      <c r="G85" s="54">
        <v>266</v>
      </c>
      <c r="H85" s="54">
        <v>250</v>
      </c>
      <c r="I85" s="54">
        <v>211</v>
      </c>
      <c r="J85" s="55">
        <v>43</v>
      </c>
      <c r="K85" s="54">
        <f>SUM(B85:J85)</f>
        <v>1798</v>
      </c>
    </row>
    <row r="86" spans="1:11" ht="16" x14ac:dyDescent="0.15">
      <c r="B86" s="54">
        <v>0</v>
      </c>
      <c r="C86" s="54">
        <v>8</v>
      </c>
      <c r="D86" s="54">
        <v>43</v>
      </c>
      <c r="E86" s="54">
        <v>46</v>
      </c>
      <c r="F86" s="54">
        <v>32</v>
      </c>
      <c r="G86" s="54">
        <v>23</v>
      </c>
      <c r="H86" s="54">
        <v>24</v>
      </c>
      <c r="I86" s="54">
        <v>16</v>
      </c>
      <c r="J86" s="55">
        <v>3</v>
      </c>
      <c r="K86" s="54">
        <f>SUM(B86:J86)</f>
        <v>195</v>
      </c>
    </row>
    <row r="87" spans="1:11" ht="16" x14ac:dyDescent="0.15">
      <c r="B87" s="56">
        <f t="shared" ref="B87:I87" si="17">B86/B85</f>
        <v>0</v>
      </c>
      <c r="C87" s="56">
        <f t="shared" si="17"/>
        <v>4.4444444444444446E-2</v>
      </c>
      <c r="D87" s="56">
        <f t="shared" si="17"/>
        <v>0.15636363636363637</v>
      </c>
      <c r="E87" s="56">
        <f t="shared" si="17"/>
        <v>0.15436241610738255</v>
      </c>
      <c r="F87" s="56">
        <f t="shared" si="17"/>
        <v>0.13502109704641349</v>
      </c>
      <c r="G87" s="56">
        <f t="shared" si="17"/>
        <v>8.646616541353383E-2</v>
      </c>
      <c r="H87" s="56">
        <f t="shared" si="17"/>
        <v>9.6000000000000002E-2</v>
      </c>
      <c r="I87" s="56">
        <f t="shared" si="17"/>
        <v>7.582938388625593E-2</v>
      </c>
      <c r="J87" s="56">
        <f>J86/J85</f>
        <v>6.9767441860465115E-2</v>
      </c>
      <c r="K87" s="56">
        <f>AVERAGE(K86/K85)</f>
        <v>0.10845383759733036</v>
      </c>
    </row>
    <row r="88" spans="1:11" ht="16" x14ac:dyDescent="0.15">
      <c r="B88" s="56"/>
      <c r="C88" s="56"/>
      <c r="D88" s="56"/>
      <c r="E88" s="56"/>
      <c r="F88" s="56"/>
      <c r="G88" s="56"/>
      <c r="H88" s="56"/>
      <c r="I88" s="56"/>
      <c r="J88" s="55"/>
      <c r="K88" s="56"/>
    </row>
    <row r="89" spans="1:11" ht="16" x14ac:dyDescent="0.15">
      <c r="B89" s="55"/>
      <c r="C89" s="55"/>
      <c r="D89" s="55"/>
      <c r="E89" s="55"/>
      <c r="F89" s="55"/>
      <c r="G89" s="55"/>
      <c r="H89" s="55"/>
      <c r="I89" s="55"/>
      <c r="J89" s="55"/>
      <c r="K89" s="55"/>
    </row>
    <row r="90" spans="1:11" ht="16" x14ac:dyDescent="0.15">
      <c r="B90" s="55"/>
      <c r="C90" s="55"/>
      <c r="D90" s="55"/>
      <c r="E90" s="55"/>
      <c r="F90" s="55"/>
      <c r="G90" s="55"/>
      <c r="H90" s="55"/>
      <c r="I90" s="55"/>
      <c r="J90" s="55"/>
      <c r="K90" s="53" t="s">
        <v>4231</v>
      </c>
    </row>
    <row r="91" spans="1:11" ht="16" x14ac:dyDescent="0.15">
      <c r="A91" t="s">
        <v>4235</v>
      </c>
      <c r="B91" s="55"/>
      <c r="C91" s="55"/>
      <c r="D91" s="55"/>
      <c r="E91" s="54">
        <v>2012</v>
      </c>
      <c r="F91" s="54">
        <v>2013</v>
      </c>
      <c r="G91" s="54">
        <v>2014</v>
      </c>
      <c r="H91" s="54">
        <v>2015</v>
      </c>
      <c r="I91" s="54">
        <v>2016</v>
      </c>
      <c r="J91" s="55"/>
      <c r="K91" s="55"/>
    </row>
    <row r="92" spans="1:11" ht="16" x14ac:dyDescent="0.15">
      <c r="B92" s="55"/>
      <c r="C92" s="55"/>
      <c r="D92" s="55"/>
      <c r="E92" s="54">
        <v>48</v>
      </c>
      <c r="F92" s="54">
        <v>112</v>
      </c>
      <c r="G92" s="54">
        <v>105</v>
      </c>
      <c r="H92" s="54">
        <v>121</v>
      </c>
      <c r="I92" s="54">
        <v>86</v>
      </c>
      <c r="J92" s="55"/>
      <c r="K92" s="54">
        <f>SUM(E92:I92)</f>
        <v>472</v>
      </c>
    </row>
    <row r="93" spans="1:11" ht="16" x14ac:dyDescent="0.15">
      <c r="B93" s="55"/>
      <c r="C93" s="55"/>
      <c r="D93" s="55"/>
      <c r="E93" s="54">
        <v>5</v>
      </c>
      <c r="F93" s="54">
        <v>11</v>
      </c>
      <c r="G93" s="54">
        <v>17</v>
      </c>
      <c r="H93" s="54">
        <v>19</v>
      </c>
      <c r="I93" s="54">
        <v>14</v>
      </c>
      <c r="J93" s="55"/>
      <c r="K93" s="54">
        <f>SUM(E93:I93)</f>
        <v>66</v>
      </c>
    </row>
    <row r="94" spans="1:11" ht="16" x14ac:dyDescent="0.15">
      <c r="B94" s="56"/>
      <c r="C94" s="56"/>
      <c r="D94" s="56"/>
      <c r="E94" s="56">
        <f>E93/E92</f>
        <v>0.10416666666666667</v>
      </c>
      <c r="F94" s="56">
        <f>F93/F92</f>
        <v>9.8214285714285712E-2</v>
      </c>
      <c r="G94" s="56">
        <f>G93/G92</f>
        <v>0.16190476190476191</v>
      </c>
      <c r="H94" s="56">
        <f>H93/H92</f>
        <v>0.15702479338842976</v>
      </c>
      <c r="I94" s="56">
        <f>I93/I92</f>
        <v>0.16279069767441862</v>
      </c>
      <c r="J94" s="55"/>
      <c r="K94" s="56">
        <f>AVERAGE(K93/K92)</f>
        <v>0.13983050847457626</v>
      </c>
    </row>
    <row r="95" spans="1:11" ht="16" x14ac:dyDescent="0.15">
      <c r="B95" s="56"/>
      <c r="C95" s="56"/>
      <c r="D95" s="56"/>
      <c r="E95" s="56"/>
      <c r="F95" s="56"/>
      <c r="G95" s="56"/>
      <c r="H95" s="56"/>
      <c r="I95" s="56"/>
      <c r="J95" s="55"/>
      <c r="K95" s="56"/>
    </row>
    <row r="96" spans="1:11" ht="16" x14ac:dyDescent="0.15">
      <c r="B96" s="55"/>
      <c r="C96" s="55"/>
      <c r="D96" s="55"/>
      <c r="E96" s="55"/>
      <c r="F96" s="55"/>
      <c r="G96" s="55"/>
      <c r="H96" s="55"/>
      <c r="I96" s="55"/>
      <c r="J96" s="55"/>
      <c r="K96" s="55"/>
    </row>
    <row r="97" spans="1:13" ht="16" x14ac:dyDescent="0.15">
      <c r="B97" s="55"/>
      <c r="C97" s="55"/>
      <c r="D97" s="55"/>
      <c r="E97" s="55"/>
      <c r="F97" s="55"/>
      <c r="G97" s="55"/>
      <c r="H97" s="55"/>
      <c r="I97" s="55"/>
      <c r="J97" s="55"/>
      <c r="K97" s="53" t="s">
        <v>4231</v>
      </c>
    </row>
    <row r="98" spans="1:13" ht="16" x14ac:dyDescent="0.15">
      <c r="A98" t="s">
        <v>353</v>
      </c>
      <c r="B98" s="55"/>
      <c r="C98" s="55"/>
      <c r="D98" s="55"/>
      <c r="E98" s="55"/>
      <c r="F98" s="55"/>
      <c r="G98" s="55"/>
      <c r="H98" s="57" t="s">
        <v>4232</v>
      </c>
      <c r="I98" s="57" t="s">
        <v>4233</v>
      </c>
      <c r="J98" s="55"/>
      <c r="K98" s="55"/>
    </row>
    <row r="99" spans="1:13" ht="16" x14ac:dyDescent="0.15">
      <c r="B99" s="55"/>
      <c r="C99" s="55"/>
      <c r="D99" s="55"/>
      <c r="E99" s="55"/>
      <c r="F99" s="55"/>
      <c r="G99" s="55"/>
      <c r="H99" s="54">
        <v>65</v>
      </c>
      <c r="I99" s="54">
        <v>287</v>
      </c>
      <c r="J99" s="55"/>
      <c r="K99" s="54">
        <v>352</v>
      </c>
    </row>
    <row r="100" spans="1:13" ht="16" x14ac:dyDescent="0.15">
      <c r="B100" s="55"/>
      <c r="C100" s="55"/>
      <c r="D100" s="55"/>
      <c r="E100" s="55"/>
      <c r="F100" s="55"/>
      <c r="G100" s="55"/>
      <c r="H100" s="54">
        <v>10</v>
      </c>
      <c r="I100" s="54">
        <v>67</v>
      </c>
      <c r="J100" s="55"/>
      <c r="K100" s="54">
        <v>77</v>
      </c>
    </row>
    <row r="101" spans="1:13" ht="16" x14ac:dyDescent="0.15">
      <c r="B101" s="56"/>
      <c r="C101" s="56"/>
      <c r="D101" s="55"/>
      <c r="E101" s="55"/>
      <c r="F101" s="55"/>
      <c r="G101" s="55"/>
      <c r="H101" s="56">
        <f>H100/H99</f>
        <v>0.15384615384615385</v>
      </c>
      <c r="I101" s="56">
        <f>I100/I99</f>
        <v>0.23344947735191637</v>
      </c>
      <c r="J101" s="55"/>
      <c r="K101" s="56">
        <f>AVERAGE(K100/K99)</f>
        <v>0.21875</v>
      </c>
    </row>
    <row r="102" spans="1:13" ht="16" x14ac:dyDescent="0.15">
      <c r="B102" s="56"/>
      <c r="C102" s="56"/>
      <c r="D102" s="55"/>
      <c r="E102" s="55"/>
      <c r="F102" s="55"/>
      <c r="G102" s="55"/>
      <c r="H102" s="56"/>
      <c r="I102" s="56"/>
      <c r="J102" s="55"/>
      <c r="K102" s="55"/>
    </row>
    <row r="103" spans="1:13" ht="16" x14ac:dyDescent="0.15">
      <c r="B103" s="55"/>
      <c r="C103" s="55"/>
      <c r="D103" s="55"/>
      <c r="E103" s="55"/>
      <c r="F103" s="55"/>
      <c r="G103" s="55"/>
      <c r="H103" s="55"/>
      <c r="I103" s="55"/>
      <c r="J103" s="55"/>
      <c r="K103" s="58"/>
    </row>
    <row r="104" spans="1:13" ht="16" x14ac:dyDescent="0.15">
      <c r="B104" s="55"/>
      <c r="C104" s="55"/>
      <c r="D104" s="55"/>
      <c r="E104" s="55"/>
      <c r="F104" s="55"/>
      <c r="G104" s="55"/>
      <c r="H104" s="55"/>
      <c r="I104" s="55"/>
      <c r="J104" s="55"/>
      <c r="K104" s="53" t="s">
        <v>4231</v>
      </c>
    </row>
    <row r="105" spans="1:13" ht="16" x14ac:dyDescent="0.15">
      <c r="A105" t="s">
        <v>4236</v>
      </c>
      <c r="B105" s="55"/>
      <c r="C105" s="55"/>
      <c r="D105" s="55"/>
      <c r="E105" s="55"/>
      <c r="F105" s="55"/>
      <c r="G105" s="54">
        <v>2014</v>
      </c>
      <c r="H105" s="54">
        <v>2015</v>
      </c>
      <c r="I105" s="54">
        <v>2016</v>
      </c>
      <c r="J105" s="55">
        <v>2017</v>
      </c>
      <c r="K105" s="55"/>
      <c r="M105">
        <f>2/57</f>
        <v>3.5087719298245612E-2</v>
      </c>
    </row>
    <row r="106" spans="1:13" ht="16" x14ac:dyDescent="0.15">
      <c r="B106" s="55"/>
      <c r="C106" s="55"/>
      <c r="D106" s="55"/>
      <c r="E106" s="55"/>
      <c r="F106" s="55"/>
      <c r="G106" s="54">
        <v>18</v>
      </c>
      <c r="H106" s="54">
        <v>26</v>
      </c>
      <c r="I106" s="54">
        <v>12</v>
      </c>
      <c r="J106" s="55">
        <v>1</v>
      </c>
      <c r="K106" s="54">
        <f>SUM(G106:J106)</f>
        <v>57</v>
      </c>
    </row>
    <row r="107" spans="1:13" ht="16" x14ac:dyDescent="0.15">
      <c r="B107" s="55"/>
      <c r="C107" s="55"/>
      <c r="D107" s="55"/>
      <c r="E107" s="55"/>
      <c r="F107" s="55"/>
      <c r="G107" s="54">
        <v>0</v>
      </c>
      <c r="H107" s="54">
        <v>2</v>
      </c>
      <c r="I107" s="54">
        <v>0</v>
      </c>
      <c r="J107" s="55">
        <v>0</v>
      </c>
      <c r="K107" s="54">
        <v>2</v>
      </c>
    </row>
    <row r="108" spans="1:13" ht="16" x14ac:dyDescent="0.15">
      <c r="B108" s="56"/>
      <c r="C108" s="56"/>
      <c r="D108" s="56"/>
      <c r="E108" s="55"/>
      <c r="F108" s="55"/>
      <c r="G108" s="56">
        <f>G107/G106</f>
        <v>0</v>
      </c>
      <c r="H108" s="56">
        <f>H107/H106</f>
        <v>7.6923076923076927E-2</v>
      </c>
      <c r="I108" s="56">
        <f>I107/I106</f>
        <v>0</v>
      </c>
      <c r="J108" s="56">
        <f>J107/J106</f>
        <v>0</v>
      </c>
      <c r="K108" s="56">
        <f>AVERAGE(K107/K106)</f>
        <v>3.5087719298245612E-2</v>
      </c>
    </row>
    <row r="109" spans="1:13" ht="16" x14ac:dyDescent="0.15">
      <c r="B109" s="56"/>
      <c r="C109" s="56"/>
      <c r="D109" s="56"/>
      <c r="E109" s="55"/>
      <c r="F109" s="55"/>
      <c r="G109" s="56"/>
      <c r="H109" s="56"/>
      <c r="I109" s="56"/>
      <c r="J109" s="55"/>
      <c r="K109" s="56"/>
    </row>
    <row r="110" spans="1:13" ht="16" x14ac:dyDescent="0.15">
      <c r="B110" s="52"/>
      <c r="C110" s="59"/>
      <c r="D110" s="60"/>
      <c r="E110" s="60"/>
      <c r="F110" s="60"/>
      <c r="G110" s="52"/>
      <c r="H110" s="52"/>
      <c r="I110" s="60"/>
      <c r="J110" s="60"/>
      <c r="K110" s="60"/>
    </row>
    <row r="111" spans="1:13" x14ac:dyDescent="0.15">
      <c r="B111" s="52"/>
      <c r="C111" s="52"/>
      <c r="D111" s="52"/>
      <c r="E111" s="52"/>
      <c r="F111" s="52"/>
      <c r="G111" s="52"/>
      <c r="H111" s="52"/>
      <c r="I111" s="52"/>
      <c r="J111" s="52"/>
      <c r="K111" s="52"/>
    </row>
    <row r="112" spans="1:13" ht="16" x14ac:dyDescent="0.15">
      <c r="B112" s="61">
        <v>2009</v>
      </c>
      <c r="C112" s="61">
        <v>2010</v>
      </c>
      <c r="D112" s="61">
        <v>2011</v>
      </c>
      <c r="E112" s="61">
        <v>2012</v>
      </c>
      <c r="F112" s="61">
        <v>2013</v>
      </c>
      <c r="G112" s="61">
        <v>2014</v>
      </c>
      <c r="H112" s="61">
        <v>2015</v>
      </c>
      <c r="I112" s="61">
        <v>2016</v>
      </c>
      <c r="J112" s="52">
        <v>2017</v>
      </c>
      <c r="K112" s="53" t="s">
        <v>4234</v>
      </c>
    </row>
    <row r="113" spans="2:11" ht="16" x14ac:dyDescent="0.15">
      <c r="B113" s="61">
        <f t="shared" ref="B113:D114" si="18">SUM(B85)</f>
        <v>38</v>
      </c>
      <c r="C113" s="61">
        <f t="shared" si="18"/>
        <v>180</v>
      </c>
      <c r="D113" s="61">
        <f t="shared" si="18"/>
        <v>275</v>
      </c>
      <c r="E113" s="61">
        <f>SUM(E85,E92)</f>
        <v>346</v>
      </c>
      <c r="F113" s="61">
        <f>SUM(F85,F92)</f>
        <v>349</v>
      </c>
      <c r="G113" s="61">
        <f>SUM(G106,G92,G85)</f>
        <v>389</v>
      </c>
      <c r="H113" s="61">
        <f>SUM(H106,H99,,H85,H92)</f>
        <v>462</v>
      </c>
      <c r="I113" s="61">
        <f>SUM(I106,I99,,I85,I92)</f>
        <v>596</v>
      </c>
      <c r="J113" s="52">
        <f>SUM(J106,J85)</f>
        <v>44</v>
      </c>
      <c r="K113" s="54">
        <f>SUM(B113:J113)</f>
        <v>2679</v>
      </c>
    </row>
    <row r="114" spans="2:11" ht="16" x14ac:dyDescent="0.15">
      <c r="B114" s="61">
        <f t="shared" si="18"/>
        <v>0</v>
      </c>
      <c r="C114" s="61">
        <f t="shared" si="18"/>
        <v>8</v>
      </c>
      <c r="D114" s="61">
        <f t="shared" si="18"/>
        <v>43</v>
      </c>
      <c r="E114" s="61">
        <f>SUM(E86,E93)</f>
        <v>51</v>
      </c>
      <c r="F114" s="61">
        <f>SUM(F86,F93)</f>
        <v>43</v>
      </c>
      <c r="G114" s="61">
        <f>SUM(G107,G93,G86)</f>
        <v>40</v>
      </c>
      <c r="H114" s="61">
        <f>SUM(H107,H100,,H86,H93)</f>
        <v>55</v>
      </c>
      <c r="I114" s="61">
        <f>SUM(I107,I100,,I86,I93)</f>
        <v>97</v>
      </c>
      <c r="J114" s="52">
        <f>SUM(J107,J86)</f>
        <v>3</v>
      </c>
      <c r="K114" s="54">
        <f>SUM(B114:J114)</f>
        <v>340</v>
      </c>
    </row>
    <row r="115" spans="2:11" ht="16" x14ac:dyDescent="0.15">
      <c r="B115" s="60">
        <f t="shared" ref="B115:I115" si="19">B114/B113</f>
        <v>0</v>
      </c>
      <c r="C115" s="60">
        <f t="shared" si="19"/>
        <v>4.4444444444444446E-2</v>
      </c>
      <c r="D115" s="60">
        <f t="shared" si="19"/>
        <v>0.15636363636363637</v>
      </c>
      <c r="E115" s="60">
        <f t="shared" si="19"/>
        <v>0.14739884393063585</v>
      </c>
      <c r="F115" s="60">
        <f t="shared" si="19"/>
        <v>0.12320916905444126</v>
      </c>
      <c r="G115" s="60">
        <f t="shared" si="19"/>
        <v>0.10282776349614396</v>
      </c>
      <c r="H115" s="60">
        <f t="shared" si="19"/>
        <v>0.11904761904761904</v>
      </c>
      <c r="I115" s="60">
        <f t="shared" si="19"/>
        <v>0.16275167785234898</v>
      </c>
      <c r="J115" s="60">
        <f>J114/J113</f>
        <v>6.8181818181818177E-2</v>
      </c>
      <c r="K115" s="56"/>
    </row>
  </sheetData>
  <sortState ref="A2:A11">
    <sortCondition ref="A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A2" sqref="A2:B32"/>
    </sheetView>
  </sheetViews>
  <sheetFormatPr baseColWidth="10" defaultRowHeight="13" x14ac:dyDescent="0.15"/>
  <sheetData>
    <row r="1" spans="1:2" x14ac:dyDescent="0.15">
      <c r="A1" s="32" t="s">
        <v>4202</v>
      </c>
      <c r="B1" s="32" t="s">
        <v>4204</v>
      </c>
    </row>
    <row r="2" spans="1:2" x14ac:dyDescent="0.15">
      <c r="A2" s="29">
        <v>1</v>
      </c>
      <c r="B2" s="30">
        <v>17</v>
      </c>
    </row>
    <row r="3" spans="1:2" x14ac:dyDescent="0.15">
      <c r="A3" s="29">
        <v>2</v>
      </c>
      <c r="B3" s="30">
        <v>8</v>
      </c>
    </row>
    <row r="4" spans="1:2" x14ac:dyDescent="0.15">
      <c r="A4" s="29">
        <v>3</v>
      </c>
      <c r="B4" s="30">
        <v>10</v>
      </c>
    </row>
    <row r="5" spans="1:2" x14ac:dyDescent="0.15">
      <c r="A5" s="29">
        <v>4</v>
      </c>
      <c r="B5" s="30">
        <v>9</v>
      </c>
    </row>
    <row r="6" spans="1:2" x14ac:dyDescent="0.15">
      <c r="A6" s="29">
        <v>5</v>
      </c>
      <c r="B6" s="30">
        <v>6</v>
      </c>
    </row>
    <row r="7" spans="1:2" x14ac:dyDescent="0.15">
      <c r="A7" s="29">
        <v>6</v>
      </c>
      <c r="B7" s="30">
        <v>4</v>
      </c>
    </row>
    <row r="8" spans="1:2" x14ac:dyDescent="0.15">
      <c r="A8" s="29">
        <v>7</v>
      </c>
      <c r="B8" s="30">
        <v>5</v>
      </c>
    </row>
    <row r="9" spans="1:2" x14ac:dyDescent="0.15">
      <c r="A9" s="29">
        <v>8</v>
      </c>
      <c r="B9" s="30">
        <v>6</v>
      </c>
    </row>
    <row r="10" spans="1:2" x14ac:dyDescent="0.15">
      <c r="A10" s="29">
        <v>9</v>
      </c>
      <c r="B10" s="30">
        <v>3</v>
      </c>
    </row>
    <row r="11" spans="1:2" x14ac:dyDescent="0.15">
      <c r="A11" s="29">
        <v>10</v>
      </c>
      <c r="B11" s="30">
        <v>6</v>
      </c>
    </row>
    <row r="12" spans="1:2" x14ac:dyDescent="0.15">
      <c r="A12" s="29">
        <v>11</v>
      </c>
      <c r="B12" s="30">
        <v>4</v>
      </c>
    </row>
    <row r="13" spans="1:2" x14ac:dyDescent="0.15">
      <c r="A13" s="29">
        <v>12</v>
      </c>
      <c r="B13" s="30">
        <v>0</v>
      </c>
    </row>
    <row r="14" spans="1:2" x14ac:dyDescent="0.15">
      <c r="A14" s="29">
        <v>13</v>
      </c>
      <c r="B14" s="30">
        <v>5</v>
      </c>
    </row>
    <row r="15" spans="1:2" x14ac:dyDescent="0.15">
      <c r="A15" s="29">
        <v>14</v>
      </c>
      <c r="B15" s="30">
        <v>6</v>
      </c>
    </row>
    <row r="16" spans="1:2" x14ac:dyDescent="0.15">
      <c r="A16" s="29">
        <v>15</v>
      </c>
      <c r="B16" s="30">
        <v>5</v>
      </c>
    </row>
    <row r="17" spans="1:2" x14ac:dyDescent="0.15">
      <c r="A17" s="29">
        <v>16</v>
      </c>
      <c r="B17" s="30">
        <v>3</v>
      </c>
    </row>
    <row r="18" spans="1:2" x14ac:dyDescent="0.15">
      <c r="A18" s="29">
        <v>17</v>
      </c>
      <c r="B18" s="30">
        <v>4</v>
      </c>
    </row>
    <row r="19" spans="1:2" x14ac:dyDescent="0.15">
      <c r="A19" s="29">
        <v>18</v>
      </c>
      <c r="B19" s="30">
        <v>3</v>
      </c>
    </row>
    <row r="20" spans="1:2" x14ac:dyDescent="0.15">
      <c r="A20" s="29">
        <v>19</v>
      </c>
      <c r="B20" s="30">
        <v>3</v>
      </c>
    </row>
    <row r="21" spans="1:2" x14ac:dyDescent="0.15">
      <c r="A21" s="29">
        <v>20</v>
      </c>
      <c r="B21" s="30">
        <v>4</v>
      </c>
    </row>
    <row r="22" spans="1:2" x14ac:dyDescent="0.15">
      <c r="A22" s="29">
        <v>21</v>
      </c>
      <c r="B22" s="30">
        <v>1</v>
      </c>
    </row>
    <row r="23" spans="1:2" x14ac:dyDescent="0.15">
      <c r="A23" s="29">
        <v>22</v>
      </c>
      <c r="B23" s="30">
        <v>2</v>
      </c>
    </row>
    <row r="24" spans="1:2" x14ac:dyDescent="0.15">
      <c r="A24" s="29">
        <v>23</v>
      </c>
      <c r="B24" s="30">
        <v>2</v>
      </c>
    </row>
    <row r="25" spans="1:2" x14ac:dyDescent="0.15">
      <c r="A25" s="29">
        <v>24</v>
      </c>
      <c r="B25" s="30">
        <v>0</v>
      </c>
    </row>
    <row r="26" spans="1:2" x14ac:dyDescent="0.15">
      <c r="A26" s="29">
        <v>25</v>
      </c>
      <c r="B26" s="30">
        <v>2</v>
      </c>
    </row>
    <row r="27" spans="1:2" x14ac:dyDescent="0.15">
      <c r="A27" s="29">
        <v>26</v>
      </c>
      <c r="B27" s="30">
        <v>1</v>
      </c>
    </row>
    <row r="28" spans="1:2" x14ac:dyDescent="0.15">
      <c r="A28" s="29">
        <v>27</v>
      </c>
      <c r="B28" s="30">
        <v>3</v>
      </c>
    </row>
    <row r="29" spans="1:2" x14ac:dyDescent="0.15">
      <c r="A29" s="29">
        <v>28</v>
      </c>
      <c r="B29" s="30">
        <v>0</v>
      </c>
    </row>
    <row r="30" spans="1:2" x14ac:dyDescent="0.15">
      <c r="A30" s="29">
        <v>29</v>
      </c>
      <c r="B30" s="30">
        <v>0</v>
      </c>
    </row>
    <row r="31" spans="1:2" x14ac:dyDescent="0.15">
      <c r="A31" s="29">
        <v>30</v>
      </c>
      <c r="B31" s="30">
        <v>2</v>
      </c>
    </row>
    <row r="32" spans="1:2" ht="14" thickBot="1" x14ac:dyDescent="0.2">
      <c r="A32" s="31" t="s">
        <v>4207</v>
      </c>
      <c r="B32" s="31">
        <v>59</v>
      </c>
    </row>
  </sheetData>
  <sortState ref="A2:A31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baseColWidth="10" defaultRowHeight="13" x14ac:dyDescent="0.15"/>
  <sheetData>
    <row r="1" spans="1:4" x14ac:dyDescent="0.15">
      <c r="A1" s="32" t="s">
        <v>4210</v>
      </c>
      <c r="B1" s="32" t="s">
        <v>4204</v>
      </c>
    </row>
    <row r="2" spans="1:4" x14ac:dyDescent="0.15">
      <c r="A2" s="29">
        <v>30</v>
      </c>
      <c r="B2" s="30">
        <v>124</v>
      </c>
      <c r="C2" s="11">
        <f>D2/C9</f>
        <v>0.67759562841530052</v>
      </c>
      <c r="D2">
        <f>B2</f>
        <v>124</v>
      </c>
    </row>
    <row r="3" spans="1:4" x14ac:dyDescent="0.15">
      <c r="A3" s="29">
        <v>60</v>
      </c>
      <c r="B3" s="30">
        <v>23</v>
      </c>
      <c r="C3" s="11">
        <f>D3/C9</f>
        <v>0.80327868852459017</v>
      </c>
      <c r="D3">
        <f>D2+B3</f>
        <v>147</v>
      </c>
    </row>
    <row r="4" spans="1:4" x14ac:dyDescent="0.15">
      <c r="A4" s="29">
        <v>90</v>
      </c>
      <c r="B4" s="30">
        <v>14</v>
      </c>
      <c r="C4" s="11">
        <f>D4/C9</f>
        <v>0.8797814207650273</v>
      </c>
      <c r="D4">
        <f>D3+B4</f>
        <v>161</v>
      </c>
    </row>
    <row r="5" spans="1:4" x14ac:dyDescent="0.15">
      <c r="A5" s="29">
        <v>120</v>
      </c>
      <c r="B5" s="30">
        <v>4</v>
      </c>
      <c r="C5" s="11">
        <f>D5/C9</f>
        <v>0.90163934426229508</v>
      </c>
      <c r="D5">
        <f>D4+B5</f>
        <v>165</v>
      </c>
    </row>
    <row r="6" spans="1:4" x14ac:dyDescent="0.15">
      <c r="A6" s="29">
        <v>150</v>
      </c>
      <c r="B6" s="30">
        <v>8</v>
      </c>
      <c r="C6" s="11">
        <f>D6/C9</f>
        <v>0.94535519125683065</v>
      </c>
      <c r="D6">
        <f t="shared" ref="D6:D8" si="0">D5+B6</f>
        <v>173</v>
      </c>
    </row>
    <row r="7" spans="1:4" x14ac:dyDescent="0.15">
      <c r="A7" s="29">
        <v>180</v>
      </c>
      <c r="B7" s="30">
        <v>1</v>
      </c>
      <c r="C7" s="11">
        <f>D7/C9</f>
        <v>0.95081967213114749</v>
      </c>
      <c r="D7">
        <f t="shared" si="0"/>
        <v>174</v>
      </c>
    </row>
    <row r="8" spans="1:4" x14ac:dyDescent="0.15">
      <c r="A8" s="29" t="s">
        <v>4209</v>
      </c>
      <c r="B8" s="30">
        <v>9</v>
      </c>
      <c r="C8" s="11">
        <f>D8/C9</f>
        <v>1</v>
      </c>
      <c r="D8">
        <f t="shared" si="0"/>
        <v>183</v>
      </c>
    </row>
    <row r="9" spans="1:4" ht="14" thickBot="1" x14ac:dyDescent="0.2">
      <c r="A9" s="31" t="s">
        <v>4203</v>
      </c>
      <c r="B9" s="31">
        <v>0</v>
      </c>
      <c r="C9">
        <f>SUM(B2:B8)</f>
        <v>183</v>
      </c>
    </row>
  </sheetData>
  <sortState ref="A2:A8">
    <sortCondition ref="A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zoomScale="83" workbookViewId="0">
      <selection activeCell="A2" sqref="A2:B35"/>
    </sheetView>
  </sheetViews>
  <sheetFormatPr baseColWidth="10" defaultRowHeight="13" x14ac:dyDescent="0.15"/>
  <sheetData>
    <row r="1" spans="1:2" x14ac:dyDescent="0.15">
      <c r="A1" s="32" t="s">
        <v>4202</v>
      </c>
      <c r="B1" s="32" t="s">
        <v>4204</v>
      </c>
    </row>
    <row r="2" spans="1:2" x14ac:dyDescent="0.15">
      <c r="A2" s="29">
        <v>1</v>
      </c>
      <c r="B2" s="30">
        <v>17</v>
      </c>
    </row>
    <row r="3" spans="1:2" x14ac:dyDescent="0.15">
      <c r="A3" s="29">
        <v>2</v>
      </c>
      <c r="B3" s="30">
        <v>8</v>
      </c>
    </row>
    <row r="4" spans="1:2" x14ac:dyDescent="0.15">
      <c r="A4" s="29">
        <v>3</v>
      </c>
      <c r="B4" s="30">
        <v>10</v>
      </c>
    </row>
    <row r="5" spans="1:2" x14ac:dyDescent="0.15">
      <c r="A5" s="29">
        <v>4</v>
      </c>
      <c r="B5" s="30">
        <v>9</v>
      </c>
    </row>
    <row r="6" spans="1:2" x14ac:dyDescent="0.15">
      <c r="A6" s="29">
        <v>5</v>
      </c>
      <c r="B6" s="30">
        <v>6</v>
      </c>
    </row>
    <row r="7" spans="1:2" x14ac:dyDescent="0.15">
      <c r="A7" s="29">
        <v>6</v>
      </c>
      <c r="B7" s="30">
        <v>4</v>
      </c>
    </row>
    <row r="8" spans="1:2" x14ac:dyDescent="0.15">
      <c r="A8" s="29">
        <v>7</v>
      </c>
      <c r="B8" s="30">
        <v>5</v>
      </c>
    </row>
    <row r="9" spans="1:2" x14ac:dyDescent="0.15">
      <c r="A9" s="29">
        <v>8</v>
      </c>
      <c r="B9" s="30">
        <v>6</v>
      </c>
    </row>
    <row r="10" spans="1:2" x14ac:dyDescent="0.15">
      <c r="A10" s="29">
        <v>9</v>
      </c>
      <c r="B10" s="30">
        <v>3</v>
      </c>
    </row>
    <row r="11" spans="1:2" x14ac:dyDescent="0.15">
      <c r="A11" s="29">
        <v>10</v>
      </c>
      <c r="B11" s="30">
        <v>6</v>
      </c>
    </row>
    <row r="12" spans="1:2" x14ac:dyDescent="0.15">
      <c r="A12" s="29">
        <v>11</v>
      </c>
      <c r="B12" s="30">
        <v>4</v>
      </c>
    </row>
    <row r="13" spans="1:2" x14ac:dyDescent="0.15">
      <c r="A13" s="29">
        <v>12</v>
      </c>
      <c r="B13" s="30">
        <v>0</v>
      </c>
    </row>
    <row r="14" spans="1:2" x14ac:dyDescent="0.15">
      <c r="A14" s="29">
        <v>13</v>
      </c>
      <c r="B14" s="30">
        <v>5</v>
      </c>
    </row>
    <row r="15" spans="1:2" x14ac:dyDescent="0.15">
      <c r="A15" s="29">
        <v>14</v>
      </c>
      <c r="B15" s="30">
        <v>6</v>
      </c>
    </row>
    <row r="16" spans="1:2" x14ac:dyDescent="0.15">
      <c r="A16" s="29">
        <v>15</v>
      </c>
      <c r="B16" s="30">
        <v>5</v>
      </c>
    </row>
    <row r="17" spans="1:2" x14ac:dyDescent="0.15">
      <c r="A17" s="29">
        <v>16</v>
      </c>
      <c r="B17" s="30">
        <v>3</v>
      </c>
    </row>
    <row r="18" spans="1:2" x14ac:dyDescent="0.15">
      <c r="A18" s="29">
        <v>17</v>
      </c>
      <c r="B18" s="30">
        <v>4</v>
      </c>
    </row>
    <row r="19" spans="1:2" x14ac:dyDescent="0.15">
      <c r="A19" s="29">
        <v>18</v>
      </c>
      <c r="B19" s="30">
        <v>3</v>
      </c>
    </row>
    <row r="20" spans="1:2" x14ac:dyDescent="0.15">
      <c r="A20" s="29">
        <v>19</v>
      </c>
      <c r="B20" s="30">
        <v>3</v>
      </c>
    </row>
    <row r="21" spans="1:2" x14ac:dyDescent="0.15">
      <c r="A21" s="29">
        <v>20</v>
      </c>
      <c r="B21" s="30">
        <v>4</v>
      </c>
    </row>
    <row r="22" spans="1:2" x14ac:dyDescent="0.15">
      <c r="A22" s="29">
        <v>21</v>
      </c>
      <c r="B22" s="30">
        <v>1</v>
      </c>
    </row>
    <row r="23" spans="1:2" x14ac:dyDescent="0.15">
      <c r="A23" s="29">
        <v>22</v>
      </c>
      <c r="B23" s="30">
        <v>2</v>
      </c>
    </row>
    <row r="24" spans="1:2" x14ac:dyDescent="0.15">
      <c r="A24" s="29">
        <v>23</v>
      </c>
      <c r="B24" s="30">
        <v>2</v>
      </c>
    </row>
    <row r="25" spans="1:2" x14ac:dyDescent="0.15">
      <c r="A25" s="29">
        <v>24</v>
      </c>
      <c r="B25" s="30">
        <v>0</v>
      </c>
    </row>
    <row r="26" spans="1:2" x14ac:dyDescent="0.15">
      <c r="A26" s="29">
        <v>25</v>
      </c>
      <c r="B26" s="30">
        <v>2</v>
      </c>
    </row>
    <row r="27" spans="1:2" x14ac:dyDescent="0.15">
      <c r="A27" s="29">
        <v>26</v>
      </c>
      <c r="B27" s="30">
        <v>1</v>
      </c>
    </row>
    <row r="28" spans="1:2" x14ac:dyDescent="0.15">
      <c r="A28" s="29">
        <v>27</v>
      </c>
      <c r="B28" s="30">
        <v>3</v>
      </c>
    </row>
    <row r="29" spans="1:2" x14ac:dyDescent="0.15">
      <c r="A29" s="29">
        <v>28</v>
      </c>
      <c r="B29" s="30">
        <v>0</v>
      </c>
    </row>
    <row r="30" spans="1:2" x14ac:dyDescent="0.15">
      <c r="A30" s="29">
        <v>29</v>
      </c>
      <c r="B30" s="30">
        <v>0</v>
      </c>
    </row>
    <row r="31" spans="1:2" x14ac:dyDescent="0.15">
      <c r="A31" s="29">
        <v>30</v>
      </c>
      <c r="B31" s="30">
        <v>2</v>
      </c>
    </row>
    <row r="32" spans="1:2" x14ac:dyDescent="0.15">
      <c r="A32" s="29">
        <v>60</v>
      </c>
      <c r="B32" s="30">
        <v>23</v>
      </c>
    </row>
    <row r="33" spans="1:2" x14ac:dyDescent="0.15">
      <c r="A33" s="29">
        <v>90</v>
      </c>
      <c r="B33" s="30">
        <v>14</v>
      </c>
    </row>
    <row r="34" spans="1:2" x14ac:dyDescent="0.15">
      <c r="A34" s="29">
        <v>120</v>
      </c>
      <c r="B34" s="30">
        <v>4</v>
      </c>
    </row>
    <row r="35" spans="1:2" x14ac:dyDescent="0.15">
      <c r="A35" s="29" t="s">
        <v>4208</v>
      </c>
      <c r="B35" s="30">
        <v>18</v>
      </c>
    </row>
    <row r="36" spans="1:2" ht="14" thickBot="1" x14ac:dyDescent="0.2">
      <c r="A36" s="31" t="s">
        <v>4203</v>
      </c>
      <c r="B36" s="31">
        <v>0</v>
      </c>
    </row>
  </sheetData>
  <sortState ref="A2:A35">
    <sortCondition ref="A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2" sqref="C2:D11"/>
    </sheetView>
  </sheetViews>
  <sheetFormatPr baseColWidth="10" defaultRowHeight="13" x14ac:dyDescent="0.15"/>
  <sheetData>
    <row r="1" spans="1:4" x14ac:dyDescent="0.15">
      <c r="A1" s="32" t="s">
        <v>4202</v>
      </c>
      <c r="B1" s="32" t="s">
        <v>4204</v>
      </c>
    </row>
    <row r="2" spans="1:4" x14ac:dyDescent="0.15">
      <c r="A2" s="29" t="s">
        <v>4211</v>
      </c>
      <c r="B2" s="30">
        <v>59</v>
      </c>
      <c r="C2">
        <f>B2</f>
        <v>59</v>
      </c>
      <c r="D2" s="11">
        <f>C2/C$13</f>
        <v>0.32240437158469948</v>
      </c>
    </row>
    <row r="3" spans="1:4" x14ac:dyDescent="0.15">
      <c r="A3" s="29">
        <v>14</v>
      </c>
      <c r="B3" s="30">
        <v>30</v>
      </c>
      <c r="C3">
        <f>C2+B3</f>
        <v>89</v>
      </c>
      <c r="D3" s="11">
        <f t="shared" ref="D3:D11" si="0">C3/C$13</f>
        <v>0.48633879781420764</v>
      </c>
    </row>
    <row r="4" spans="1:4" x14ac:dyDescent="0.15">
      <c r="A4" s="29">
        <v>21</v>
      </c>
      <c r="B4" s="30">
        <v>23</v>
      </c>
      <c r="C4">
        <f t="shared" ref="C4:C11" si="1">C3+B4</f>
        <v>112</v>
      </c>
      <c r="D4" s="11">
        <f t="shared" si="0"/>
        <v>0.61202185792349728</v>
      </c>
    </row>
    <row r="5" spans="1:4" x14ac:dyDescent="0.15">
      <c r="A5" s="29">
        <v>28</v>
      </c>
      <c r="B5" s="30">
        <v>10</v>
      </c>
      <c r="C5">
        <f t="shared" si="1"/>
        <v>122</v>
      </c>
      <c r="D5" s="11">
        <f t="shared" si="0"/>
        <v>0.66666666666666663</v>
      </c>
    </row>
    <row r="6" spans="1:4" x14ac:dyDescent="0.15">
      <c r="A6" s="29" t="s">
        <v>4213</v>
      </c>
      <c r="B6" s="30">
        <v>25</v>
      </c>
      <c r="C6">
        <f t="shared" si="1"/>
        <v>147</v>
      </c>
      <c r="D6" s="11">
        <f t="shared" si="0"/>
        <v>0.80327868852459017</v>
      </c>
    </row>
    <row r="7" spans="1:4" x14ac:dyDescent="0.15">
      <c r="A7" s="29">
        <v>90</v>
      </c>
      <c r="B7" s="30">
        <v>14</v>
      </c>
      <c r="C7">
        <f t="shared" si="1"/>
        <v>161</v>
      </c>
      <c r="D7" s="11">
        <f t="shared" si="0"/>
        <v>0.8797814207650273</v>
      </c>
    </row>
    <row r="8" spans="1:4" x14ac:dyDescent="0.15">
      <c r="A8" s="29">
        <v>120</v>
      </c>
      <c r="B8" s="30">
        <v>4</v>
      </c>
      <c r="C8">
        <f t="shared" si="1"/>
        <v>165</v>
      </c>
      <c r="D8" s="11">
        <f t="shared" si="0"/>
        <v>0.90163934426229508</v>
      </c>
    </row>
    <row r="9" spans="1:4" x14ac:dyDescent="0.15">
      <c r="A9" s="29">
        <v>150</v>
      </c>
      <c r="B9" s="30">
        <v>8</v>
      </c>
      <c r="C9">
        <f t="shared" si="1"/>
        <v>173</v>
      </c>
      <c r="D9" s="11">
        <f t="shared" si="0"/>
        <v>0.94535519125683065</v>
      </c>
    </row>
    <row r="10" spans="1:4" x14ac:dyDescent="0.15">
      <c r="A10" s="29">
        <v>180</v>
      </c>
      <c r="B10" s="30">
        <v>1</v>
      </c>
      <c r="C10">
        <f t="shared" si="1"/>
        <v>174</v>
      </c>
      <c r="D10" s="11">
        <f t="shared" si="0"/>
        <v>0.95081967213114749</v>
      </c>
    </row>
    <row r="11" spans="1:4" x14ac:dyDescent="0.15">
      <c r="A11" s="29" t="s">
        <v>4209</v>
      </c>
      <c r="B11" s="30">
        <v>9</v>
      </c>
      <c r="C11">
        <f t="shared" si="1"/>
        <v>183</v>
      </c>
      <c r="D11" s="11">
        <f t="shared" si="0"/>
        <v>1</v>
      </c>
    </row>
    <row r="12" spans="1:4" ht="14" thickBot="1" x14ac:dyDescent="0.2">
      <c r="A12" s="31" t="s">
        <v>4203</v>
      </c>
      <c r="B12" s="31">
        <v>0</v>
      </c>
    </row>
    <row r="13" spans="1:4" x14ac:dyDescent="0.15">
      <c r="C13">
        <f>SUM(B2:B11)</f>
        <v>183</v>
      </c>
    </row>
  </sheetData>
  <sortState ref="A2:A11">
    <sortCondition ref="A2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opLeftCell="A55" workbookViewId="0">
      <selection activeCell="A58" sqref="A58:D64"/>
    </sheetView>
  </sheetViews>
  <sheetFormatPr baseColWidth="10" defaultRowHeight="13" x14ac:dyDescent="0.15"/>
  <sheetData>
    <row r="1" spans="1:2" x14ac:dyDescent="0.15">
      <c r="A1" t="s">
        <v>4202</v>
      </c>
      <c r="B1" t="s">
        <v>4204</v>
      </c>
    </row>
    <row r="2" spans="1:2" x14ac:dyDescent="0.15">
      <c r="A2" s="33">
        <v>1</v>
      </c>
      <c r="B2">
        <v>17</v>
      </c>
    </row>
    <row r="3" spans="1:2" x14ac:dyDescent="0.15">
      <c r="A3" s="33">
        <v>2</v>
      </c>
      <c r="B3">
        <v>8</v>
      </c>
    </row>
    <row r="4" spans="1:2" x14ac:dyDescent="0.15">
      <c r="A4" s="33">
        <v>3</v>
      </c>
      <c r="B4">
        <v>10</v>
      </c>
    </row>
    <row r="5" spans="1:2" x14ac:dyDescent="0.15">
      <c r="A5" s="33">
        <v>4</v>
      </c>
      <c r="B5">
        <v>9</v>
      </c>
    </row>
    <row r="6" spans="1:2" x14ac:dyDescent="0.15">
      <c r="A6" s="33">
        <v>5</v>
      </c>
      <c r="B6">
        <v>6</v>
      </c>
    </row>
    <row r="7" spans="1:2" x14ac:dyDescent="0.15">
      <c r="A7" s="33">
        <v>6</v>
      </c>
      <c r="B7">
        <v>4</v>
      </c>
    </row>
    <row r="8" spans="1:2" x14ac:dyDescent="0.15">
      <c r="A8" s="33">
        <v>7</v>
      </c>
      <c r="B8">
        <v>5</v>
      </c>
    </row>
    <row r="9" spans="1:2" x14ac:dyDescent="0.15">
      <c r="A9" s="33">
        <v>14</v>
      </c>
      <c r="B9">
        <v>30</v>
      </c>
    </row>
    <row r="10" spans="1:2" x14ac:dyDescent="0.15">
      <c r="A10" s="33">
        <v>21</v>
      </c>
      <c r="B10">
        <v>23</v>
      </c>
    </row>
    <row r="11" spans="1:2" x14ac:dyDescent="0.15">
      <c r="A11" s="33">
        <v>28</v>
      </c>
      <c r="B11">
        <v>10</v>
      </c>
    </row>
    <row r="12" spans="1:2" x14ac:dyDescent="0.15">
      <c r="A12" s="33">
        <v>30</v>
      </c>
      <c r="B12">
        <v>2</v>
      </c>
    </row>
    <row r="13" spans="1:2" x14ac:dyDescent="0.15">
      <c r="A13" s="33">
        <v>60</v>
      </c>
      <c r="B13">
        <v>23</v>
      </c>
    </row>
    <row r="14" spans="1:2" x14ac:dyDescent="0.15">
      <c r="A14" s="33">
        <v>90</v>
      </c>
      <c r="B14">
        <v>14</v>
      </c>
    </row>
    <row r="15" spans="1:2" x14ac:dyDescent="0.15">
      <c r="A15" s="33">
        <v>120</v>
      </c>
      <c r="B15">
        <v>4</v>
      </c>
    </row>
    <row r="16" spans="1:2" x14ac:dyDescent="0.15">
      <c r="A16" s="33">
        <v>150</v>
      </c>
      <c r="B16">
        <v>8</v>
      </c>
    </row>
    <row r="17" spans="1:4" x14ac:dyDescent="0.15">
      <c r="A17" s="33">
        <v>180</v>
      </c>
      <c r="B17">
        <v>1</v>
      </c>
    </row>
    <row r="18" spans="1:4" x14ac:dyDescent="0.15">
      <c r="A18" s="33">
        <v>210</v>
      </c>
      <c r="B18">
        <v>3</v>
      </c>
    </row>
    <row r="19" spans="1:4" x14ac:dyDescent="0.15">
      <c r="A19" s="33">
        <v>240</v>
      </c>
      <c r="B19">
        <v>2</v>
      </c>
    </row>
    <row r="20" spans="1:4" x14ac:dyDescent="0.15">
      <c r="A20" s="33">
        <v>270</v>
      </c>
      <c r="B20">
        <v>0</v>
      </c>
    </row>
    <row r="21" spans="1:4" x14ac:dyDescent="0.15">
      <c r="A21" s="33">
        <v>300</v>
      </c>
      <c r="B21">
        <v>1</v>
      </c>
    </row>
    <row r="22" spans="1:4" x14ac:dyDescent="0.15">
      <c r="A22" s="33">
        <v>330</v>
      </c>
      <c r="B22">
        <v>0</v>
      </c>
    </row>
    <row r="23" spans="1:4" x14ac:dyDescent="0.15">
      <c r="A23" s="33">
        <v>365</v>
      </c>
      <c r="B23">
        <v>0</v>
      </c>
    </row>
    <row r="24" spans="1:4" x14ac:dyDescent="0.15">
      <c r="A24" s="33">
        <v>730</v>
      </c>
      <c r="B24">
        <v>1</v>
      </c>
    </row>
    <row r="25" spans="1:4" x14ac:dyDescent="0.15">
      <c r="A25" s="33">
        <v>2555</v>
      </c>
      <c r="B25">
        <v>2</v>
      </c>
    </row>
    <row r="26" spans="1:4" x14ac:dyDescent="0.15">
      <c r="A26" t="s">
        <v>4203</v>
      </c>
      <c r="B26">
        <v>0</v>
      </c>
    </row>
    <row r="30" spans="1:4" x14ac:dyDescent="0.15">
      <c r="A30" t="s">
        <v>4202</v>
      </c>
      <c r="B30" t="s">
        <v>4204</v>
      </c>
    </row>
    <row r="31" spans="1:4" x14ac:dyDescent="0.15">
      <c r="A31" s="33">
        <v>1</v>
      </c>
      <c r="B31">
        <v>17</v>
      </c>
      <c r="C31">
        <f>B31</f>
        <v>17</v>
      </c>
      <c r="D31" s="11">
        <f>C31/C$52</f>
        <v>9.2896174863387984E-2</v>
      </c>
    </row>
    <row r="32" spans="1:4" x14ac:dyDescent="0.15">
      <c r="A32" s="33">
        <v>2</v>
      </c>
      <c r="B32">
        <v>8</v>
      </c>
      <c r="C32">
        <f>C31+B32</f>
        <v>25</v>
      </c>
      <c r="D32" s="11">
        <f t="shared" ref="D32:D50" si="0">C32/C$52</f>
        <v>0.13661202185792351</v>
      </c>
    </row>
    <row r="33" spans="1:4" x14ac:dyDescent="0.15">
      <c r="A33" s="33">
        <v>3</v>
      </c>
      <c r="B33">
        <v>10</v>
      </c>
      <c r="C33">
        <f t="shared" ref="C33:C50" si="1">C32+B33</f>
        <v>35</v>
      </c>
      <c r="D33" s="11">
        <f t="shared" si="0"/>
        <v>0.19125683060109289</v>
      </c>
    </row>
    <row r="34" spans="1:4" x14ac:dyDescent="0.15">
      <c r="A34" s="33">
        <v>4</v>
      </c>
      <c r="B34">
        <v>9</v>
      </c>
      <c r="C34">
        <f t="shared" si="1"/>
        <v>44</v>
      </c>
      <c r="D34" s="11">
        <f t="shared" si="0"/>
        <v>0.24043715846994534</v>
      </c>
    </row>
    <row r="35" spans="1:4" x14ac:dyDescent="0.15">
      <c r="A35" s="33">
        <v>5</v>
      </c>
      <c r="B35">
        <v>6</v>
      </c>
      <c r="C35">
        <f t="shared" si="1"/>
        <v>50</v>
      </c>
      <c r="D35" s="11">
        <f t="shared" si="0"/>
        <v>0.27322404371584702</v>
      </c>
    </row>
    <row r="36" spans="1:4" x14ac:dyDescent="0.15">
      <c r="A36" s="33">
        <v>6</v>
      </c>
      <c r="B36">
        <v>4</v>
      </c>
      <c r="C36">
        <f t="shared" si="1"/>
        <v>54</v>
      </c>
      <c r="D36" s="11">
        <f t="shared" si="0"/>
        <v>0.29508196721311475</v>
      </c>
    </row>
    <row r="37" spans="1:4" x14ac:dyDescent="0.15">
      <c r="A37" s="33">
        <v>7</v>
      </c>
      <c r="B37">
        <v>5</v>
      </c>
      <c r="C37">
        <f t="shared" si="1"/>
        <v>59</v>
      </c>
      <c r="D37" s="11">
        <f t="shared" si="0"/>
        <v>0.32240437158469948</v>
      </c>
    </row>
    <row r="38" spans="1:4" x14ac:dyDescent="0.15">
      <c r="A38" s="33">
        <v>14</v>
      </c>
      <c r="B38">
        <v>30</v>
      </c>
      <c r="C38">
        <f t="shared" si="1"/>
        <v>89</v>
      </c>
      <c r="D38" s="11">
        <f t="shared" si="0"/>
        <v>0.48633879781420764</v>
      </c>
    </row>
    <row r="39" spans="1:4" x14ac:dyDescent="0.15">
      <c r="A39" s="33">
        <v>21</v>
      </c>
      <c r="B39">
        <v>23</v>
      </c>
      <c r="C39">
        <f t="shared" si="1"/>
        <v>112</v>
      </c>
      <c r="D39" s="11">
        <f t="shared" si="0"/>
        <v>0.61202185792349728</v>
      </c>
    </row>
    <row r="40" spans="1:4" x14ac:dyDescent="0.15">
      <c r="A40" s="33">
        <v>28</v>
      </c>
      <c r="B40">
        <v>10</v>
      </c>
      <c r="C40">
        <f t="shared" si="1"/>
        <v>122</v>
      </c>
      <c r="D40" s="11">
        <f t="shared" si="0"/>
        <v>0.66666666666666663</v>
      </c>
    </row>
    <row r="41" spans="1:4" x14ac:dyDescent="0.15">
      <c r="A41" s="33">
        <v>30</v>
      </c>
      <c r="B41">
        <v>2</v>
      </c>
      <c r="C41">
        <f t="shared" si="1"/>
        <v>124</v>
      </c>
      <c r="D41" s="11">
        <f t="shared" si="0"/>
        <v>0.67759562841530052</v>
      </c>
    </row>
    <row r="42" spans="1:4" x14ac:dyDescent="0.15">
      <c r="A42" s="33">
        <v>60</v>
      </c>
      <c r="B42">
        <v>23</v>
      </c>
      <c r="C42">
        <f t="shared" si="1"/>
        <v>147</v>
      </c>
      <c r="D42" s="11">
        <f t="shared" si="0"/>
        <v>0.80327868852459017</v>
      </c>
    </row>
    <row r="43" spans="1:4" x14ac:dyDescent="0.15">
      <c r="A43" s="33">
        <v>90</v>
      </c>
      <c r="B43">
        <v>14</v>
      </c>
      <c r="C43">
        <f t="shared" si="1"/>
        <v>161</v>
      </c>
      <c r="D43" s="11">
        <f t="shared" si="0"/>
        <v>0.8797814207650273</v>
      </c>
    </row>
    <row r="44" spans="1:4" x14ac:dyDescent="0.15">
      <c r="A44" s="33">
        <v>120</v>
      </c>
      <c r="B44">
        <v>4</v>
      </c>
      <c r="C44">
        <f t="shared" si="1"/>
        <v>165</v>
      </c>
      <c r="D44" s="11">
        <f t="shared" si="0"/>
        <v>0.90163934426229508</v>
      </c>
    </row>
    <row r="45" spans="1:4" x14ac:dyDescent="0.15">
      <c r="A45" s="33">
        <v>150</v>
      </c>
      <c r="B45">
        <v>8</v>
      </c>
      <c r="C45">
        <f t="shared" si="1"/>
        <v>173</v>
      </c>
      <c r="D45" s="11">
        <f t="shared" si="0"/>
        <v>0.94535519125683065</v>
      </c>
    </row>
    <row r="46" spans="1:4" x14ac:dyDescent="0.15">
      <c r="A46" s="33">
        <v>180</v>
      </c>
      <c r="B46">
        <v>1</v>
      </c>
      <c r="C46">
        <f t="shared" si="1"/>
        <v>174</v>
      </c>
      <c r="D46" s="11">
        <f t="shared" si="0"/>
        <v>0.95081967213114749</v>
      </c>
    </row>
    <row r="47" spans="1:4" x14ac:dyDescent="0.15">
      <c r="A47" s="33">
        <v>210</v>
      </c>
      <c r="B47">
        <v>3</v>
      </c>
      <c r="C47">
        <f t="shared" si="1"/>
        <v>177</v>
      </c>
      <c r="D47" s="11">
        <f t="shared" si="0"/>
        <v>0.96721311475409832</v>
      </c>
    </row>
    <row r="48" spans="1:4" x14ac:dyDescent="0.15">
      <c r="A48" s="33">
        <v>240</v>
      </c>
      <c r="B48">
        <v>2</v>
      </c>
      <c r="C48">
        <f t="shared" si="1"/>
        <v>179</v>
      </c>
      <c r="D48" s="11">
        <f t="shared" si="0"/>
        <v>0.97814207650273222</v>
      </c>
    </row>
    <row r="49" spans="1:4" x14ac:dyDescent="0.15">
      <c r="A49" s="33" t="s">
        <v>4205</v>
      </c>
      <c r="B49">
        <v>1</v>
      </c>
      <c r="C49">
        <f t="shared" si="1"/>
        <v>180</v>
      </c>
      <c r="D49" s="11">
        <f t="shared" si="0"/>
        <v>0.98360655737704916</v>
      </c>
    </row>
    <row r="50" spans="1:4" x14ac:dyDescent="0.15">
      <c r="A50" s="33" t="s">
        <v>4206</v>
      </c>
      <c r="B50">
        <v>3</v>
      </c>
      <c r="C50">
        <f t="shared" si="1"/>
        <v>183</v>
      </c>
      <c r="D50" s="11">
        <f t="shared" si="0"/>
        <v>1</v>
      </c>
    </row>
    <row r="51" spans="1:4" x14ac:dyDescent="0.15">
      <c r="A51" s="33"/>
    </row>
    <row r="52" spans="1:4" x14ac:dyDescent="0.15">
      <c r="C52">
        <f>SUM(B31:B50)</f>
        <v>183</v>
      </c>
    </row>
    <row r="56" spans="1:4" ht="14" thickBot="1" x14ac:dyDescent="0.2"/>
    <row r="57" spans="1:4" x14ac:dyDescent="0.15">
      <c r="A57" s="32" t="s">
        <v>4202</v>
      </c>
      <c r="B57" s="32" t="s">
        <v>4204</v>
      </c>
    </row>
    <row r="58" spans="1:4" x14ac:dyDescent="0.15">
      <c r="A58" s="29">
        <v>1</v>
      </c>
      <c r="B58" s="30">
        <v>17</v>
      </c>
      <c r="C58">
        <f>B58</f>
        <v>17</v>
      </c>
      <c r="D58" s="11">
        <f>C58/C$80</f>
        <v>9.2896174863387984E-2</v>
      </c>
    </row>
    <row r="59" spans="1:4" x14ac:dyDescent="0.15">
      <c r="A59" s="29">
        <v>2</v>
      </c>
      <c r="B59" s="30">
        <v>8</v>
      </c>
      <c r="C59">
        <f>C58+B59</f>
        <v>25</v>
      </c>
      <c r="D59" s="11">
        <f t="shared" ref="D59:D80" si="2">C59/C$80</f>
        <v>0.13661202185792351</v>
      </c>
    </row>
    <row r="60" spans="1:4" x14ac:dyDescent="0.15">
      <c r="A60" s="29">
        <v>3</v>
      </c>
      <c r="B60" s="30">
        <v>10</v>
      </c>
      <c r="C60">
        <f t="shared" ref="C60:C80" si="3">C59+B60</f>
        <v>35</v>
      </c>
      <c r="D60" s="11">
        <f t="shared" si="2"/>
        <v>0.19125683060109289</v>
      </c>
    </row>
    <row r="61" spans="1:4" x14ac:dyDescent="0.15">
      <c r="A61" s="29">
        <v>4</v>
      </c>
      <c r="B61" s="30">
        <v>9</v>
      </c>
      <c r="C61">
        <f t="shared" si="3"/>
        <v>44</v>
      </c>
      <c r="D61" s="11">
        <f t="shared" si="2"/>
        <v>0.24043715846994534</v>
      </c>
    </row>
    <row r="62" spans="1:4" x14ac:dyDescent="0.15">
      <c r="A62" s="29">
        <v>5</v>
      </c>
      <c r="B62" s="30">
        <v>6</v>
      </c>
      <c r="C62">
        <f t="shared" si="3"/>
        <v>50</v>
      </c>
      <c r="D62" s="11">
        <f t="shared" si="2"/>
        <v>0.27322404371584702</v>
      </c>
    </row>
    <row r="63" spans="1:4" x14ac:dyDescent="0.15">
      <c r="A63" s="29">
        <v>6</v>
      </c>
      <c r="B63" s="30">
        <v>4</v>
      </c>
      <c r="C63">
        <f t="shared" si="3"/>
        <v>54</v>
      </c>
      <c r="D63" s="11">
        <f t="shared" si="2"/>
        <v>0.29508196721311475</v>
      </c>
    </row>
    <row r="64" spans="1:4" x14ac:dyDescent="0.15">
      <c r="A64" s="29">
        <v>7</v>
      </c>
      <c r="B64" s="30">
        <v>5</v>
      </c>
      <c r="C64">
        <f t="shared" si="3"/>
        <v>59</v>
      </c>
      <c r="D64" s="11">
        <f t="shared" si="2"/>
        <v>0.32240437158469948</v>
      </c>
    </row>
    <row r="65" spans="1:4" x14ac:dyDescent="0.15">
      <c r="A65" s="29">
        <v>14</v>
      </c>
      <c r="B65" s="30">
        <v>30</v>
      </c>
      <c r="C65">
        <f t="shared" si="3"/>
        <v>89</v>
      </c>
      <c r="D65" s="11">
        <f t="shared" si="2"/>
        <v>0.48633879781420764</v>
      </c>
    </row>
    <row r="66" spans="1:4" x14ac:dyDescent="0.15">
      <c r="A66" s="29">
        <v>21</v>
      </c>
      <c r="B66" s="30">
        <v>23</v>
      </c>
      <c r="C66">
        <f t="shared" si="3"/>
        <v>112</v>
      </c>
      <c r="D66" s="11">
        <f t="shared" si="2"/>
        <v>0.61202185792349728</v>
      </c>
    </row>
    <row r="67" spans="1:4" x14ac:dyDescent="0.15">
      <c r="A67" s="29">
        <v>30</v>
      </c>
      <c r="B67" s="30">
        <v>12</v>
      </c>
      <c r="C67">
        <f t="shared" si="3"/>
        <v>124</v>
      </c>
      <c r="D67" s="11">
        <f t="shared" si="2"/>
        <v>0.67759562841530052</v>
      </c>
    </row>
    <row r="68" spans="1:4" x14ac:dyDescent="0.15">
      <c r="A68" s="29">
        <v>60</v>
      </c>
      <c r="B68" s="30">
        <v>23</v>
      </c>
      <c r="C68">
        <f t="shared" si="3"/>
        <v>147</v>
      </c>
      <c r="D68" s="11">
        <f t="shared" si="2"/>
        <v>0.80327868852459017</v>
      </c>
    </row>
    <row r="69" spans="1:4" x14ac:dyDescent="0.15">
      <c r="A69" s="29">
        <v>90</v>
      </c>
      <c r="B69" s="30">
        <v>14</v>
      </c>
      <c r="C69">
        <f t="shared" si="3"/>
        <v>161</v>
      </c>
      <c r="D69" s="11">
        <f t="shared" si="2"/>
        <v>0.8797814207650273</v>
      </c>
    </row>
    <row r="70" spans="1:4" x14ac:dyDescent="0.15">
      <c r="A70" s="29">
        <v>120</v>
      </c>
      <c r="B70" s="30">
        <v>4</v>
      </c>
      <c r="C70">
        <f t="shared" si="3"/>
        <v>165</v>
      </c>
      <c r="D70" s="11">
        <f t="shared" si="2"/>
        <v>0.90163934426229508</v>
      </c>
    </row>
    <row r="71" spans="1:4" x14ac:dyDescent="0.15">
      <c r="A71" s="29">
        <v>150</v>
      </c>
      <c r="B71" s="30">
        <v>8</v>
      </c>
      <c r="C71">
        <f t="shared" si="3"/>
        <v>173</v>
      </c>
      <c r="D71" s="11">
        <f t="shared" si="2"/>
        <v>0.94535519125683065</v>
      </c>
    </row>
    <row r="72" spans="1:4" x14ac:dyDescent="0.15">
      <c r="A72" s="29">
        <v>180</v>
      </c>
      <c r="B72" s="30">
        <v>1</v>
      </c>
      <c r="C72">
        <f t="shared" si="3"/>
        <v>174</v>
      </c>
      <c r="D72" s="11">
        <f t="shared" si="2"/>
        <v>0.95081967213114749</v>
      </c>
    </row>
    <row r="73" spans="1:4" x14ac:dyDescent="0.15">
      <c r="A73" s="29">
        <v>210</v>
      </c>
      <c r="B73" s="30">
        <v>3</v>
      </c>
      <c r="C73">
        <f t="shared" si="3"/>
        <v>177</v>
      </c>
      <c r="D73" s="11">
        <f t="shared" si="2"/>
        <v>0.96721311475409832</v>
      </c>
    </row>
    <row r="74" spans="1:4" x14ac:dyDescent="0.15">
      <c r="A74" s="29">
        <v>240</v>
      </c>
      <c r="B74" s="30">
        <v>2</v>
      </c>
      <c r="C74">
        <f t="shared" si="3"/>
        <v>179</v>
      </c>
      <c r="D74" s="11">
        <f t="shared" si="2"/>
        <v>0.97814207650273222</v>
      </c>
    </row>
    <row r="75" spans="1:4" x14ac:dyDescent="0.15">
      <c r="A75" s="29">
        <v>270</v>
      </c>
      <c r="B75" s="30">
        <v>0</v>
      </c>
      <c r="C75">
        <f t="shared" si="3"/>
        <v>179</v>
      </c>
      <c r="D75" s="11">
        <f t="shared" si="2"/>
        <v>0.97814207650273222</v>
      </c>
    </row>
    <row r="76" spans="1:4" x14ac:dyDescent="0.15">
      <c r="A76" s="29">
        <v>300</v>
      </c>
      <c r="B76" s="30">
        <v>1</v>
      </c>
      <c r="C76">
        <f t="shared" si="3"/>
        <v>180</v>
      </c>
      <c r="D76" s="11">
        <f t="shared" si="2"/>
        <v>0.98360655737704916</v>
      </c>
    </row>
    <row r="77" spans="1:4" x14ac:dyDescent="0.15">
      <c r="A77" s="29">
        <v>330</v>
      </c>
      <c r="B77" s="30">
        <v>0</v>
      </c>
      <c r="C77">
        <f t="shared" si="3"/>
        <v>180</v>
      </c>
      <c r="D77" s="11">
        <f t="shared" si="2"/>
        <v>0.98360655737704916</v>
      </c>
    </row>
    <row r="78" spans="1:4" x14ac:dyDescent="0.15">
      <c r="A78" s="29">
        <v>365</v>
      </c>
      <c r="B78" s="30">
        <v>0</v>
      </c>
      <c r="C78">
        <f t="shared" si="3"/>
        <v>180</v>
      </c>
      <c r="D78" s="11">
        <f t="shared" si="2"/>
        <v>0.98360655737704916</v>
      </c>
    </row>
    <row r="79" spans="1:4" x14ac:dyDescent="0.15">
      <c r="A79" s="29">
        <v>730</v>
      </c>
      <c r="B79" s="30">
        <v>1</v>
      </c>
      <c r="C79">
        <f t="shared" si="3"/>
        <v>181</v>
      </c>
      <c r="D79" s="11">
        <f t="shared" si="2"/>
        <v>0.98907103825136611</v>
      </c>
    </row>
    <row r="80" spans="1:4" x14ac:dyDescent="0.15">
      <c r="A80" s="29">
        <v>2555</v>
      </c>
      <c r="B80" s="30">
        <v>2</v>
      </c>
      <c r="C80">
        <f t="shared" si="3"/>
        <v>183</v>
      </c>
      <c r="D80" s="11">
        <f t="shared" si="2"/>
        <v>1</v>
      </c>
    </row>
    <row r="81" spans="1:4" ht="14" thickBot="1" x14ac:dyDescent="0.2">
      <c r="A81" s="31"/>
      <c r="B81" s="31"/>
    </row>
    <row r="82" spans="1:4" x14ac:dyDescent="0.15">
      <c r="A82" s="29"/>
      <c r="B82" s="30"/>
      <c r="D82" s="11"/>
    </row>
    <row r="83" spans="1:4" x14ac:dyDescent="0.15">
      <c r="A83" s="29"/>
      <c r="B83" s="30"/>
      <c r="D83" s="11"/>
    </row>
    <row r="84" spans="1:4" ht="14" thickBot="1" x14ac:dyDescent="0.2">
      <c r="A84" s="29"/>
      <c r="B84" s="30"/>
      <c r="D84" s="11"/>
    </row>
    <row r="85" spans="1:4" x14ac:dyDescent="0.15">
      <c r="A85" s="32" t="s">
        <v>4202</v>
      </c>
      <c r="B85" s="32" t="s">
        <v>4204</v>
      </c>
      <c r="D85" s="11"/>
    </row>
    <row r="86" spans="1:4" x14ac:dyDescent="0.15">
      <c r="A86" s="29">
        <v>1</v>
      </c>
      <c r="B86" s="30">
        <v>17</v>
      </c>
      <c r="C86">
        <f>B86</f>
        <v>17</v>
      </c>
      <c r="D86" s="11">
        <f>C86/C$101</f>
        <v>9.2896174863387984E-2</v>
      </c>
    </row>
    <row r="87" spans="1:4" x14ac:dyDescent="0.15">
      <c r="A87" s="29">
        <v>2</v>
      </c>
      <c r="B87" s="30">
        <v>8</v>
      </c>
      <c r="C87">
        <f>C86+B87</f>
        <v>25</v>
      </c>
      <c r="D87" s="11">
        <f t="shared" ref="D87:D101" si="4">C87/C$101</f>
        <v>0.13661202185792351</v>
      </c>
    </row>
    <row r="88" spans="1:4" x14ac:dyDescent="0.15">
      <c r="A88" s="29">
        <v>3</v>
      </c>
      <c r="B88" s="30">
        <v>10</v>
      </c>
      <c r="C88">
        <f t="shared" ref="C88:C101" si="5">C87+B88</f>
        <v>35</v>
      </c>
      <c r="D88" s="11">
        <f t="shared" si="4"/>
        <v>0.19125683060109289</v>
      </c>
    </row>
    <row r="89" spans="1:4" x14ac:dyDescent="0.15">
      <c r="A89" s="29">
        <v>4</v>
      </c>
      <c r="B89" s="30">
        <v>9</v>
      </c>
      <c r="C89">
        <f t="shared" si="5"/>
        <v>44</v>
      </c>
      <c r="D89" s="11">
        <f t="shared" si="4"/>
        <v>0.24043715846994534</v>
      </c>
    </row>
    <row r="90" spans="1:4" x14ac:dyDescent="0.15">
      <c r="A90" s="29">
        <v>5</v>
      </c>
      <c r="B90" s="30">
        <v>6</v>
      </c>
      <c r="C90">
        <f t="shared" si="5"/>
        <v>50</v>
      </c>
      <c r="D90" s="11">
        <f t="shared" si="4"/>
        <v>0.27322404371584702</v>
      </c>
    </row>
    <row r="91" spans="1:4" x14ac:dyDescent="0.15">
      <c r="A91" s="29">
        <v>6</v>
      </c>
      <c r="B91" s="30">
        <v>4</v>
      </c>
      <c r="C91">
        <f t="shared" si="5"/>
        <v>54</v>
      </c>
      <c r="D91" s="11">
        <f t="shared" si="4"/>
        <v>0.29508196721311475</v>
      </c>
    </row>
    <row r="92" spans="1:4" x14ac:dyDescent="0.15">
      <c r="A92" s="29">
        <v>7</v>
      </c>
      <c r="B92" s="30">
        <v>5</v>
      </c>
      <c r="C92">
        <f t="shared" si="5"/>
        <v>59</v>
      </c>
      <c r="D92" s="11">
        <f t="shared" si="4"/>
        <v>0.32240437158469948</v>
      </c>
    </row>
    <row r="93" spans="1:4" x14ac:dyDescent="0.15">
      <c r="A93" s="29">
        <v>14</v>
      </c>
      <c r="B93" s="30">
        <v>30</v>
      </c>
      <c r="C93">
        <f t="shared" si="5"/>
        <v>89</v>
      </c>
      <c r="D93" s="11">
        <f t="shared" si="4"/>
        <v>0.48633879781420764</v>
      </c>
    </row>
    <row r="94" spans="1:4" x14ac:dyDescent="0.15">
      <c r="A94" s="29">
        <v>21</v>
      </c>
      <c r="B94" s="30">
        <v>23</v>
      </c>
      <c r="C94">
        <f t="shared" si="5"/>
        <v>112</v>
      </c>
      <c r="D94" s="11">
        <f t="shared" si="4"/>
        <v>0.61202185792349728</v>
      </c>
    </row>
    <row r="95" spans="1:4" x14ac:dyDescent="0.15">
      <c r="A95" s="29">
        <v>30</v>
      </c>
      <c r="B95" s="30">
        <v>12</v>
      </c>
      <c r="C95">
        <f t="shared" si="5"/>
        <v>124</v>
      </c>
      <c r="D95" s="11">
        <f t="shared" si="4"/>
        <v>0.67759562841530052</v>
      </c>
    </row>
    <row r="96" spans="1:4" x14ac:dyDescent="0.15">
      <c r="A96" s="29">
        <v>60</v>
      </c>
      <c r="B96" s="30">
        <v>23</v>
      </c>
      <c r="C96">
        <f t="shared" si="5"/>
        <v>147</v>
      </c>
      <c r="D96" s="11">
        <f t="shared" si="4"/>
        <v>0.80327868852459017</v>
      </c>
    </row>
    <row r="97" spans="1:4" x14ac:dyDescent="0.15">
      <c r="A97" s="29">
        <v>90</v>
      </c>
      <c r="B97" s="30">
        <v>14</v>
      </c>
      <c r="C97">
        <f t="shared" si="5"/>
        <v>161</v>
      </c>
      <c r="D97" s="11">
        <f t="shared" si="4"/>
        <v>0.8797814207650273</v>
      </c>
    </row>
    <row r="98" spans="1:4" x14ac:dyDescent="0.15">
      <c r="A98" s="29">
        <v>120</v>
      </c>
      <c r="B98" s="30">
        <v>4</v>
      </c>
      <c r="C98">
        <f>C97+B98</f>
        <v>165</v>
      </c>
      <c r="D98" s="11">
        <f t="shared" si="4"/>
        <v>0.90163934426229508</v>
      </c>
    </row>
    <row r="99" spans="1:4" x14ac:dyDescent="0.15">
      <c r="A99" s="29">
        <v>150</v>
      </c>
      <c r="B99" s="30">
        <v>8</v>
      </c>
      <c r="C99">
        <f t="shared" si="5"/>
        <v>173</v>
      </c>
      <c r="D99" s="11">
        <f t="shared" si="4"/>
        <v>0.94535519125683065</v>
      </c>
    </row>
    <row r="100" spans="1:4" x14ac:dyDescent="0.15">
      <c r="A100" s="29">
        <v>180</v>
      </c>
      <c r="B100" s="30">
        <v>1</v>
      </c>
      <c r="C100">
        <f t="shared" si="5"/>
        <v>174</v>
      </c>
      <c r="D100" s="11">
        <f t="shared" si="4"/>
        <v>0.95081967213114749</v>
      </c>
    </row>
    <row r="101" spans="1:4" x14ac:dyDescent="0.15">
      <c r="A101" s="29">
        <v>2555</v>
      </c>
      <c r="B101" s="30">
        <v>9</v>
      </c>
      <c r="C101">
        <f t="shared" si="5"/>
        <v>183</v>
      </c>
      <c r="D101" s="11">
        <f t="shared" si="4"/>
        <v>1</v>
      </c>
    </row>
    <row r="102" spans="1:4" ht="14" thickBot="1" x14ac:dyDescent="0.2">
      <c r="A102" s="31"/>
      <c r="B102" s="31"/>
      <c r="D102" s="11"/>
    </row>
    <row r="103" spans="1:4" x14ac:dyDescent="0.15">
      <c r="A103" s="29"/>
      <c r="B103" s="30"/>
      <c r="D103" s="11"/>
    </row>
    <row r="104" spans="1:4" x14ac:dyDescent="0.15">
      <c r="A104" s="29"/>
      <c r="B104" s="30"/>
      <c r="D104" s="11"/>
    </row>
    <row r="105" spans="1:4" ht="14" thickBot="1" x14ac:dyDescent="0.2">
      <c r="A105" s="31"/>
      <c r="B105" s="31"/>
    </row>
  </sheetData>
  <sortState ref="A2:A25">
    <sortCondition ref="A2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opLeftCell="A2" workbookViewId="0">
      <selection activeCell="S25" sqref="S25"/>
    </sheetView>
  </sheetViews>
  <sheetFormatPr baseColWidth="10" defaultRowHeight="13" x14ac:dyDescent="0.15"/>
  <sheetData>
    <row r="1" spans="1:4" x14ac:dyDescent="0.15">
      <c r="A1" s="36">
        <v>2012</v>
      </c>
    </row>
    <row r="2" spans="1:4" ht="14" thickBot="1" x14ac:dyDescent="0.2"/>
    <row r="3" spans="1:4" x14ac:dyDescent="0.15">
      <c r="A3" s="32" t="s">
        <v>4202</v>
      </c>
      <c r="B3" s="32" t="s">
        <v>4204</v>
      </c>
    </row>
    <row r="4" spans="1:4" x14ac:dyDescent="0.15">
      <c r="A4" s="29">
        <v>7</v>
      </c>
      <c r="B4" s="30">
        <v>16</v>
      </c>
      <c r="C4">
        <f>B4</f>
        <v>16</v>
      </c>
      <c r="D4" s="11">
        <f>C4/B$16</f>
        <v>5.3691275167785234E-2</v>
      </c>
    </row>
    <row r="5" spans="1:4" x14ac:dyDescent="0.15">
      <c r="A5" s="29">
        <v>14</v>
      </c>
      <c r="B5" s="30">
        <v>3</v>
      </c>
      <c r="C5">
        <f>C4+B5</f>
        <v>19</v>
      </c>
      <c r="D5" s="11">
        <f t="shared" ref="D5:D13" si="0">C5/B$16</f>
        <v>6.3758389261744972E-2</v>
      </c>
    </row>
    <row r="6" spans="1:4" x14ac:dyDescent="0.15">
      <c r="A6" s="29">
        <v>21</v>
      </c>
      <c r="B6" s="30">
        <v>6</v>
      </c>
      <c r="C6">
        <f t="shared" ref="C6:C13" si="1">C5+B6</f>
        <v>25</v>
      </c>
      <c r="D6" s="11">
        <f t="shared" si="0"/>
        <v>8.3892617449664433E-2</v>
      </c>
    </row>
    <row r="7" spans="1:4" x14ac:dyDescent="0.15">
      <c r="A7" s="29">
        <v>30</v>
      </c>
      <c r="B7" s="30">
        <v>1</v>
      </c>
      <c r="C7">
        <f t="shared" si="1"/>
        <v>26</v>
      </c>
      <c r="D7" s="11">
        <f t="shared" si="0"/>
        <v>8.7248322147651006E-2</v>
      </c>
    </row>
    <row r="8" spans="1:4" x14ac:dyDescent="0.15">
      <c r="A8" s="29">
        <v>60</v>
      </c>
      <c r="B8" s="30">
        <v>6</v>
      </c>
      <c r="C8">
        <f t="shared" si="1"/>
        <v>32</v>
      </c>
      <c r="D8" s="11">
        <f t="shared" si="0"/>
        <v>0.10738255033557047</v>
      </c>
    </row>
    <row r="9" spans="1:4" x14ac:dyDescent="0.15">
      <c r="A9" s="29">
        <v>90</v>
      </c>
      <c r="B9" s="30">
        <v>5</v>
      </c>
      <c r="C9">
        <f t="shared" si="1"/>
        <v>37</v>
      </c>
      <c r="D9" s="11">
        <f t="shared" si="0"/>
        <v>0.12416107382550336</v>
      </c>
    </row>
    <row r="10" spans="1:4" x14ac:dyDescent="0.15">
      <c r="A10" s="29">
        <v>120</v>
      </c>
      <c r="B10" s="30">
        <v>1</v>
      </c>
      <c r="C10">
        <f t="shared" si="1"/>
        <v>38</v>
      </c>
      <c r="D10" s="11">
        <f t="shared" si="0"/>
        <v>0.12751677852348994</v>
      </c>
    </row>
    <row r="11" spans="1:4" x14ac:dyDescent="0.15">
      <c r="A11" s="29">
        <v>150</v>
      </c>
      <c r="B11" s="30">
        <v>1</v>
      </c>
      <c r="C11">
        <f t="shared" si="1"/>
        <v>39</v>
      </c>
      <c r="D11" s="11">
        <f t="shared" si="0"/>
        <v>0.13087248322147652</v>
      </c>
    </row>
    <row r="12" spans="1:4" x14ac:dyDescent="0.15">
      <c r="A12" s="29">
        <v>180</v>
      </c>
      <c r="B12" s="30">
        <v>0</v>
      </c>
      <c r="C12">
        <f t="shared" si="1"/>
        <v>39</v>
      </c>
      <c r="D12" s="11">
        <f t="shared" si="0"/>
        <v>0.13087248322147652</v>
      </c>
    </row>
    <row r="13" spans="1:4" x14ac:dyDescent="0.15">
      <c r="A13" s="29" t="s">
        <v>4222</v>
      </c>
      <c r="B13" s="30">
        <v>2</v>
      </c>
      <c r="C13">
        <f t="shared" si="1"/>
        <v>41</v>
      </c>
      <c r="D13" s="11">
        <f t="shared" si="0"/>
        <v>0.13758389261744966</v>
      </c>
    </row>
    <row r="14" spans="1:4" ht="14" thickBot="1" x14ac:dyDescent="0.2">
      <c r="A14" s="31" t="s">
        <v>4203</v>
      </c>
      <c r="B14" s="31">
        <v>0</v>
      </c>
    </row>
    <row r="16" spans="1:4" x14ac:dyDescent="0.15">
      <c r="A16" t="s">
        <v>4196</v>
      </c>
      <c r="B16">
        <v>298</v>
      </c>
    </row>
    <row r="19" spans="1:4" ht="14" thickBot="1" x14ac:dyDescent="0.2">
      <c r="A19" s="36">
        <v>2013</v>
      </c>
    </row>
    <row r="20" spans="1:4" x14ac:dyDescent="0.15">
      <c r="A20" s="32" t="s">
        <v>4202</v>
      </c>
      <c r="B20" s="32" t="s">
        <v>4204</v>
      </c>
    </row>
    <row r="21" spans="1:4" x14ac:dyDescent="0.15">
      <c r="A21" s="29">
        <v>7</v>
      </c>
      <c r="B21" s="30">
        <v>7</v>
      </c>
      <c r="C21">
        <f>B21</f>
        <v>7</v>
      </c>
      <c r="D21" s="11">
        <f>C21/B$33</f>
        <v>2.9535864978902954E-2</v>
      </c>
    </row>
    <row r="22" spans="1:4" x14ac:dyDescent="0.15">
      <c r="A22" s="29">
        <v>14</v>
      </c>
      <c r="B22" s="30">
        <v>6</v>
      </c>
      <c r="C22">
        <f>C21+B22</f>
        <v>13</v>
      </c>
      <c r="D22" s="11">
        <f t="shared" ref="D22:D30" si="2">C22/B$33</f>
        <v>5.4852320675105488E-2</v>
      </c>
    </row>
    <row r="23" spans="1:4" x14ac:dyDescent="0.15">
      <c r="A23" s="29">
        <v>21</v>
      </c>
      <c r="B23" s="30">
        <v>5</v>
      </c>
      <c r="C23">
        <f t="shared" ref="C23:C30" si="3">C22+B23</f>
        <v>18</v>
      </c>
      <c r="D23" s="11">
        <f t="shared" si="2"/>
        <v>7.5949367088607597E-2</v>
      </c>
    </row>
    <row r="24" spans="1:4" x14ac:dyDescent="0.15">
      <c r="A24" s="29">
        <v>30</v>
      </c>
      <c r="B24" s="30">
        <v>3</v>
      </c>
      <c r="C24">
        <f t="shared" si="3"/>
        <v>21</v>
      </c>
      <c r="D24" s="11">
        <f t="shared" si="2"/>
        <v>8.8607594936708861E-2</v>
      </c>
    </row>
    <row r="25" spans="1:4" x14ac:dyDescent="0.15">
      <c r="A25" s="29">
        <v>60</v>
      </c>
      <c r="B25" s="30">
        <v>4</v>
      </c>
      <c r="C25">
        <f t="shared" si="3"/>
        <v>25</v>
      </c>
      <c r="D25" s="11">
        <f t="shared" si="2"/>
        <v>0.10548523206751055</v>
      </c>
    </row>
    <row r="26" spans="1:4" x14ac:dyDescent="0.15">
      <c r="A26" s="29">
        <v>90</v>
      </c>
      <c r="B26" s="30">
        <v>1</v>
      </c>
      <c r="C26">
        <f t="shared" si="3"/>
        <v>26</v>
      </c>
      <c r="D26" s="11">
        <f t="shared" si="2"/>
        <v>0.10970464135021098</v>
      </c>
    </row>
    <row r="27" spans="1:4" x14ac:dyDescent="0.15">
      <c r="A27" s="29">
        <v>120</v>
      </c>
      <c r="B27" s="30">
        <v>1</v>
      </c>
      <c r="C27">
        <f t="shared" si="3"/>
        <v>27</v>
      </c>
      <c r="D27" s="11">
        <f t="shared" si="2"/>
        <v>0.11392405063291139</v>
      </c>
    </row>
    <row r="28" spans="1:4" x14ac:dyDescent="0.15">
      <c r="A28" s="29">
        <v>150</v>
      </c>
      <c r="B28" s="30">
        <v>3</v>
      </c>
      <c r="C28">
        <f t="shared" si="3"/>
        <v>30</v>
      </c>
      <c r="D28" s="11">
        <f t="shared" si="2"/>
        <v>0.12658227848101267</v>
      </c>
    </row>
    <row r="29" spans="1:4" x14ac:dyDescent="0.15">
      <c r="A29" s="29">
        <v>180</v>
      </c>
      <c r="B29" s="30">
        <v>0</v>
      </c>
      <c r="C29">
        <f t="shared" si="3"/>
        <v>30</v>
      </c>
      <c r="D29" s="11">
        <f t="shared" si="2"/>
        <v>0.12658227848101267</v>
      </c>
    </row>
    <row r="30" spans="1:4" x14ac:dyDescent="0.15">
      <c r="A30" s="29" t="s">
        <v>4222</v>
      </c>
      <c r="B30" s="30">
        <v>2</v>
      </c>
      <c r="C30">
        <f t="shared" si="3"/>
        <v>32</v>
      </c>
      <c r="D30" s="11">
        <f t="shared" si="2"/>
        <v>0.13502109704641349</v>
      </c>
    </row>
    <row r="31" spans="1:4" ht="14" thickBot="1" x14ac:dyDescent="0.2">
      <c r="A31" s="31" t="s">
        <v>4203</v>
      </c>
      <c r="B31" s="31">
        <v>0</v>
      </c>
    </row>
    <row r="33" spans="1:4" x14ac:dyDescent="0.15">
      <c r="A33" t="s">
        <v>4196</v>
      </c>
      <c r="B33">
        <v>237</v>
      </c>
    </row>
    <row r="36" spans="1:4" ht="14" thickBot="1" x14ac:dyDescent="0.2">
      <c r="A36" s="36">
        <v>2014</v>
      </c>
    </row>
    <row r="37" spans="1:4" x14ac:dyDescent="0.15">
      <c r="A37" s="32" t="s">
        <v>4202</v>
      </c>
      <c r="B37" s="32" t="s">
        <v>4204</v>
      </c>
    </row>
    <row r="38" spans="1:4" x14ac:dyDescent="0.15">
      <c r="A38" s="29">
        <v>7</v>
      </c>
      <c r="B38" s="30">
        <v>4</v>
      </c>
      <c r="C38">
        <f>B38</f>
        <v>4</v>
      </c>
      <c r="D38" s="11">
        <f>C38/B$50</f>
        <v>1.5037593984962405E-2</v>
      </c>
    </row>
    <row r="39" spans="1:4" x14ac:dyDescent="0.15">
      <c r="A39" s="29">
        <v>14</v>
      </c>
      <c r="B39" s="30">
        <v>6</v>
      </c>
      <c r="C39">
        <f>C38+B39</f>
        <v>10</v>
      </c>
      <c r="D39" s="11">
        <f t="shared" ref="D39:D47" si="4">C39/B$50</f>
        <v>3.7593984962406013E-2</v>
      </c>
    </row>
    <row r="40" spans="1:4" x14ac:dyDescent="0.15">
      <c r="A40" s="29">
        <v>21</v>
      </c>
      <c r="B40" s="30">
        <v>2</v>
      </c>
      <c r="C40">
        <f t="shared" ref="C40:C47" si="5">C39+B40</f>
        <v>12</v>
      </c>
      <c r="D40" s="11">
        <f t="shared" si="4"/>
        <v>4.5112781954887216E-2</v>
      </c>
    </row>
    <row r="41" spans="1:4" x14ac:dyDescent="0.15">
      <c r="A41" s="29">
        <v>30</v>
      </c>
      <c r="B41" s="30">
        <v>0</v>
      </c>
      <c r="C41">
        <f t="shared" si="5"/>
        <v>12</v>
      </c>
      <c r="D41" s="11">
        <f t="shared" si="4"/>
        <v>4.5112781954887216E-2</v>
      </c>
    </row>
    <row r="42" spans="1:4" x14ac:dyDescent="0.15">
      <c r="A42" s="29">
        <v>60</v>
      </c>
      <c r="B42" s="30">
        <v>5</v>
      </c>
      <c r="C42">
        <f t="shared" si="5"/>
        <v>17</v>
      </c>
      <c r="D42" s="11">
        <f t="shared" si="4"/>
        <v>6.3909774436090222E-2</v>
      </c>
    </row>
    <row r="43" spans="1:4" x14ac:dyDescent="0.15">
      <c r="A43" s="29">
        <v>90</v>
      </c>
      <c r="B43" s="30">
        <v>1</v>
      </c>
      <c r="C43">
        <f t="shared" si="5"/>
        <v>18</v>
      </c>
      <c r="D43" s="11">
        <f t="shared" si="4"/>
        <v>6.7669172932330823E-2</v>
      </c>
    </row>
    <row r="44" spans="1:4" x14ac:dyDescent="0.15">
      <c r="A44" s="29">
        <v>120</v>
      </c>
      <c r="B44" s="30">
        <v>0</v>
      </c>
      <c r="C44">
        <f t="shared" si="5"/>
        <v>18</v>
      </c>
      <c r="D44" s="11">
        <f t="shared" si="4"/>
        <v>6.7669172932330823E-2</v>
      </c>
    </row>
    <row r="45" spans="1:4" x14ac:dyDescent="0.15">
      <c r="A45" s="29">
        <v>150</v>
      </c>
      <c r="B45" s="30">
        <v>2</v>
      </c>
      <c r="C45">
        <f t="shared" si="5"/>
        <v>20</v>
      </c>
      <c r="D45" s="11">
        <f t="shared" si="4"/>
        <v>7.5187969924812026E-2</v>
      </c>
    </row>
    <row r="46" spans="1:4" x14ac:dyDescent="0.15">
      <c r="A46" s="29">
        <v>180</v>
      </c>
      <c r="B46" s="30">
        <v>0</v>
      </c>
      <c r="C46">
        <f t="shared" si="5"/>
        <v>20</v>
      </c>
      <c r="D46" s="11">
        <f t="shared" si="4"/>
        <v>7.5187969924812026E-2</v>
      </c>
    </row>
    <row r="47" spans="1:4" x14ac:dyDescent="0.15">
      <c r="A47" s="29" t="s">
        <v>4222</v>
      </c>
      <c r="B47" s="30">
        <v>2</v>
      </c>
      <c r="C47">
        <f t="shared" si="5"/>
        <v>22</v>
      </c>
      <c r="D47" s="11">
        <f t="shared" si="4"/>
        <v>8.2706766917293228E-2</v>
      </c>
    </row>
    <row r="48" spans="1:4" ht="14" thickBot="1" x14ac:dyDescent="0.2">
      <c r="A48" s="31" t="s">
        <v>4203</v>
      </c>
      <c r="B48" s="31">
        <v>0</v>
      </c>
    </row>
    <row r="50" spans="1:4" x14ac:dyDescent="0.15">
      <c r="A50" t="s">
        <v>4196</v>
      </c>
      <c r="B50">
        <v>266</v>
      </c>
    </row>
    <row r="53" spans="1:4" ht="14" thickBot="1" x14ac:dyDescent="0.2">
      <c r="A53" s="36">
        <v>2015</v>
      </c>
    </row>
    <row r="54" spans="1:4" x14ac:dyDescent="0.15">
      <c r="A54" s="32" t="s">
        <v>4202</v>
      </c>
      <c r="B54" s="32" t="s">
        <v>4204</v>
      </c>
    </row>
    <row r="55" spans="1:4" x14ac:dyDescent="0.15">
      <c r="A55" s="29">
        <v>7</v>
      </c>
      <c r="B55" s="30">
        <v>7</v>
      </c>
      <c r="C55">
        <f>B55</f>
        <v>7</v>
      </c>
      <c r="D55" s="11">
        <f>C55/B$67</f>
        <v>2.8000000000000001E-2</v>
      </c>
    </row>
    <row r="56" spans="1:4" x14ac:dyDescent="0.15">
      <c r="A56" s="29">
        <v>14</v>
      </c>
      <c r="B56" s="30">
        <v>6</v>
      </c>
      <c r="C56">
        <f>C55+B56</f>
        <v>13</v>
      </c>
      <c r="D56" s="11">
        <f t="shared" ref="D56:D64" si="6">C56/B$67</f>
        <v>5.1999999999999998E-2</v>
      </c>
    </row>
    <row r="57" spans="1:4" x14ac:dyDescent="0.15">
      <c r="A57" s="29">
        <v>21</v>
      </c>
      <c r="B57" s="30">
        <v>2</v>
      </c>
      <c r="C57">
        <f t="shared" ref="C57:C64" si="7">C56+B57</f>
        <v>15</v>
      </c>
      <c r="D57" s="11">
        <f t="shared" si="6"/>
        <v>0.06</v>
      </c>
    </row>
    <row r="58" spans="1:4" x14ac:dyDescent="0.15">
      <c r="A58" s="29">
        <v>30</v>
      </c>
      <c r="B58" s="30">
        <v>3</v>
      </c>
      <c r="C58">
        <f t="shared" si="7"/>
        <v>18</v>
      </c>
      <c r="D58" s="11">
        <f t="shared" si="6"/>
        <v>7.1999999999999995E-2</v>
      </c>
    </row>
    <row r="59" spans="1:4" x14ac:dyDescent="0.15">
      <c r="A59" s="29">
        <v>60</v>
      </c>
      <c r="B59" s="30">
        <v>1</v>
      </c>
      <c r="C59">
        <f t="shared" si="7"/>
        <v>19</v>
      </c>
      <c r="D59" s="11">
        <f t="shared" si="6"/>
        <v>7.5999999999999998E-2</v>
      </c>
    </row>
    <row r="60" spans="1:4" x14ac:dyDescent="0.15">
      <c r="A60" s="29">
        <v>90</v>
      </c>
      <c r="B60" s="30">
        <v>0</v>
      </c>
      <c r="C60">
        <f t="shared" si="7"/>
        <v>19</v>
      </c>
      <c r="D60" s="11">
        <f t="shared" si="6"/>
        <v>7.5999999999999998E-2</v>
      </c>
    </row>
    <row r="61" spans="1:4" x14ac:dyDescent="0.15">
      <c r="A61" s="29">
        <v>120</v>
      </c>
      <c r="B61" s="30">
        <v>0</v>
      </c>
      <c r="C61">
        <f t="shared" si="7"/>
        <v>19</v>
      </c>
      <c r="D61" s="11">
        <f t="shared" si="6"/>
        <v>7.5999999999999998E-2</v>
      </c>
    </row>
    <row r="62" spans="1:4" x14ac:dyDescent="0.15">
      <c r="A62" s="29">
        <v>150</v>
      </c>
      <c r="B62" s="30">
        <v>2</v>
      </c>
      <c r="C62">
        <f t="shared" si="7"/>
        <v>21</v>
      </c>
      <c r="D62" s="11">
        <f t="shared" si="6"/>
        <v>8.4000000000000005E-2</v>
      </c>
    </row>
    <row r="63" spans="1:4" x14ac:dyDescent="0.15">
      <c r="A63" s="29">
        <v>180</v>
      </c>
      <c r="B63" s="30">
        <v>1</v>
      </c>
      <c r="C63">
        <f t="shared" si="7"/>
        <v>22</v>
      </c>
      <c r="D63" s="11">
        <f t="shared" si="6"/>
        <v>8.7999999999999995E-2</v>
      </c>
    </row>
    <row r="64" spans="1:4" x14ac:dyDescent="0.15">
      <c r="A64" s="29" t="s">
        <v>4222</v>
      </c>
      <c r="B64" s="30">
        <v>1</v>
      </c>
      <c r="C64">
        <f t="shared" si="7"/>
        <v>23</v>
      </c>
      <c r="D64" s="11">
        <f t="shared" si="6"/>
        <v>9.1999999999999998E-2</v>
      </c>
    </row>
    <row r="65" spans="1:4" ht="14" thickBot="1" x14ac:dyDescent="0.2">
      <c r="A65" s="31" t="s">
        <v>4203</v>
      </c>
      <c r="B65" s="31">
        <v>0</v>
      </c>
    </row>
    <row r="67" spans="1:4" x14ac:dyDescent="0.15">
      <c r="A67" t="s">
        <v>4196</v>
      </c>
      <c r="B67">
        <v>250</v>
      </c>
    </row>
    <row r="69" spans="1:4" ht="14" thickBot="1" x14ac:dyDescent="0.2">
      <c r="A69" s="36">
        <v>2016</v>
      </c>
    </row>
    <row r="70" spans="1:4" x14ac:dyDescent="0.15">
      <c r="A70" s="38" t="s">
        <v>4202</v>
      </c>
      <c r="B70" s="38" t="s">
        <v>4204</v>
      </c>
    </row>
    <row r="71" spans="1:4" x14ac:dyDescent="0.15">
      <c r="A71">
        <v>7</v>
      </c>
      <c r="B71">
        <v>8</v>
      </c>
      <c r="C71">
        <f>B71</f>
        <v>8</v>
      </c>
      <c r="D71" s="11">
        <f>C71/B$83</f>
        <v>3.7914691943127965E-2</v>
      </c>
    </row>
    <row r="72" spans="1:4" x14ac:dyDescent="0.15">
      <c r="A72">
        <v>14</v>
      </c>
      <c r="B72">
        <v>1</v>
      </c>
      <c r="C72">
        <f>C71+B72</f>
        <v>9</v>
      </c>
      <c r="D72" s="11">
        <f t="shared" ref="D72:D80" si="8">C72/B$83</f>
        <v>4.2654028436018961E-2</v>
      </c>
    </row>
    <row r="73" spans="1:4" x14ac:dyDescent="0.15">
      <c r="A73">
        <v>21</v>
      </c>
      <c r="B73">
        <v>2</v>
      </c>
      <c r="C73">
        <f t="shared" ref="C73:C80" si="9">C72+B73</f>
        <v>11</v>
      </c>
      <c r="D73" s="11">
        <f t="shared" si="8"/>
        <v>5.2132701421800945E-2</v>
      </c>
    </row>
    <row r="74" spans="1:4" x14ac:dyDescent="0.15">
      <c r="A74">
        <v>30</v>
      </c>
      <c r="B74">
        <v>1</v>
      </c>
      <c r="C74">
        <f t="shared" si="9"/>
        <v>12</v>
      </c>
      <c r="D74" s="11">
        <f t="shared" si="8"/>
        <v>5.6872037914691941E-2</v>
      </c>
    </row>
    <row r="75" spans="1:4" x14ac:dyDescent="0.15">
      <c r="A75">
        <v>60</v>
      </c>
      <c r="B75">
        <v>0</v>
      </c>
      <c r="C75">
        <f t="shared" si="9"/>
        <v>12</v>
      </c>
      <c r="D75" s="11">
        <f t="shared" si="8"/>
        <v>5.6872037914691941E-2</v>
      </c>
    </row>
    <row r="76" spans="1:4" x14ac:dyDescent="0.15">
      <c r="A76">
        <v>90</v>
      </c>
      <c r="B76">
        <v>3</v>
      </c>
      <c r="C76">
        <f t="shared" si="9"/>
        <v>15</v>
      </c>
      <c r="D76" s="11">
        <f t="shared" si="8"/>
        <v>7.1090047393364927E-2</v>
      </c>
    </row>
    <row r="77" spans="1:4" x14ac:dyDescent="0.15">
      <c r="A77">
        <v>120</v>
      </c>
      <c r="B77">
        <v>0</v>
      </c>
      <c r="C77">
        <f t="shared" si="9"/>
        <v>15</v>
      </c>
      <c r="D77" s="11">
        <f t="shared" si="8"/>
        <v>7.1090047393364927E-2</v>
      </c>
    </row>
    <row r="78" spans="1:4" x14ac:dyDescent="0.15">
      <c r="A78">
        <v>150</v>
      </c>
      <c r="B78">
        <v>0</v>
      </c>
      <c r="C78">
        <f t="shared" si="9"/>
        <v>15</v>
      </c>
      <c r="D78" s="11">
        <f t="shared" si="8"/>
        <v>7.1090047393364927E-2</v>
      </c>
    </row>
    <row r="79" spans="1:4" x14ac:dyDescent="0.15">
      <c r="A79">
        <v>180</v>
      </c>
      <c r="B79">
        <v>0</v>
      </c>
      <c r="C79">
        <f t="shared" si="9"/>
        <v>15</v>
      </c>
      <c r="D79" s="11">
        <f t="shared" si="8"/>
        <v>7.1090047393364927E-2</v>
      </c>
    </row>
    <row r="80" spans="1:4" x14ac:dyDescent="0.15">
      <c r="A80" s="29" t="s">
        <v>4222</v>
      </c>
      <c r="B80">
        <v>1</v>
      </c>
      <c r="C80">
        <f t="shared" si="9"/>
        <v>16</v>
      </c>
      <c r="D80" s="11">
        <f t="shared" si="8"/>
        <v>7.582938388625593E-2</v>
      </c>
    </row>
    <row r="81" spans="1:2" ht="14" thickBot="1" x14ac:dyDescent="0.2">
      <c r="A81" s="39" t="s">
        <v>4203</v>
      </c>
      <c r="B81" s="39">
        <v>0</v>
      </c>
    </row>
    <row r="83" spans="1:2" x14ac:dyDescent="0.15">
      <c r="A83" t="s">
        <v>4196</v>
      </c>
      <c r="B83">
        <v>211</v>
      </c>
    </row>
  </sheetData>
  <sortState ref="A2:A11">
    <sortCondition ref="A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</vt:lpstr>
      <vt:lpstr>Sorted</vt:lpstr>
      <vt:lpstr>Master</vt:lpstr>
      <vt:lpstr>Days</vt:lpstr>
      <vt:lpstr>Months</vt:lpstr>
      <vt:lpstr>Days to Months</vt:lpstr>
      <vt:lpstr>Weeks to Months</vt:lpstr>
      <vt:lpstr>Days to Weeks to Months</vt:lpstr>
      <vt:lpstr>Y2Y Aggregate Rate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</cp:lastModifiedBy>
  <dcterms:created xsi:type="dcterms:W3CDTF">2017-08-03T22:59:09Z</dcterms:created>
  <dcterms:modified xsi:type="dcterms:W3CDTF">2017-08-04T19:58:16Z</dcterms:modified>
</cp:coreProperties>
</file>