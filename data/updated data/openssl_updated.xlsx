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Volumes/Progress/Projects/Google Drive/Work/Vulnerability Rediscovery/Data/Revisions/Final/"/>
    </mc:Choice>
  </mc:AlternateContent>
  <bookViews>
    <workbookView xWindow="1240" yWindow="460" windowWidth="15960" windowHeight="18080"/>
  </bookViews>
  <sheets>
    <sheet name="OpenSSLdata.csv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0" i="1" l="1"/>
</calcChain>
</file>

<file path=xl/sharedStrings.xml><?xml version="1.0" encoding="utf-8"?>
<sst xmlns="http://schemas.openxmlformats.org/spreadsheetml/2006/main" count="232" uniqueCount="139">
  <si>
    <t>CVE-ID</t>
  </si>
  <si>
    <t>Date Patched</t>
  </si>
  <si>
    <t>Report Cred</t>
  </si>
  <si>
    <t>Report Date</t>
  </si>
  <si>
    <t>Dup</t>
  </si>
  <si>
    <t>Dup Date</t>
  </si>
  <si>
    <t>CVE-2017-3733</t>
  </si>
  <si>
    <t>16th February 2017</t>
  </si>
  <si>
    <t>Reported by Joe Orton (Red Hat)</t>
  </si>
  <si>
    <t>N</t>
  </si>
  <si>
    <t>CVE-2016-7054</t>
  </si>
  <si>
    <t>10th November 2016</t>
  </si>
  <si>
    <t>Reported by Robert wicki (Google Security Team) on 25th September 2016.</t>
  </si>
  <si>
    <t>CVE-2016-7053</t>
  </si>
  <si>
    <t>Reported by Tyler Nighswander (ForAllSecure) on 12th October 2016.</t>
  </si>
  <si>
    <t>CVE-2016-7052</t>
  </si>
  <si>
    <t>26th September 2016</t>
  </si>
  <si>
    <t>Reported by Bruce Stephens and Thomas Jakobi on 22nd September 2016.</t>
  </si>
  <si>
    <t>CVE-2016-6309</t>
  </si>
  <si>
    <t>Reported by Robert wicki (Google Security Team) on 23rd September 2016.</t>
  </si>
  <si>
    <t>CVE-2016-6305</t>
  </si>
  <si>
    <t>22nd September 2016</t>
  </si>
  <si>
    <t>Reported by Alex Gaynor on 10th September 2016.</t>
  </si>
  <si>
    <t>CVE-2016-6304</t>
  </si>
  <si>
    <t>Reported by Shi Lei (Gear Team Qihoo 360 Inc.) on 29th August 2016.</t>
  </si>
  <si>
    <t>CVE-2016-2108</t>
  </si>
  <si>
    <t>3rd May 2016</t>
  </si>
  <si>
    <t>Reported by Huzaifa Sidhpurwala (Red Hat) Hanno Bck David Benjamin (Google) on 31st March 2016.</t>
  </si>
  <si>
    <t>CVE-2016-2107</t>
  </si>
  <si>
    <t>Reported by Juraj Somorovsky on 13th April 2016.</t>
  </si>
  <si>
    <t>CVE-2016-0800</t>
  </si>
  <si>
    <t>1st March 2016</t>
  </si>
  <si>
    <t>Reported by Nimrod Aviram and Sebastian Schinzel on 29th December 2015.</t>
  </si>
  <si>
    <t>CVE-2016-0704</t>
  </si>
  <si>
    <t>Reported by David Adrian and J.Alex Halderman (University of Michigan) on 10th February 2016.</t>
  </si>
  <si>
    <t>CVE-2016-0703</t>
  </si>
  <si>
    <t>CVE-2016-0701</t>
  </si>
  <si>
    <t>28th January 2016</t>
  </si>
  <si>
    <t>Reported by Antonio Sanso (Adobe) on 12th January 2016.</t>
  </si>
  <si>
    <t>CVE-2015-3195</t>
  </si>
  <si>
    <t>3rd December 2015</t>
  </si>
  <si>
    <t>Reported by Adam Langley (Google/BoringSSL) using libFuzzer on 9th November 2015.</t>
  </si>
  <si>
    <t>CVE-2015-3194</t>
  </si>
  <si>
    <t>Reported by Loc Jonas Etienne (Qnective AG) on 27th August 2015.</t>
  </si>
  <si>
    <t>CVE-2015-3193</t>
  </si>
  <si>
    <t>Reported by Hanno Bck on 13th August 2015.</t>
  </si>
  <si>
    <t>CVE-2015-1793</t>
  </si>
  <si>
    <t>9th July 2015</t>
  </si>
  <si>
    <t>Reported by Adam Langley and David Benjamin (Google/BoringSSL) on 24th June 2015.</t>
  </si>
  <si>
    <t>CVE-2015-1792</t>
  </si>
  <si>
    <t>11th June 2015</t>
  </si>
  <si>
    <t>Reported by Johannes Bauer on 31st March 2015.</t>
  </si>
  <si>
    <t>CVE-2015-1790</t>
  </si>
  <si>
    <t>Reported by Michal Zalewski (Google) on 18th April 2015.</t>
  </si>
  <si>
    <t>CVE-2015-1789</t>
  </si>
  <si>
    <t>Reported by Robert wicki (Google Security Team) on 8th April 2015.          Reported by Hanno Bck on 11th April 2015.</t>
  </si>
  <si>
    <t>Y</t>
  </si>
  <si>
    <t>CVE-2015-1788</t>
  </si>
  <si>
    <t>Reported by Joseph Birr-Pixton on 6th April 2015.</t>
  </si>
  <si>
    <t>CVE-2015-1787</t>
  </si>
  <si>
    <t>19th March 2015</t>
  </si>
  <si>
    <t>Reported by Matt Caswell (OpenSSL development team).</t>
  </si>
  <si>
    <t>CVE-2015-0293</t>
  </si>
  <si>
    <t>Reported by Sean Burford (Google) and Emilia Ksper (OpenSSL development team).</t>
  </si>
  <si>
    <t>CVE-2015-0292</t>
  </si>
  <si>
    <t>Reported by Robert Dugal also David Ramos also Huzaifa Sidhpurwala (Red Hat).</t>
  </si>
  <si>
    <t>CVE-2015-0291</t>
  </si>
  <si>
    <t>Reported by  David Ramos (Stanford University) on 26th February 2015.</t>
  </si>
  <si>
    <t>CVE-2015-0290</t>
  </si>
  <si>
    <t>Reported by Daniel Danner and Rainer Mueller on 13th February 2015.</t>
  </si>
  <si>
    <t>CVE-2015-0289</t>
  </si>
  <si>
    <t>Reported by Michal Zalewski (Google) on 16th February 2015.</t>
  </si>
  <si>
    <t>CVE-2015-0287</t>
  </si>
  <si>
    <t>Reported by Emilia Ksper (OpenSSL development team).</t>
  </si>
  <si>
    <t>CVE-2015-0286</t>
  </si>
  <si>
    <t>Reported by Stephen Henson (OpenSSL development team).</t>
  </si>
  <si>
    <t>CVE-2015-0208</t>
  </si>
  <si>
    <t>Reported by Brian Carpenter on 31st January 2015.</t>
  </si>
  <si>
    <t>CVE-2015-0207</t>
  </si>
  <si>
    <t>Reported by Per Allansson on 27th January 2015.</t>
  </si>
  <si>
    <t>CVE-2015-0206</t>
  </si>
  <si>
    <t>8th January 2015</t>
  </si>
  <si>
    <t>Reported by Chris Mueller.</t>
  </si>
  <si>
    <t>CVE-2015-0205</t>
  </si>
  <si>
    <t>Reported by Karthikeyan Bhargavan of the PROSECCO team at INRIA.</t>
  </si>
  <si>
    <t>CVE-2015-0204</t>
  </si>
  <si>
    <t>6th January 2015</t>
  </si>
  <si>
    <t>CVE-2014-8275</t>
  </si>
  <si>
    <t>5th January 2015</t>
  </si>
  <si>
    <t>Reported by Antti Karjalainen and Tuomo Untinen from the Codenomicon CROSS program/Konrad Kraszewski from Google.</t>
  </si>
  <si>
    <t>CVE-2014-8176</t>
  </si>
  <si>
    <t>Reported by Praveen Kariyanahalli and subsequently by Ivan Fratric and Felix Groebert (Google) on 28th March 2014.</t>
  </si>
  <si>
    <t>CVE-2014-5139</t>
  </si>
  <si>
    <t>6th August 2014</t>
  </si>
  <si>
    <t>Reported by Joonas Kuorilehto and Riku Hietamki (Codenomicon).</t>
  </si>
  <si>
    <t>CVE-2014-3572</t>
  </si>
  <si>
    <t>CVE-2014-3570</t>
  </si>
  <si>
    <t>Reported by Pieter Wuille (Blockstream).</t>
  </si>
  <si>
    <t>CVE-2014-3569</t>
  </si>
  <si>
    <t>21st October 2014</t>
  </si>
  <si>
    <t>Reported by Frank Schmirler.</t>
  </si>
  <si>
    <t>CVE-2014-3568</t>
  </si>
  <si>
    <t>15th October 2014</t>
  </si>
  <si>
    <t>Reported by Akamai Technologies.</t>
  </si>
  <si>
    <t>CVE-2014-3567</t>
  </si>
  <si>
    <t>CVE-2014-3513</t>
  </si>
  <si>
    <t>Reported by LibreSSL project.</t>
  </si>
  <si>
    <t>CVE-2014-3512</t>
  </si>
  <si>
    <t>Reported by Sean Devlin and Watson Ladd (Cryptography Services NCC Group).</t>
  </si>
  <si>
    <t>CVE-2014-3511</t>
  </si>
  <si>
    <t>Reported by David Benjamin and Adam Langley (Google).</t>
  </si>
  <si>
    <t>CVE-2014-3510</t>
  </si>
  <si>
    <t>Reported by Felix Grbert (Google).</t>
  </si>
  <si>
    <t>CVE-2014-3509</t>
  </si>
  <si>
    <t>Reported by Gabor Tyukasz (LogMeIn Inc).</t>
  </si>
  <si>
    <t>CVE-2014-3508</t>
  </si>
  <si>
    <t>Reported by Ivan Fratric (Google).</t>
  </si>
  <si>
    <t>CVE-2014-3507</t>
  </si>
  <si>
    <t>Reported by Adam Langley (Google).</t>
  </si>
  <si>
    <t>CVE-2014-3506</t>
  </si>
  <si>
    <t>CVE-2014-3505</t>
  </si>
  <si>
    <t>Reported by Adam Langley and Wan-Teh Chang (Google).</t>
  </si>
  <si>
    <t>CVE-2014-3470</t>
  </si>
  <si>
    <t>30th May 2014</t>
  </si>
  <si>
    <t>Reported by Felix Grbert and Ivan Fratri (Google).</t>
  </si>
  <si>
    <t>CVE-2014-0224</t>
  </si>
  <si>
    <t>5th June 2014</t>
  </si>
  <si>
    <t>Reported by KIKUCHI Masashi (Lepidum Co. Ltd.).</t>
  </si>
  <si>
    <t>CVE-2014-0221</t>
  </si>
  <si>
    <t>Reported by Imre Rad (Search-Lab Ltd.).</t>
  </si>
  <si>
    <t>CVE-2014-0198</t>
  </si>
  <si>
    <t>21st April 2014</t>
  </si>
  <si>
    <t>CVE-2014-0195</t>
  </si>
  <si>
    <t>Reported by Jri Aedla.</t>
  </si>
  <si>
    <t>CVE-2014-0160</t>
  </si>
  <si>
    <t>7th April 2014</t>
  </si>
  <si>
    <t>Reported by Neel Mehta.</t>
  </si>
  <si>
    <t>57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</si>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</sst>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&quot; &quot;d&quot;, &quot;yyyy"/>
  </numFmts>
  <fonts count="1" x14ac:knownFonts="1"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49" fontId="0" fillId="3" borderId="1" xfId="0" applyNumberFormat="1" applyFont="1" applyFill="1" applyBorder="1" applyAlignment="1"/>
    <xf numFmtId="14" fontId="0" fillId="3" borderId="1" xfId="0" applyNumberFormat="1" applyFont="1" applyFill="1" applyBorder="1" applyAlignment="1"/>
    <xf numFmtId="0" fontId="0" fillId="3" borderId="1" xfId="0" applyFont="1" applyFill="1" applyBorder="1" applyAlignment="1"/>
    <xf numFmtId="164" fontId="0" fillId="3" borderId="1" xfId="0" applyNumberFormat="1" applyFont="1" applyFill="1" applyBorder="1" applyAlignment="1"/>
  </cellXfs>
  <cellStyles count="1">
    <cellStyle name="Normal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FFFFFF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62"/>
  <sheetViews>
    <sheetView showGridLines="0" tabSelected="1" topLeftCell="A29" workbookViewId="0">
      <selection activeCell="B40" sqref="B15:B40"/>
    </sheetView>
  </sheetViews>
  <sheetFormatPr baseColWidth="10" defaultColWidth="14.5" defaultRowHeight="15.75" customHeight="1" x14ac:dyDescent="0.15"/>
  <cols>
    <col min="1" max="1" width="24.33203125" style="1" customWidth="1"/>
    <col min="2" max="2" width="19.5" style="1" customWidth="1"/>
    <col min="3" max="3" width="47.83203125" style="1" customWidth="1"/>
    <col min="4" max="6" width="14.5" style="1" customWidth="1"/>
    <col min="7" max="256" width="14.5" customWidth="1"/>
  </cols>
  <sheetData>
    <row r="1" spans="1:6" ht="13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75" customHeight="1" x14ac:dyDescent="0.15">
      <c r="A2" s="3" t="s">
        <v>6</v>
      </c>
      <c r="B2" s="3" t="s">
        <v>7</v>
      </c>
      <c r="C2" s="3" t="s">
        <v>8</v>
      </c>
      <c r="D2" s="4">
        <v>42766</v>
      </c>
      <c r="E2" s="3" t="s">
        <v>9</v>
      </c>
      <c r="F2" s="5"/>
    </row>
    <row r="3" spans="1:6" ht="13.75" customHeight="1" x14ac:dyDescent="0.15">
      <c r="A3" s="3" t="s">
        <v>10</v>
      </c>
      <c r="B3" s="3" t="s">
        <v>11</v>
      </c>
      <c r="C3" s="3" t="s">
        <v>12</v>
      </c>
      <c r="D3" s="4">
        <v>42638</v>
      </c>
      <c r="E3" s="3" t="s">
        <v>9</v>
      </c>
      <c r="F3" s="5"/>
    </row>
    <row r="4" spans="1:6" ht="13.75" customHeight="1" x14ac:dyDescent="0.15">
      <c r="A4" s="3" t="s">
        <v>13</v>
      </c>
      <c r="B4" s="3" t="s">
        <v>11</v>
      </c>
      <c r="C4" s="3" t="s">
        <v>14</v>
      </c>
      <c r="D4" s="4">
        <v>42655</v>
      </c>
      <c r="E4" s="3" t="s">
        <v>9</v>
      </c>
      <c r="F4" s="5"/>
    </row>
    <row r="5" spans="1:6" ht="13.75" customHeight="1" x14ac:dyDescent="0.15">
      <c r="A5" s="3" t="s">
        <v>15</v>
      </c>
      <c r="B5" s="3" t="s">
        <v>16</v>
      </c>
      <c r="C5" s="3" t="s">
        <v>17</v>
      </c>
      <c r="D5" s="4">
        <v>42635</v>
      </c>
      <c r="E5" s="3" t="s">
        <v>9</v>
      </c>
      <c r="F5" s="5"/>
    </row>
    <row r="6" spans="1:6" ht="13.75" customHeight="1" x14ac:dyDescent="0.15">
      <c r="A6" s="3" t="s">
        <v>18</v>
      </c>
      <c r="B6" s="3" t="s">
        <v>16</v>
      </c>
      <c r="C6" s="3" t="s">
        <v>19</v>
      </c>
      <c r="D6" s="4">
        <v>42636</v>
      </c>
      <c r="E6" s="3" t="s">
        <v>9</v>
      </c>
      <c r="F6" s="5"/>
    </row>
    <row r="7" spans="1:6" ht="13.75" customHeight="1" x14ac:dyDescent="0.15">
      <c r="A7" s="3" t="s">
        <v>20</v>
      </c>
      <c r="B7" s="3" t="s">
        <v>21</v>
      </c>
      <c r="C7" s="3" t="s">
        <v>22</v>
      </c>
      <c r="D7" s="4">
        <v>42623</v>
      </c>
      <c r="E7" s="3" t="s">
        <v>9</v>
      </c>
      <c r="F7" s="5"/>
    </row>
    <row r="8" spans="1:6" ht="13.75" customHeight="1" x14ac:dyDescent="0.15">
      <c r="A8" s="3" t="s">
        <v>23</v>
      </c>
      <c r="B8" s="3" t="s">
        <v>21</v>
      </c>
      <c r="C8" s="3" t="s">
        <v>24</v>
      </c>
      <c r="D8" s="4">
        <v>42611</v>
      </c>
      <c r="E8" s="3" t="s">
        <v>9</v>
      </c>
      <c r="F8" s="5"/>
    </row>
    <row r="9" spans="1:6" ht="13.75" customHeight="1" x14ac:dyDescent="0.15">
      <c r="A9" s="3" t="s">
        <v>25</v>
      </c>
      <c r="B9" s="3" t="s">
        <v>26</v>
      </c>
      <c r="C9" s="3" t="s">
        <v>27</v>
      </c>
      <c r="D9" s="6">
        <v>42460</v>
      </c>
      <c r="E9" s="3" t="s">
        <v>9</v>
      </c>
      <c r="F9" s="5"/>
    </row>
    <row r="10" spans="1:6" ht="13.75" customHeight="1" x14ac:dyDescent="0.15">
      <c r="A10" s="3" t="s">
        <v>28</v>
      </c>
      <c r="B10" s="3" t="s">
        <v>26</v>
      </c>
      <c r="C10" s="3" t="s">
        <v>29</v>
      </c>
      <c r="D10" s="4">
        <v>42473</v>
      </c>
      <c r="E10" s="3" t="s">
        <v>9</v>
      </c>
      <c r="F10" s="5"/>
    </row>
    <row r="11" spans="1:6" ht="13.75" customHeight="1" x14ac:dyDescent="0.15">
      <c r="A11" s="3" t="s">
        <v>30</v>
      </c>
      <c r="B11" s="3" t="s">
        <v>31</v>
      </c>
      <c r="C11" s="3" t="s">
        <v>32</v>
      </c>
      <c r="D11" s="4">
        <v>42367</v>
      </c>
      <c r="E11" s="3" t="s">
        <v>9</v>
      </c>
      <c r="F11" s="5"/>
    </row>
    <row r="12" spans="1:6" ht="13.75" customHeight="1" x14ac:dyDescent="0.15">
      <c r="A12" s="3" t="s">
        <v>33</v>
      </c>
      <c r="B12" s="3" t="s">
        <v>31</v>
      </c>
      <c r="C12" s="3" t="s">
        <v>34</v>
      </c>
      <c r="D12" s="4">
        <v>42410</v>
      </c>
      <c r="E12" s="3" t="s">
        <v>9</v>
      </c>
      <c r="F12" s="5"/>
    </row>
    <row r="13" spans="1:6" ht="13.75" customHeight="1" x14ac:dyDescent="0.15">
      <c r="A13" s="3" t="s">
        <v>35</v>
      </c>
      <c r="B13" s="3" t="s">
        <v>31</v>
      </c>
      <c r="C13" s="3" t="s">
        <v>34</v>
      </c>
      <c r="D13" s="4">
        <v>42410</v>
      </c>
      <c r="E13" s="3" t="s">
        <v>9</v>
      </c>
      <c r="F13" s="5"/>
    </row>
    <row r="14" spans="1:6" ht="13.75" customHeight="1" x14ac:dyDescent="0.15">
      <c r="A14" s="3" t="s">
        <v>36</v>
      </c>
      <c r="B14" s="3" t="s">
        <v>37</v>
      </c>
      <c r="C14" s="3" t="s">
        <v>38</v>
      </c>
      <c r="D14" s="4">
        <v>42381</v>
      </c>
      <c r="E14" s="3" t="s">
        <v>9</v>
      </c>
      <c r="F14" s="5"/>
    </row>
    <row r="15" spans="1:6" ht="13.75" customHeight="1" x14ac:dyDescent="0.15">
      <c r="A15" s="3" t="s">
        <v>39</v>
      </c>
      <c r="B15" s="3" t="s">
        <v>40</v>
      </c>
      <c r="C15" s="3" t="s">
        <v>41</v>
      </c>
      <c r="D15" s="4">
        <v>42317</v>
      </c>
      <c r="E15" s="3" t="s">
        <v>9</v>
      </c>
      <c r="F15" s="5"/>
    </row>
    <row r="16" spans="1:6" ht="13.75" customHeight="1" x14ac:dyDescent="0.15">
      <c r="A16" s="3" t="s">
        <v>42</v>
      </c>
      <c r="B16" s="3" t="s">
        <v>40</v>
      </c>
      <c r="C16" s="3" t="s">
        <v>43</v>
      </c>
      <c r="D16" s="4">
        <v>42242</v>
      </c>
      <c r="E16" s="3" t="s">
        <v>9</v>
      </c>
      <c r="F16" s="5"/>
    </row>
    <row r="17" spans="1:6" ht="13.75" customHeight="1" x14ac:dyDescent="0.15">
      <c r="A17" s="3" t="s">
        <v>44</v>
      </c>
      <c r="B17" s="3" t="s">
        <v>40</v>
      </c>
      <c r="C17" s="3" t="s">
        <v>45</v>
      </c>
      <c r="D17" s="4">
        <v>42229</v>
      </c>
      <c r="E17" s="3" t="s">
        <v>9</v>
      </c>
      <c r="F17" s="5"/>
    </row>
    <row r="18" spans="1:6" ht="13.75" customHeight="1" x14ac:dyDescent="0.15">
      <c r="A18" s="3" t="s">
        <v>46</v>
      </c>
      <c r="B18" s="3" t="s">
        <v>47</v>
      </c>
      <c r="C18" s="3" t="s">
        <v>48</v>
      </c>
      <c r="D18" s="4">
        <v>42179</v>
      </c>
      <c r="E18" s="3" t="s">
        <v>9</v>
      </c>
      <c r="F18" s="5"/>
    </row>
    <row r="19" spans="1:6" ht="13.75" customHeight="1" x14ac:dyDescent="0.15">
      <c r="A19" s="3" t="s">
        <v>49</v>
      </c>
      <c r="B19" s="3" t="s">
        <v>50</v>
      </c>
      <c r="C19" s="3" t="s">
        <v>51</v>
      </c>
      <c r="D19" s="4">
        <v>42094</v>
      </c>
      <c r="E19" s="3" t="s">
        <v>9</v>
      </c>
      <c r="F19" s="5"/>
    </row>
    <row r="20" spans="1:6" ht="13.75" customHeight="1" x14ac:dyDescent="0.15">
      <c r="A20" s="3" t="s">
        <v>52</v>
      </c>
      <c r="B20" s="3" t="s">
        <v>50</v>
      </c>
      <c r="C20" s="3" t="s">
        <v>53</v>
      </c>
      <c r="D20" s="4">
        <v>42112</v>
      </c>
      <c r="E20" s="3" t="s">
        <v>9</v>
      </c>
      <c r="F20" s="5"/>
    </row>
    <row r="21" spans="1:6" ht="13.75" customHeight="1" x14ac:dyDescent="0.15">
      <c r="A21" s="3" t="s">
        <v>54</v>
      </c>
      <c r="B21" s="3" t="s">
        <v>50</v>
      </c>
      <c r="C21" s="3" t="s">
        <v>55</v>
      </c>
      <c r="D21" s="4">
        <v>42105</v>
      </c>
      <c r="E21" s="3" t="s">
        <v>56</v>
      </c>
      <c r="F21" s="4">
        <v>42105</v>
      </c>
    </row>
    <row r="22" spans="1:6" ht="13.75" customHeight="1" x14ac:dyDescent="0.15">
      <c r="A22" s="3" t="s">
        <v>57</v>
      </c>
      <c r="B22" s="3" t="s">
        <v>50</v>
      </c>
      <c r="C22" s="3" t="s">
        <v>58</v>
      </c>
      <c r="D22" s="4">
        <v>42100</v>
      </c>
      <c r="E22" s="3" t="s">
        <v>9</v>
      </c>
      <c r="F22" s="5"/>
    </row>
    <row r="23" spans="1:6" ht="13.75" customHeight="1" x14ac:dyDescent="0.15">
      <c r="A23" s="3" t="s">
        <v>59</v>
      </c>
      <c r="B23" s="3" t="s">
        <v>60</v>
      </c>
      <c r="C23" s="3" t="s">
        <v>61</v>
      </c>
      <c r="D23" s="5"/>
      <c r="E23" s="3" t="s">
        <v>9</v>
      </c>
      <c r="F23" s="5"/>
    </row>
    <row r="24" spans="1:6" ht="13.75" customHeight="1" x14ac:dyDescent="0.15">
      <c r="A24" s="3" t="s">
        <v>62</v>
      </c>
      <c r="B24" s="3" t="s">
        <v>60</v>
      </c>
      <c r="C24" s="3" t="s">
        <v>63</v>
      </c>
      <c r="D24" s="5"/>
      <c r="E24" s="3" t="s">
        <v>9</v>
      </c>
      <c r="F24" s="5"/>
    </row>
    <row r="25" spans="1:6" ht="13.75" customHeight="1" x14ac:dyDescent="0.15">
      <c r="A25" s="3" t="s">
        <v>64</v>
      </c>
      <c r="B25" s="3" t="s">
        <v>60</v>
      </c>
      <c r="C25" s="3" t="s">
        <v>65</v>
      </c>
      <c r="D25" s="5"/>
      <c r="E25" s="3" t="s">
        <v>9</v>
      </c>
      <c r="F25" s="5"/>
    </row>
    <row r="26" spans="1:6" ht="13.75" customHeight="1" x14ac:dyDescent="0.15">
      <c r="A26" s="3" t="s">
        <v>66</v>
      </c>
      <c r="B26" s="3" t="s">
        <v>60</v>
      </c>
      <c r="C26" s="3" t="s">
        <v>67</v>
      </c>
      <c r="D26" s="4">
        <v>42061</v>
      </c>
      <c r="E26" s="3" t="s">
        <v>9</v>
      </c>
      <c r="F26" s="5"/>
    </row>
    <row r="27" spans="1:6" ht="13.75" customHeight="1" x14ac:dyDescent="0.15">
      <c r="A27" s="3" t="s">
        <v>68</v>
      </c>
      <c r="B27" s="3" t="s">
        <v>60</v>
      </c>
      <c r="C27" s="3" t="s">
        <v>69</v>
      </c>
      <c r="D27" s="4">
        <v>42048</v>
      </c>
      <c r="E27" s="3" t="s">
        <v>9</v>
      </c>
      <c r="F27" s="5"/>
    </row>
    <row r="28" spans="1:6" ht="13.75" customHeight="1" x14ac:dyDescent="0.15">
      <c r="A28" s="3" t="s">
        <v>70</v>
      </c>
      <c r="B28" s="3" t="s">
        <v>60</v>
      </c>
      <c r="C28" s="3" t="s">
        <v>71</v>
      </c>
      <c r="D28" s="4">
        <v>42051</v>
      </c>
      <c r="E28" s="3" t="s">
        <v>9</v>
      </c>
      <c r="F28" s="5"/>
    </row>
    <row r="29" spans="1:6" ht="13.75" customHeight="1" x14ac:dyDescent="0.15">
      <c r="A29" s="3" t="s">
        <v>72</v>
      </c>
      <c r="B29" s="3" t="s">
        <v>60</v>
      </c>
      <c r="C29" s="3" t="s">
        <v>73</v>
      </c>
      <c r="D29" s="5"/>
      <c r="E29" s="3" t="s">
        <v>9</v>
      </c>
      <c r="F29" s="5"/>
    </row>
    <row r="30" spans="1:6" ht="13.75" customHeight="1" x14ac:dyDescent="0.15">
      <c r="A30" s="3" t="s">
        <v>74</v>
      </c>
      <c r="B30" s="3" t="s">
        <v>60</v>
      </c>
      <c r="C30" s="3" t="s">
        <v>75</v>
      </c>
      <c r="D30" s="5"/>
      <c r="E30" s="3" t="s">
        <v>9</v>
      </c>
      <c r="F30" s="5"/>
    </row>
    <row r="31" spans="1:6" ht="13.75" customHeight="1" x14ac:dyDescent="0.15">
      <c r="A31" s="3" t="s">
        <v>76</v>
      </c>
      <c r="B31" s="3" t="s">
        <v>60</v>
      </c>
      <c r="C31" s="3" t="s">
        <v>77</v>
      </c>
      <c r="D31" s="4">
        <v>42035</v>
      </c>
      <c r="E31" s="3" t="s">
        <v>9</v>
      </c>
      <c r="F31" s="5"/>
    </row>
    <row r="32" spans="1:6" ht="13.75" customHeight="1" x14ac:dyDescent="0.15">
      <c r="A32" s="3" t="s">
        <v>78</v>
      </c>
      <c r="B32" s="3" t="s">
        <v>60</v>
      </c>
      <c r="C32" s="3" t="s">
        <v>79</v>
      </c>
      <c r="D32" s="4">
        <v>38379</v>
      </c>
      <c r="E32" s="3" t="s">
        <v>9</v>
      </c>
      <c r="F32" s="5"/>
    </row>
    <row r="33" spans="1:6" ht="13.75" customHeight="1" x14ac:dyDescent="0.15">
      <c r="A33" s="3" t="s">
        <v>80</v>
      </c>
      <c r="B33" s="3" t="s">
        <v>81</v>
      </c>
      <c r="C33" s="3" t="s">
        <v>82</v>
      </c>
      <c r="D33" s="5"/>
      <c r="E33" s="3" t="s">
        <v>9</v>
      </c>
      <c r="F33" s="5"/>
    </row>
    <row r="34" spans="1:6" ht="13.75" customHeight="1" x14ac:dyDescent="0.15">
      <c r="A34" s="3" t="s">
        <v>83</v>
      </c>
      <c r="B34" s="3" t="s">
        <v>81</v>
      </c>
      <c r="C34" s="3" t="s">
        <v>84</v>
      </c>
      <c r="D34" s="5"/>
      <c r="E34" s="3" t="s">
        <v>9</v>
      </c>
      <c r="F34" s="5"/>
    </row>
    <row r="35" spans="1:6" ht="13.75" customHeight="1" x14ac:dyDescent="0.15">
      <c r="A35" s="3" t="s">
        <v>85</v>
      </c>
      <c r="B35" s="3" t="s">
        <v>86</v>
      </c>
      <c r="C35" s="3" t="s">
        <v>84</v>
      </c>
      <c r="D35" s="5"/>
      <c r="E35" s="3" t="s">
        <v>9</v>
      </c>
      <c r="F35" s="5"/>
    </row>
    <row r="36" spans="1:6" ht="13.75" customHeight="1" x14ac:dyDescent="0.15">
      <c r="A36" s="3" t="s">
        <v>87</v>
      </c>
      <c r="B36" s="3" t="s">
        <v>88</v>
      </c>
      <c r="C36" s="3" t="s">
        <v>89</v>
      </c>
      <c r="D36" s="5"/>
      <c r="E36" s="3" t="s">
        <v>9</v>
      </c>
      <c r="F36" s="5"/>
    </row>
    <row r="37" spans="1:6" ht="13.75" customHeight="1" x14ac:dyDescent="0.15">
      <c r="A37" s="3" t="s">
        <v>90</v>
      </c>
      <c r="B37" s="3" t="s">
        <v>50</v>
      </c>
      <c r="C37" s="3" t="s">
        <v>91</v>
      </c>
      <c r="D37" s="4">
        <v>41726</v>
      </c>
      <c r="E37" s="3" t="s">
        <v>56</v>
      </c>
      <c r="F37" s="4">
        <v>41726</v>
      </c>
    </row>
    <row r="38" spans="1:6" ht="13.75" customHeight="1" x14ac:dyDescent="0.15">
      <c r="A38" s="3" t="s">
        <v>92</v>
      </c>
      <c r="B38" s="3" t="s">
        <v>93</v>
      </c>
      <c r="C38" s="3" t="s">
        <v>94</v>
      </c>
      <c r="D38" s="5"/>
      <c r="E38" s="3" t="s">
        <v>9</v>
      </c>
      <c r="F38" s="5"/>
    </row>
    <row r="39" spans="1:6" ht="13.75" customHeight="1" x14ac:dyDescent="0.15">
      <c r="A39" s="3" t="s">
        <v>95</v>
      </c>
      <c r="B39" s="3" t="s">
        <v>88</v>
      </c>
      <c r="C39" s="3" t="s">
        <v>84</v>
      </c>
      <c r="D39" s="5"/>
      <c r="E39" s="3" t="s">
        <v>9</v>
      </c>
      <c r="F39" s="5"/>
    </row>
    <row r="40" spans="1:6" ht="13.75" customHeight="1" x14ac:dyDescent="0.15">
      <c r="A40" s="3" t="s">
        <v>96</v>
      </c>
      <c r="B40" s="3" t="s">
        <v>81</v>
      </c>
      <c r="C40" s="3" t="s">
        <v>97</v>
      </c>
      <c r="D40" s="5"/>
      <c r="E40" s="3" t="s">
        <v>9</v>
      </c>
      <c r="F40" s="5"/>
    </row>
    <row r="41" spans="1:6" ht="13.75" customHeight="1" x14ac:dyDescent="0.15">
      <c r="A41" s="3" t="s">
        <v>98</v>
      </c>
      <c r="B41" s="3" t="s">
        <v>99</v>
      </c>
      <c r="C41" s="3" t="s">
        <v>100</v>
      </c>
      <c r="D41" s="5"/>
      <c r="E41" s="3" t="s">
        <v>9</v>
      </c>
      <c r="F41" s="5"/>
    </row>
    <row r="42" spans="1:6" ht="13.75" customHeight="1" x14ac:dyDescent="0.15">
      <c r="A42" s="3" t="s">
        <v>101</v>
      </c>
      <c r="B42" s="3" t="s">
        <v>102</v>
      </c>
      <c r="C42" s="3" t="s">
        <v>103</v>
      </c>
      <c r="D42" s="5"/>
      <c r="E42" s="3" t="s">
        <v>9</v>
      </c>
      <c r="F42" s="5"/>
    </row>
    <row r="43" spans="1:6" ht="13.75" customHeight="1" x14ac:dyDescent="0.15">
      <c r="A43" s="3" t="s">
        <v>104</v>
      </c>
      <c r="B43" s="3" t="s">
        <v>102</v>
      </c>
      <c r="C43" s="5"/>
      <c r="D43" s="5"/>
      <c r="E43" s="5"/>
      <c r="F43" s="5"/>
    </row>
    <row r="44" spans="1:6" ht="13.75" customHeight="1" x14ac:dyDescent="0.15">
      <c r="A44" s="3" t="s">
        <v>105</v>
      </c>
      <c r="B44" s="3" t="s">
        <v>102</v>
      </c>
      <c r="C44" s="3" t="s">
        <v>106</v>
      </c>
      <c r="D44" s="5"/>
      <c r="E44" s="3" t="s">
        <v>9</v>
      </c>
      <c r="F44" s="5"/>
    </row>
    <row r="45" spans="1:6" ht="13.75" customHeight="1" x14ac:dyDescent="0.15">
      <c r="A45" s="3" t="s">
        <v>107</v>
      </c>
      <c r="B45" s="3" t="s">
        <v>93</v>
      </c>
      <c r="C45" s="3" t="s">
        <v>108</v>
      </c>
      <c r="D45" s="5"/>
      <c r="E45" s="3" t="s">
        <v>9</v>
      </c>
      <c r="F45" s="5"/>
    </row>
    <row r="46" spans="1:6" ht="13.75" customHeight="1" x14ac:dyDescent="0.15">
      <c r="A46" s="3" t="s">
        <v>109</v>
      </c>
      <c r="B46" s="3" t="s">
        <v>93</v>
      </c>
      <c r="C46" s="3" t="s">
        <v>110</v>
      </c>
      <c r="D46" s="5"/>
      <c r="E46" s="3" t="s">
        <v>9</v>
      </c>
      <c r="F46" s="5"/>
    </row>
    <row r="47" spans="1:6" ht="13.75" customHeight="1" x14ac:dyDescent="0.15">
      <c r="A47" s="3" t="s">
        <v>111</v>
      </c>
      <c r="B47" s="3" t="s">
        <v>93</v>
      </c>
      <c r="C47" s="3" t="s">
        <v>112</v>
      </c>
      <c r="D47" s="5"/>
      <c r="E47" s="3" t="s">
        <v>9</v>
      </c>
      <c r="F47" s="5"/>
    </row>
    <row r="48" spans="1:6" ht="13.75" customHeight="1" x14ac:dyDescent="0.15">
      <c r="A48" s="3" t="s">
        <v>113</v>
      </c>
      <c r="B48" s="3" t="s">
        <v>93</v>
      </c>
      <c r="C48" s="3" t="s">
        <v>114</v>
      </c>
      <c r="D48" s="5"/>
      <c r="E48" s="3" t="s">
        <v>9</v>
      </c>
      <c r="F48" s="5"/>
    </row>
    <row r="49" spans="1:6" ht="13.75" customHeight="1" x14ac:dyDescent="0.15">
      <c r="A49" s="3" t="s">
        <v>115</v>
      </c>
      <c r="B49" s="3" t="s">
        <v>93</v>
      </c>
      <c r="C49" s="3" t="s">
        <v>116</v>
      </c>
      <c r="D49" s="5"/>
      <c r="E49" s="3" t="s">
        <v>9</v>
      </c>
      <c r="F49" s="5"/>
    </row>
    <row r="50" spans="1:6" ht="13.75" customHeight="1" x14ac:dyDescent="0.15">
      <c r="A50" s="3" t="s">
        <v>117</v>
      </c>
      <c r="B50" s="3" t="s">
        <v>93</v>
      </c>
      <c r="C50" s="3" t="s">
        <v>118</v>
      </c>
      <c r="D50" s="5"/>
      <c r="E50" s="3" t="s">
        <v>9</v>
      </c>
      <c r="F50" s="5"/>
    </row>
    <row r="51" spans="1:6" ht="13.75" customHeight="1" x14ac:dyDescent="0.15">
      <c r="A51" s="3" t="s">
        <v>119</v>
      </c>
      <c r="B51" s="3" t="s">
        <v>93</v>
      </c>
      <c r="C51" s="3" t="s">
        <v>118</v>
      </c>
      <c r="D51" s="5"/>
      <c r="E51" s="3" t="s">
        <v>9</v>
      </c>
      <c r="F51" s="5"/>
    </row>
    <row r="52" spans="1:6" ht="13.75" customHeight="1" x14ac:dyDescent="0.15">
      <c r="A52" s="3" t="s">
        <v>120</v>
      </c>
      <c r="B52" s="3" t="s">
        <v>93</v>
      </c>
      <c r="C52" s="3" t="s">
        <v>121</v>
      </c>
      <c r="D52" s="5"/>
      <c r="E52" s="3" t="s">
        <v>9</v>
      </c>
      <c r="F52" s="5"/>
    </row>
    <row r="53" spans="1:6" ht="13.75" customHeight="1" x14ac:dyDescent="0.15">
      <c r="A53" s="3" t="s">
        <v>122</v>
      </c>
      <c r="B53" s="3" t="s">
        <v>123</v>
      </c>
      <c r="C53" s="3" t="s">
        <v>124</v>
      </c>
      <c r="D53" s="5"/>
      <c r="E53" s="3" t="s">
        <v>9</v>
      </c>
      <c r="F53" s="5"/>
    </row>
    <row r="54" spans="1:6" ht="13.75" customHeight="1" x14ac:dyDescent="0.15">
      <c r="A54" s="3" t="s">
        <v>125</v>
      </c>
      <c r="B54" s="3" t="s">
        <v>126</v>
      </c>
      <c r="C54" s="3" t="s">
        <v>127</v>
      </c>
      <c r="D54" s="5"/>
      <c r="E54" s="3" t="s">
        <v>9</v>
      </c>
      <c r="F54" s="5"/>
    </row>
    <row r="55" spans="1:6" ht="13.75" customHeight="1" x14ac:dyDescent="0.15">
      <c r="A55" s="3" t="s">
        <v>128</v>
      </c>
      <c r="B55" s="3" t="s">
        <v>126</v>
      </c>
      <c r="C55" s="3" t="s">
        <v>129</v>
      </c>
      <c r="D55" s="5"/>
      <c r="E55" s="3" t="s">
        <v>9</v>
      </c>
      <c r="F55" s="5"/>
    </row>
    <row r="56" spans="1:6" ht="13.75" customHeight="1" x14ac:dyDescent="0.15">
      <c r="A56" s="3" t="s">
        <v>130</v>
      </c>
      <c r="B56" s="3" t="s">
        <v>131</v>
      </c>
      <c r="C56" s="5"/>
      <c r="D56" s="5"/>
      <c r="E56" s="5"/>
      <c r="F56" s="5"/>
    </row>
    <row r="57" spans="1:6" ht="13.75" customHeight="1" x14ac:dyDescent="0.15">
      <c r="A57" s="3" t="s">
        <v>132</v>
      </c>
      <c r="B57" s="3" t="s">
        <v>126</v>
      </c>
      <c r="C57" s="3" t="s">
        <v>133</v>
      </c>
      <c r="D57" s="5"/>
      <c r="E57" s="3" t="s">
        <v>9</v>
      </c>
      <c r="F57" s="5"/>
    </row>
    <row r="58" spans="1:6" ht="13.75" customHeight="1" x14ac:dyDescent="0.15">
      <c r="A58" s="3" t="s">
        <v>134</v>
      </c>
      <c r="B58" s="3" t="s">
        <v>135</v>
      </c>
      <c r="C58" s="3" t="s">
        <v>136</v>
      </c>
      <c r="D58" s="5"/>
      <c r="E58" s="3" t="s">
        <v>9</v>
      </c>
      <c r="F58" s="5"/>
    </row>
    <row r="59" spans="1:6" ht="13.75" customHeight="1" x14ac:dyDescent="0.15">
      <c r="A59" s="3"/>
      <c r="B59" s="3"/>
      <c r="D59" s="5"/>
      <c r="E59" s="5"/>
      <c r="F59" s="5"/>
    </row>
    <row r="60" spans="1:6" ht="13.75" customHeight="1" x14ac:dyDescent="0.15">
      <c r="A60" s="3" t="s">
        <v>137</v>
      </c>
      <c r="B60" s="3" t="s">
        <v>138</v>
      </c>
      <c r="C60" s="3">
        <f>B60/A60</f>
        <v>3.5087719298245612E-2</v>
      </c>
      <c r="D60" s="5"/>
      <c r="E60" s="3"/>
      <c r="F60" s="5"/>
    </row>
    <row r="61" spans="1:6" ht="13.75" customHeight="1" x14ac:dyDescent="0.15">
      <c r="A61" s="3"/>
      <c r="B61" s="3"/>
      <c r="C61" s="3"/>
      <c r="D61" s="5"/>
      <c r="E61" s="3"/>
      <c r="F61" s="5"/>
    </row>
    <row r="62" spans="1:6" ht="13.75" customHeight="1" x14ac:dyDescent="0.15">
      <c r="A62" s="3"/>
      <c r="B62" s="3"/>
      <c r="C62" s="3"/>
      <c r="D62" s="5"/>
      <c r="E62" s="3"/>
      <c r="F62" s="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OpenSSLdata.csv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</cp:lastModifiedBy>
  <dcterms:created xsi:type="dcterms:W3CDTF">2017-08-03T15:25:42Z</dcterms:created>
  <dcterms:modified xsi:type="dcterms:W3CDTF">2017-08-04T19:17:14Z</dcterms:modified>
</cp:coreProperties>
</file>