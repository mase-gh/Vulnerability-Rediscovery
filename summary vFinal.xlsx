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 date1904="1"/>
  <mc:AlternateContent xmlns:mc="http://schemas.openxmlformats.org/markup-compatibility/2006">
    <mc:Choice Requires="x15">
      <x15ac:absPath xmlns:x15ac="http://schemas.microsoft.com/office/spreadsheetml/2010/11/ac" url="/Volumes/Progress/Projects/Google Drive/Work/Vulnerability Rediscovery/Data/Revisions/Final/"/>
    </mc:Choice>
  </mc:AlternateContent>
  <bookViews>
    <workbookView xWindow="11540" yWindow="1420" windowWidth="19960" windowHeight="18080"/>
  </bookViews>
  <sheets>
    <sheet name="Figure 1 - Aggregate Vulnerabil" sheetId="1" r:id="rId1"/>
    <sheet name="Figure 2 - Vulnerabilities in A" sheetId="2" r:id="rId2"/>
    <sheet name="Figure 3 - Vulnerabilities in M" sheetId="3" r:id="rId3"/>
    <sheet name="Figure 4 - Firefox Rediscovery" sheetId="4" r:id="rId4"/>
    <sheet name="Figure 5 - Chrome Rediscovery" sheetId="5" r:id="rId5"/>
    <sheet name="Figure 6 - Android Rediscovery" sheetId="6" r:id="rId6"/>
    <sheet name="Figure 7 - Android Rediscovery " sheetId="7" r:id="rId7"/>
    <sheet name="Figure 8 - Chrome Rediscovery L" sheetId="8" r:id="rId8"/>
    <sheet name="Figure 9 - Chrome Aggregate Red" sheetId="9" r:id="rId9"/>
    <sheet name="Figure 10 - Android Aggregate R" sheetId="10" r:id="rId10"/>
    <sheet name="Figure 11 - Combined Rediscover" sheetId="11" r:id="rId11"/>
    <sheet name="Table 1 - Dataset Summary" sheetId="12" r:id="rId12"/>
    <sheet name="Table 2 - Vulnerability Redisco" sheetId="13" r:id="rId13"/>
    <sheet name="Table 3 - Comparison of Redisco" sheetId="14" r:id="rId14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4" i="1" l="1"/>
  <c r="K32" i="1"/>
  <c r="B33" i="1"/>
  <c r="C33" i="1"/>
  <c r="D33" i="1"/>
  <c r="E33" i="1"/>
  <c r="F33" i="1"/>
  <c r="G33" i="1"/>
  <c r="H33" i="1"/>
  <c r="I33" i="1"/>
  <c r="J33" i="1"/>
  <c r="K33" i="1"/>
  <c r="B32" i="1"/>
  <c r="C32" i="1"/>
  <c r="D32" i="1"/>
  <c r="E32" i="1"/>
  <c r="F32" i="1"/>
  <c r="G32" i="1"/>
  <c r="H32" i="1"/>
  <c r="I32" i="1"/>
  <c r="J32" i="1"/>
  <c r="J34" i="1"/>
  <c r="I34" i="1"/>
  <c r="H34" i="1"/>
  <c r="G34" i="1"/>
  <c r="F34" i="1"/>
  <c r="E34" i="1"/>
  <c r="D34" i="1"/>
  <c r="C34" i="1"/>
  <c r="B34" i="1"/>
  <c r="K12" i="1"/>
  <c r="K11" i="1"/>
  <c r="K25" i="1"/>
  <c r="K5" i="1"/>
  <c r="K4" i="1"/>
  <c r="E6" i="1"/>
  <c r="F9" i="12"/>
  <c r="E9" i="12"/>
  <c r="G9" i="12"/>
  <c r="D9" i="12"/>
  <c r="G7" i="12"/>
  <c r="G6" i="12"/>
  <c r="G5" i="12"/>
  <c r="G4" i="12"/>
  <c r="C4" i="9"/>
  <c r="D4" i="9"/>
  <c r="E4" i="9"/>
  <c r="F4" i="9"/>
  <c r="G4" i="9"/>
  <c r="H4" i="9"/>
  <c r="I4" i="9"/>
  <c r="J4" i="9"/>
  <c r="K4" i="9"/>
  <c r="L4" i="9"/>
  <c r="M4" i="9"/>
  <c r="M5" i="9"/>
  <c r="L5" i="9"/>
  <c r="K5" i="9"/>
  <c r="J5" i="9"/>
  <c r="I5" i="9"/>
  <c r="H5" i="9"/>
  <c r="G5" i="9"/>
  <c r="F5" i="9"/>
  <c r="E5" i="9"/>
  <c r="D5" i="9"/>
  <c r="C5" i="9"/>
  <c r="B5" i="9"/>
  <c r="F7" i="6"/>
  <c r="F6" i="6"/>
  <c r="C5" i="6"/>
  <c r="B5" i="6"/>
  <c r="F4" i="6"/>
  <c r="F3" i="6"/>
  <c r="F2" i="6"/>
  <c r="F5" i="5"/>
  <c r="E5" i="5"/>
  <c r="D5" i="5"/>
  <c r="C5" i="5"/>
  <c r="B5" i="5"/>
  <c r="I4" i="5"/>
  <c r="I3" i="5"/>
  <c r="I2" i="5"/>
  <c r="F5" i="4"/>
  <c r="E5" i="4"/>
  <c r="D5" i="4"/>
  <c r="C5" i="4"/>
  <c r="B5" i="4"/>
  <c r="I4" i="4"/>
  <c r="I3" i="4"/>
  <c r="I2" i="4"/>
  <c r="F23" i="3"/>
  <c r="F17" i="3"/>
  <c r="B17" i="3"/>
  <c r="I11" i="3"/>
  <c r="E11" i="3"/>
  <c r="I5" i="3"/>
  <c r="F5" i="3"/>
  <c r="E5" i="3"/>
  <c r="B5" i="3"/>
  <c r="P2" i="3"/>
  <c r="F17" i="2"/>
  <c r="H11" i="2"/>
  <c r="F11" i="2"/>
  <c r="H5" i="2"/>
  <c r="F5" i="2"/>
  <c r="L2" i="2"/>
  <c r="K27" i="1"/>
  <c r="I27" i="1"/>
  <c r="H27" i="1"/>
  <c r="G27" i="1"/>
  <c r="K20" i="1"/>
  <c r="I20" i="1"/>
  <c r="H20" i="1"/>
  <c r="K13" i="1"/>
  <c r="I13" i="1"/>
  <c r="H13" i="1"/>
  <c r="G13" i="1"/>
  <c r="F13" i="1"/>
  <c r="E13" i="1"/>
  <c r="K6" i="1"/>
  <c r="I6" i="1"/>
  <c r="H6" i="1"/>
  <c r="G6" i="1"/>
  <c r="F6" i="1"/>
  <c r="D6" i="1"/>
  <c r="C6" i="1"/>
  <c r="B6" i="1"/>
</calcChain>
</file>

<file path=xl/sharedStrings.xml><?xml version="1.0" encoding="utf-8"?>
<sst xmlns="http://schemas.openxmlformats.org/spreadsheetml/2006/main" count="178" uniqueCount="73">
  <si>
    <t>Whole Dataset</t>
  </si>
  <si>
    <t>Google - Chromium</t>
  </si>
  <si>
    <t>Overall</t>
  </si>
  <si>
    <t>Vulnerabilities</t>
  </si>
  <si>
    <t>Duplicates</t>
  </si>
  <si>
    <t>Rediscovery %</t>
  </si>
  <si>
    <t>Mozilla - Firefox</t>
  </si>
  <si>
    <t>Google - Android</t>
  </si>
  <si>
    <t>2015</t>
  </si>
  <si>
    <t>2016</t>
  </si>
  <si>
    <t>OpenSSL</t>
  </si>
  <si>
    <t>Aggregate</t>
  </si>
  <si>
    <t>2009-2016</t>
  </si>
  <si>
    <t>Vuln</t>
  </si>
  <si>
    <t>Total Vulns</t>
  </si>
  <si>
    <t>Dupe</t>
  </si>
  <si>
    <t>Total Dupes</t>
  </si>
  <si>
    <t>Application</t>
  </si>
  <si>
    <t>Library</t>
  </si>
  <si>
    <t>OS</t>
  </si>
  <si>
    <t>Protocol</t>
  </si>
  <si>
    <t>1 Dup</t>
  </si>
  <si>
    <t>2+ Dups</t>
  </si>
  <si>
    <t>Month</t>
  </si>
  <si>
    <t>Frequency</t>
  </si>
  <si>
    <t>More</t>
  </si>
  <si>
    <t>Chrome Rediscovery Lag</t>
  </si>
  <si>
    <t>Number of Days</t>
  </si>
  <si>
    <t>1 Month</t>
  </si>
  <si>
    <t>2 Months</t>
  </si>
  <si>
    <t>3 Months</t>
  </si>
  <si>
    <t>4 Months</t>
  </si>
  <si>
    <t>5 Months</t>
  </si>
  <si>
    <t>6 Months</t>
  </si>
  <si>
    <t>7 Months</t>
  </si>
  <si>
    <t>8+ Months</t>
  </si>
  <si>
    <t>Duplicate Vulns</t>
  </si>
  <si>
    <t>Chrome - Aggregate Rediscovery Rate</t>
  </si>
  <si>
    <t>8 Months</t>
  </si>
  <si>
    <t xml:space="preserve">Aggregate </t>
  </si>
  <si>
    <t>Total Dups</t>
  </si>
  <si>
    <t>Time Lag</t>
  </si>
  <si>
    <t>Count</t>
  </si>
  <si>
    <t>Running %</t>
  </si>
  <si>
    <t>Rediscovery Lag</t>
  </si>
  <si>
    <t>Chrome Dups</t>
  </si>
  <si>
    <t>Android Dups</t>
  </si>
  <si>
    <t>Table 1</t>
  </si>
  <si>
    <t>Dataset Summary</t>
  </si>
  <si>
    <t>Source</t>
  </si>
  <si>
    <t>Date Range</t>
  </si>
  <si>
    <t>NVD Population</t>
  </si>
  <si>
    <t>Labeled Vulns</t>
  </si>
  <si>
    <t>Critical—High Vulns</t>
  </si>
  <si>
    <t>Total Vulns with Duplicates</t>
  </si>
  <si>
    <t>Duplicate Percentage</t>
  </si>
  <si>
    <t>Google—Chromium</t>
  </si>
  <si>
    <t>2009—2016</t>
  </si>
  <si>
    <t>1075 (Chrome, as Chromium only had 2 entries)</t>
  </si>
  <si>
    <t>Mozilla—Firefox</t>
  </si>
  <si>
    <t>2012—2016</t>
  </si>
  <si>
    <t>799</t>
  </si>
  <si>
    <t>Google—Android</t>
  </si>
  <si>
    <t>2015-2016</t>
  </si>
  <si>
    <t>682</t>
  </si>
  <si>
    <t>2014-2016</t>
  </si>
  <si>
    <t>128</t>
  </si>
  <si>
    <t>Total</t>
  </si>
  <si>
    <t>SW Type</t>
  </si>
  <si>
    <t>FIREFOX</t>
  </si>
  <si>
    <t>CHROME</t>
  </si>
  <si>
    <t>ANDROID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</si>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</sst>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7" x14ac:knownFonts="1">
    <font>
      <sz val="10"/>
      <color indexed="8"/>
      <name val="Helvetica"/>
    </font>
    <font>
      <sz val="12"/>
      <color indexed="8"/>
      <name val="Helvetica"/>
    </font>
    <font>
      <b/>
      <sz val="12"/>
      <color indexed="8"/>
      <name val="Calibri"/>
    </font>
    <font>
      <b/>
      <sz val="10"/>
      <color indexed="8"/>
      <name val="Helvetica"/>
    </font>
    <font>
      <b/>
      <sz val="10"/>
      <color indexed="8"/>
      <name val="Arial"/>
    </font>
    <font>
      <sz val="12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4"/>
      </bottom>
      <diagonal/>
    </border>
    <border>
      <left style="thin">
        <color indexed="10"/>
      </left>
      <right style="thin">
        <color indexed="10"/>
      </right>
      <top style="thin">
        <color indexed="14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/>
      <top style="thin">
        <color indexed="10"/>
      </top>
      <bottom/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/>
      <top/>
      <bottom/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/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 style="thin">
        <color indexed="10"/>
      </right>
      <top style="thin">
        <color indexed="13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3"/>
      </bottom>
      <diagonal/>
    </border>
    <border>
      <left/>
      <right/>
      <top style="thin">
        <color indexed="10"/>
      </top>
      <bottom style="thin">
        <color indexed="13"/>
      </bottom>
      <diagonal/>
    </border>
    <border>
      <left/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0"/>
      </left>
      <right/>
      <top style="thin">
        <color indexed="13"/>
      </top>
      <bottom style="thin">
        <color indexed="10"/>
      </bottom>
      <diagonal/>
    </border>
    <border>
      <left/>
      <right/>
      <top style="thin">
        <color indexed="13"/>
      </top>
      <bottom style="thin">
        <color indexed="10"/>
      </bottom>
      <diagonal/>
    </border>
    <border>
      <left/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49" fontId="4" fillId="3" borderId="2" xfId="0" applyNumberFormat="1" applyFont="1" applyFill="1" applyBorder="1" applyAlignment="1">
      <alignment vertical="top" wrapText="1"/>
    </xf>
    <xf numFmtId="0" fontId="0" fillId="4" borderId="2" xfId="0" applyFont="1" applyFill="1" applyBorder="1" applyAlignment="1">
      <alignment vertical="top" wrapText="1"/>
    </xf>
    <xf numFmtId="49" fontId="2" fillId="4" borderId="2" xfId="0" applyNumberFormat="1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vertical="top" wrapText="1"/>
    </xf>
    <xf numFmtId="0" fontId="5" fillId="4" borderId="2" xfId="0" applyNumberFormat="1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49" fontId="3" fillId="3" borderId="2" xfId="0" applyNumberFormat="1" applyFont="1" applyFill="1" applyBorder="1" applyAlignment="1">
      <alignment vertical="top" wrapText="1"/>
    </xf>
    <xf numFmtId="49" fontId="5" fillId="3" borderId="2" xfId="0" applyNumberFormat="1" applyFont="1" applyFill="1" applyBorder="1" applyAlignment="1">
      <alignment horizontal="left" vertical="top" wrapText="1"/>
    </xf>
    <xf numFmtId="164" fontId="5" fillId="4" borderId="2" xfId="0" applyNumberFormat="1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left" vertical="top" wrapText="1"/>
    </xf>
    <xf numFmtId="49" fontId="5" fillId="4" borderId="2" xfId="0" applyNumberFormat="1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49" fontId="2" fillId="3" borderId="2" xfId="0" applyNumberFormat="1" applyFont="1" applyFill="1" applyBorder="1" applyAlignment="1">
      <alignment vertical="top" wrapText="1"/>
    </xf>
    <xf numFmtId="0" fontId="5" fillId="4" borderId="2" xfId="0" applyFont="1" applyFill="1" applyBorder="1" applyAlignment="1">
      <alignment horizontal="left" vertical="top" wrapText="1"/>
    </xf>
    <xf numFmtId="164" fontId="0" fillId="4" borderId="2" xfId="0" applyNumberFormat="1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4" fillId="2" borderId="3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2" fillId="2" borderId="3" xfId="0" applyNumberFormat="1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0" fillId="4" borderId="3" xfId="0" applyNumberFormat="1" applyFont="1" applyFill="1" applyBorder="1" applyAlignment="1">
      <alignment vertical="top" wrapText="1"/>
    </xf>
    <xf numFmtId="0" fontId="0" fillId="4" borderId="3" xfId="0" applyFont="1" applyFill="1" applyBorder="1" applyAlignment="1">
      <alignment vertical="top" wrapText="1"/>
    </xf>
    <xf numFmtId="49" fontId="0" fillId="4" borderId="3" xfId="0" applyNumberFormat="1" applyFont="1" applyFill="1" applyBorder="1" applyAlignment="1">
      <alignment vertical="top" wrapText="1"/>
    </xf>
    <xf numFmtId="164" fontId="0" fillId="4" borderId="3" xfId="0" applyNumberFormat="1" applyFont="1" applyFill="1" applyBorder="1" applyAlignment="1">
      <alignment vertical="top" wrapText="1"/>
    </xf>
    <xf numFmtId="49" fontId="3" fillId="3" borderId="3" xfId="0" applyNumberFormat="1" applyFont="1" applyFill="1" applyBorder="1" applyAlignment="1">
      <alignment vertical="top" wrapText="1"/>
    </xf>
    <xf numFmtId="49" fontId="4" fillId="3" borderId="3" xfId="0" applyNumberFormat="1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6" fillId="2" borderId="3" xfId="0" applyFont="1" applyFill="1" applyBorder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49" fontId="5" fillId="3" borderId="3" xfId="0" applyNumberFormat="1" applyFont="1" applyFill="1" applyBorder="1" applyAlignment="1">
      <alignment horizontal="right" vertical="top" wrapText="1"/>
    </xf>
    <xf numFmtId="0" fontId="6" fillId="4" borderId="3" xfId="0" applyNumberFormat="1" applyFont="1" applyFill="1" applyBorder="1" applyAlignment="1">
      <alignment vertical="top" wrapText="1"/>
    </xf>
    <xf numFmtId="164" fontId="6" fillId="4" borderId="3" xfId="0" applyNumberFormat="1" applyFont="1" applyFill="1" applyBorder="1" applyAlignment="1">
      <alignment vertical="top" wrapText="1"/>
    </xf>
    <xf numFmtId="0" fontId="5" fillId="3" borderId="3" xfId="0" applyFont="1" applyFill="1" applyBorder="1" applyAlignment="1">
      <alignment horizontal="right" vertical="top" wrapText="1"/>
    </xf>
    <xf numFmtId="0" fontId="6" fillId="4" borderId="3" xfId="0" applyFont="1" applyFill="1" applyBorder="1" applyAlignment="1">
      <alignment vertical="top" wrapText="1"/>
    </xf>
    <xf numFmtId="49" fontId="6" fillId="3" borderId="3" xfId="0" applyNumberFormat="1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5" fillId="3" borderId="3" xfId="0" applyNumberFormat="1" applyFont="1" applyFill="1" applyBorder="1" applyAlignment="1">
      <alignment horizontal="left" vertical="top" wrapText="1"/>
    </xf>
    <xf numFmtId="164" fontId="5" fillId="4" borderId="3" xfId="0" applyNumberFormat="1" applyFont="1" applyFill="1" applyBorder="1" applyAlignment="1">
      <alignment horizontal="right" vertical="top" wrapText="1"/>
    </xf>
    <xf numFmtId="0" fontId="0" fillId="4" borderId="4" xfId="0" applyFont="1" applyFill="1" applyBorder="1" applyAlignment="1">
      <alignment vertical="top" wrapText="1"/>
    </xf>
    <xf numFmtId="0" fontId="0" fillId="4" borderId="5" xfId="0" applyFont="1" applyFill="1" applyBorder="1" applyAlignment="1">
      <alignment vertical="top" wrapText="1"/>
    </xf>
    <xf numFmtId="0" fontId="0" fillId="4" borderId="6" xfId="0" applyFont="1" applyFill="1" applyBorder="1" applyAlignment="1">
      <alignment vertical="top" wrapText="1"/>
    </xf>
    <xf numFmtId="0" fontId="0" fillId="4" borderId="7" xfId="0" applyFont="1" applyFill="1" applyBorder="1" applyAlignment="1">
      <alignment vertical="top" wrapText="1"/>
    </xf>
    <xf numFmtId="0" fontId="0" fillId="4" borderId="8" xfId="0" applyFont="1" applyFill="1" applyBorder="1" applyAlignment="1">
      <alignment vertical="top" wrapText="1"/>
    </xf>
    <xf numFmtId="0" fontId="0" fillId="4" borderId="9" xfId="0" applyFont="1" applyFill="1" applyBorder="1" applyAlignment="1">
      <alignment vertical="top" wrapText="1"/>
    </xf>
    <xf numFmtId="0" fontId="0" fillId="4" borderId="10" xfId="0" applyFont="1" applyFill="1" applyBorder="1" applyAlignment="1">
      <alignment vertical="top" wrapText="1"/>
    </xf>
    <xf numFmtId="0" fontId="0" fillId="4" borderId="11" xfId="0" applyFont="1" applyFill="1" applyBorder="1" applyAlignment="1">
      <alignment vertical="top" wrapText="1"/>
    </xf>
    <xf numFmtId="0" fontId="0" fillId="4" borderId="12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5" fillId="4" borderId="3" xfId="0" applyFont="1" applyFill="1" applyBorder="1" applyAlignment="1">
      <alignment horizontal="right" vertical="top" wrapText="1"/>
    </xf>
    <xf numFmtId="0" fontId="0" fillId="0" borderId="0" xfId="0" applyNumberFormat="1" applyFont="1" applyAlignment="1">
      <alignment vertical="top" wrapText="1"/>
    </xf>
    <xf numFmtId="49" fontId="6" fillId="2" borderId="3" xfId="0" applyNumberFormat="1" applyFont="1" applyFill="1" applyBorder="1" applyAlignment="1">
      <alignment vertical="top" wrapText="1"/>
    </xf>
    <xf numFmtId="0" fontId="3" fillId="2" borderId="13" xfId="0" applyFont="1" applyFill="1" applyBorder="1" applyAlignment="1">
      <alignment vertical="top" wrapText="1"/>
    </xf>
    <xf numFmtId="49" fontId="5" fillId="4" borderId="3" xfId="0" applyNumberFormat="1" applyFont="1" applyFill="1" applyBorder="1" applyAlignment="1">
      <alignment horizontal="right" vertical="top" wrapText="1"/>
    </xf>
    <xf numFmtId="0" fontId="0" fillId="4" borderId="14" xfId="0" applyFont="1" applyFill="1" applyBorder="1" applyAlignment="1">
      <alignment vertical="top" wrapText="1"/>
    </xf>
    <xf numFmtId="0" fontId="0" fillId="4" borderId="15" xfId="0" applyFont="1" applyFill="1" applyBorder="1" applyAlignment="1">
      <alignment vertical="top" wrapText="1"/>
    </xf>
    <xf numFmtId="0" fontId="0" fillId="4" borderId="16" xfId="0" applyFont="1" applyFill="1" applyBorder="1" applyAlignment="1">
      <alignment vertical="top" wrapText="1"/>
    </xf>
    <xf numFmtId="0" fontId="0" fillId="4" borderId="17" xfId="0" applyFont="1" applyFill="1" applyBorder="1" applyAlignment="1">
      <alignment vertical="top" wrapText="1"/>
    </xf>
    <xf numFmtId="0" fontId="0" fillId="4" borderId="18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3" fillId="2" borderId="19" xfId="0" applyNumberFormat="1" applyFont="1" applyFill="1" applyBorder="1" applyAlignment="1">
      <alignment vertical="top" wrapText="1"/>
    </xf>
    <xf numFmtId="0" fontId="0" fillId="4" borderId="20" xfId="0" applyFont="1" applyFill="1" applyBorder="1" applyAlignment="1">
      <alignment vertical="top" wrapText="1"/>
    </xf>
    <xf numFmtId="0" fontId="3" fillId="3" borderId="21" xfId="0" applyNumberFormat="1" applyFont="1" applyFill="1" applyBorder="1" applyAlignment="1">
      <alignment vertical="top" wrapText="1"/>
    </xf>
    <xf numFmtId="0" fontId="0" fillId="4" borderId="22" xfId="0" applyNumberFormat="1" applyFont="1" applyFill="1" applyBorder="1" applyAlignment="1">
      <alignment vertical="top" wrapText="1"/>
    </xf>
    <xf numFmtId="0" fontId="0" fillId="4" borderId="23" xfId="0" applyFont="1" applyFill="1" applyBorder="1" applyAlignment="1">
      <alignment vertical="top" wrapText="1"/>
    </xf>
    <xf numFmtId="0" fontId="3" fillId="3" borderId="24" xfId="0" applyNumberFormat="1" applyFont="1" applyFill="1" applyBorder="1" applyAlignment="1">
      <alignment vertical="top" wrapText="1"/>
    </xf>
    <xf numFmtId="0" fontId="0" fillId="4" borderId="25" xfId="0" applyNumberFormat="1" applyFont="1" applyFill="1" applyBorder="1" applyAlignment="1">
      <alignment vertical="top" wrapText="1"/>
    </xf>
    <xf numFmtId="49" fontId="3" fillId="3" borderId="24" xfId="0" applyNumberFormat="1" applyFont="1" applyFill="1" applyBorder="1" applyAlignment="1">
      <alignment vertical="top" wrapText="1"/>
    </xf>
    <xf numFmtId="0" fontId="0" fillId="4" borderId="26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3" fillId="2" borderId="19" xfId="0" applyFont="1" applyFill="1" applyBorder="1" applyAlignment="1">
      <alignment vertical="top" wrapText="1"/>
    </xf>
    <xf numFmtId="49" fontId="3" fillId="3" borderId="21" xfId="0" applyNumberFormat="1" applyFont="1" applyFill="1" applyBorder="1" applyAlignment="1">
      <alignment vertical="top" wrapText="1"/>
    </xf>
    <xf numFmtId="0" fontId="0" fillId="4" borderId="27" xfId="0" applyNumberFormat="1" applyFont="1" applyFill="1" applyBorder="1" applyAlignment="1">
      <alignment vertical="top" wrapText="1"/>
    </xf>
    <xf numFmtId="49" fontId="0" fillId="4" borderId="27" xfId="0" applyNumberFormat="1" applyFont="1" applyFill="1" applyBorder="1" applyAlignment="1">
      <alignment vertical="top" wrapText="1"/>
    </xf>
    <xf numFmtId="0" fontId="0" fillId="4" borderId="28" xfId="0" applyNumberFormat="1" applyFont="1" applyFill="1" applyBorder="1" applyAlignment="1">
      <alignment vertical="top" wrapText="1"/>
    </xf>
    <xf numFmtId="0" fontId="0" fillId="4" borderId="29" xfId="0" applyFont="1" applyFill="1" applyBorder="1" applyAlignment="1">
      <alignment vertical="top" wrapText="1"/>
    </xf>
    <xf numFmtId="0" fontId="0" fillId="4" borderId="30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3" fillId="3" borderId="24" xfId="0" applyFont="1" applyFill="1" applyBorder="1" applyAlignment="1">
      <alignment vertical="top" wrapText="1"/>
    </xf>
    <xf numFmtId="0" fontId="0" fillId="4" borderId="25" xfId="0" applyFont="1" applyFill="1" applyBorder="1" applyAlignment="1">
      <alignment vertical="top" wrapText="1"/>
    </xf>
    <xf numFmtId="0" fontId="0" fillId="4" borderId="28" xfId="0" applyFont="1" applyFill="1" applyBorder="1" applyAlignment="1">
      <alignment vertical="top" wrapText="1"/>
    </xf>
    <xf numFmtId="49" fontId="0" fillId="4" borderId="28" xfId="0" applyNumberFormat="1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10" fontId="0" fillId="4" borderId="27" xfId="0" applyNumberFormat="1" applyFont="1" applyFill="1" applyBorder="1" applyAlignment="1">
      <alignment vertical="top" wrapText="1"/>
    </xf>
    <xf numFmtId="0" fontId="0" fillId="4" borderId="27" xfId="0" applyFont="1" applyFill="1" applyBorder="1" applyAlignment="1">
      <alignment vertical="top" wrapText="1"/>
    </xf>
    <xf numFmtId="10" fontId="0" fillId="4" borderId="28" xfId="0" applyNumberFormat="1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0" fillId="4" borderId="22" xfId="0" applyNumberFormat="1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4" borderId="34" xfId="0" applyFont="1" applyFill="1" applyBorder="1" applyAlignment="1">
      <alignment vertical="top" wrapText="1"/>
    </xf>
    <xf numFmtId="0" fontId="0" fillId="4" borderId="35" xfId="0" applyFont="1" applyFill="1" applyBorder="1" applyAlignment="1">
      <alignment vertical="top" wrapText="1"/>
    </xf>
    <xf numFmtId="0" fontId="0" fillId="4" borderId="36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3" fillId="2" borderId="3" xfId="0" applyNumberFormat="1" applyFont="1" applyFill="1" applyBorder="1" applyAlignment="1">
      <alignment vertical="top" wrapText="1"/>
    </xf>
    <xf numFmtId="0" fontId="5" fillId="2" borderId="3" xfId="0" applyFont="1" applyFill="1" applyBorder="1" applyAlignment="1">
      <alignment horizontal="center" vertical="top" wrapText="1"/>
    </xf>
    <xf numFmtId="0" fontId="0" fillId="4" borderId="37" xfId="0" applyFont="1" applyFill="1" applyBorder="1" applyAlignment="1">
      <alignment vertical="top" wrapText="1"/>
    </xf>
    <xf numFmtId="49" fontId="5" fillId="4" borderId="3" xfId="0" applyNumberFormat="1" applyFont="1" applyFill="1" applyBorder="1" applyAlignment="1">
      <alignment horizontal="center" vertical="top" wrapText="1"/>
    </xf>
    <xf numFmtId="0" fontId="0" fillId="4" borderId="38" xfId="0" applyFont="1" applyFill="1" applyBorder="1" applyAlignment="1">
      <alignment vertical="top" wrapText="1"/>
    </xf>
    <xf numFmtId="0" fontId="3" fillId="3" borderId="3" xfId="0" applyNumberFormat="1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9" fontId="0" fillId="4" borderId="22" xfId="0" applyNumberFormat="1" applyFont="1" applyFill="1" applyBorder="1" applyAlignment="1">
      <alignment vertical="top" wrapText="1"/>
    </xf>
    <xf numFmtId="9" fontId="0" fillId="4" borderId="27" xfId="0" applyNumberFormat="1" applyFont="1" applyFill="1" applyBorder="1" applyAlignment="1">
      <alignment vertical="top" wrapText="1"/>
    </xf>
    <xf numFmtId="9" fontId="0" fillId="4" borderId="25" xfId="0" applyNumberFormat="1" applyFont="1" applyFill="1" applyBorder="1" applyAlignment="1">
      <alignment vertical="top" wrapText="1"/>
    </xf>
    <xf numFmtId="164" fontId="0" fillId="4" borderId="28" xfId="0" applyNumberFormat="1" applyFont="1" applyFill="1" applyBorder="1" applyAlignment="1">
      <alignment vertical="top" wrapText="1"/>
    </xf>
    <xf numFmtId="9" fontId="0" fillId="4" borderId="28" xfId="0" applyNumberFormat="1" applyFont="1" applyFill="1" applyBorder="1" applyAlignment="1">
      <alignment vertical="top" wrapText="1"/>
    </xf>
    <xf numFmtId="164" fontId="0" fillId="4" borderId="25" xfId="0" applyNumberFormat="1" applyFont="1" applyFill="1" applyBorder="1" applyAlignment="1">
      <alignment vertical="top" wrapText="1"/>
    </xf>
    <xf numFmtId="49" fontId="1" fillId="4" borderId="31" xfId="0" applyNumberFormat="1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vertical="top" wrapText="1"/>
    </xf>
    <xf numFmtId="0" fontId="1" fillId="4" borderId="33" xfId="0" applyFont="1" applyFill="1" applyBorder="1" applyAlignment="1">
      <alignment horizontal="center" vertical="center"/>
    </xf>
    <xf numFmtId="0" fontId="0" fillId="5" borderId="2" xfId="0" applyNumberFormat="1" applyFont="1" applyFill="1" applyBorder="1" applyAlignment="1">
      <alignment vertical="top" wrapText="1"/>
    </xf>
    <xf numFmtId="0" fontId="0" fillId="5" borderId="2" xfId="0" applyFont="1" applyFill="1" applyBorder="1" applyAlignment="1">
      <alignment vertical="top" wrapText="1"/>
    </xf>
    <xf numFmtId="164" fontId="0" fillId="5" borderId="2" xfId="0" applyNumberFormat="1" applyFont="1" applyFill="1" applyBorder="1" applyAlignment="1">
      <alignment vertical="top" wrapText="1"/>
    </xf>
    <xf numFmtId="0" fontId="5" fillId="5" borderId="2" xfId="0" applyNumberFormat="1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  <rgbColor rgb="FFFFFFFF"/>
      <rgbColor rgb="FFA5A5A5"/>
      <rgbColor rgb="FF3F3F3F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Relationship Id="rId1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34"/>
  <sheetViews>
    <sheetView showGridLines="0" tabSelected="1" zoomScale="75" workbookViewId="0">
      <selection activeCell="K35" sqref="K35"/>
    </sheetView>
  </sheetViews>
  <sheetFormatPr baseColWidth="10" defaultColWidth="19.6640625" defaultRowHeight="18" customHeight="1" x14ac:dyDescent="0.15"/>
  <cols>
    <col min="1" max="11" width="19.6640625" style="1" customWidth="1"/>
    <col min="12" max="256" width="19.6640625" customWidth="1"/>
  </cols>
  <sheetData>
    <row r="1" spans="1:11" ht="23" customHeight="1" x14ac:dyDescent="0.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0.75" customHeight="1" x14ac:dyDescent="0.1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 t="s">
        <v>2</v>
      </c>
    </row>
    <row r="3" spans="1:11" ht="23" customHeight="1" x14ac:dyDescent="0.15">
      <c r="A3" s="7"/>
      <c r="B3" s="8">
        <v>2009</v>
      </c>
      <c r="C3" s="8">
        <v>2010</v>
      </c>
      <c r="D3" s="8">
        <v>2011</v>
      </c>
      <c r="E3" s="8">
        <v>2012</v>
      </c>
      <c r="F3" s="8">
        <v>2013</v>
      </c>
      <c r="G3" s="8">
        <v>2014</v>
      </c>
      <c r="H3" s="8">
        <v>2015</v>
      </c>
      <c r="I3" s="8">
        <v>2016</v>
      </c>
      <c r="J3" s="9">
        <v>2017</v>
      </c>
      <c r="K3" s="9"/>
    </row>
    <row r="4" spans="1:11" ht="23" customHeight="1" x14ac:dyDescent="0.15">
      <c r="A4" s="10" t="s">
        <v>3</v>
      </c>
      <c r="B4" s="116">
        <v>38</v>
      </c>
      <c r="C4" s="116">
        <v>180</v>
      </c>
      <c r="D4" s="116">
        <v>275</v>
      </c>
      <c r="E4" s="116">
        <v>298</v>
      </c>
      <c r="F4" s="116">
        <v>237</v>
      </c>
      <c r="G4" s="116">
        <v>266</v>
      </c>
      <c r="H4" s="116">
        <v>250</v>
      </c>
      <c r="I4" s="116">
        <v>211</v>
      </c>
      <c r="J4" s="117">
        <v>43</v>
      </c>
      <c r="K4" s="8">
        <f>SUM(B4:J4)</f>
        <v>1798</v>
      </c>
    </row>
    <row r="5" spans="1:11" ht="23" customHeight="1" x14ac:dyDescent="0.15">
      <c r="A5" s="10" t="s">
        <v>4</v>
      </c>
      <c r="B5" s="116">
        <v>0</v>
      </c>
      <c r="C5" s="116">
        <v>8</v>
      </c>
      <c r="D5" s="116">
        <v>43</v>
      </c>
      <c r="E5" s="116">
        <v>46</v>
      </c>
      <c r="F5" s="116">
        <v>32</v>
      </c>
      <c r="G5" s="116">
        <v>23</v>
      </c>
      <c r="H5" s="116">
        <v>24</v>
      </c>
      <c r="I5" s="116">
        <v>16</v>
      </c>
      <c r="J5" s="117">
        <v>3</v>
      </c>
      <c r="K5" s="8">
        <f>SUM(B5:J5)</f>
        <v>195</v>
      </c>
    </row>
    <row r="6" spans="1:11" ht="23" customHeight="1" x14ac:dyDescent="0.15">
      <c r="A6" s="11" t="s">
        <v>5</v>
      </c>
      <c r="B6" s="12">
        <f t="shared" ref="B6:I6" si="0">B5/B4</f>
        <v>0</v>
      </c>
      <c r="C6" s="12">
        <f t="shared" si="0"/>
        <v>4.4444444444444446E-2</v>
      </c>
      <c r="D6" s="12">
        <f t="shared" si="0"/>
        <v>0.15636363636363637</v>
      </c>
      <c r="E6" s="12">
        <f t="shared" si="0"/>
        <v>0.15436241610738255</v>
      </c>
      <c r="F6" s="12">
        <f t="shared" si="0"/>
        <v>0.13502109704641349</v>
      </c>
      <c r="G6" s="12">
        <f t="shared" si="0"/>
        <v>8.646616541353383E-2</v>
      </c>
      <c r="H6" s="12">
        <f t="shared" si="0"/>
        <v>9.6000000000000002E-2</v>
      </c>
      <c r="I6" s="12">
        <f t="shared" si="0"/>
        <v>7.582938388625593E-2</v>
      </c>
      <c r="J6" s="9"/>
      <c r="K6" s="12">
        <f>AVERAGE(K5/K4)</f>
        <v>0.10845383759733036</v>
      </c>
    </row>
    <row r="7" spans="1:11" ht="23" customHeight="1" x14ac:dyDescent="0.15">
      <c r="A7" s="13"/>
      <c r="B7" s="12"/>
      <c r="C7" s="12"/>
      <c r="D7" s="12"/>
      <c r="E7" s="12"/>
      <c r="F7" s="12"/>
      <c r="G7" s="12"/>
      <c r="H7" s="12"/>
      <c r="I7" s="12"/>
      <c r="J7" s="9"/>
      <c r="K7" s="12"/>
    </row>
    <row r="8" spans="1:11" ht="23" customHeight="1" x14ac:dyDescent="0.15">
      <c r="A8" s="7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ht="23" customHeight="1" x14ac:dyDescent="0.15">
      <c r="A9" s="4" t="s">
        <v>6</v>
      </c>
      <c r="B9" s="9"/>
      <c r="C9" s="9"/>
      <c r="D9" s="9"/>
      <c r="E9" s="9"/>
      <c r="F9" s="9"/>
      <c r="G9" s="9"/>
      <c r="H9" s="9"/>
      <c r="I9" s="9"/>
      <c r="J9" s="9"/>
      <c r="K9" s="6" t="s">
        <v>2</v>
      </c>
    </row>
    <row r="10" spans="1:11" ht="23" customHeight="1" x14ac:dyDescent="0.15">
      <c r="A10" s="7"/>
      <c r="B10" s="9"/>
      <c r="C10" s="9"/>
      <c r="D10" s="9"/>
      <c r="E10" s="8">
        <v>2012</v>
      </c>
      <c r="F10" s="8">
        <v>2013</v>
      </c>
      <c r="G10" s="8">
        <v>2014</v>
      </c>
      <c r="H10" s="8">
        <v>2015</v>
      </c>
      <c r="I10" s="8">
        <v>2016</v>
      </c>
      <c r="J10" s="9"/>
      <c r="K10" s="9"/>
    </row>
    <row r="11" spans="1:11" ht="23" customHeight="1" x14ac:dyDescent="0.15">
      <c r="A11" s="10" t="s">
        <v>3</v>
      </c>
      <c r="B11" s="9"/>
      <c r="C11" s="9"/>
      <c r="D11" s="9"/>
      <c r="E11" s="8">
        <v>48</v>
      </c>
      <c r="F11" s="8">
        <v>112</v>
      </c>
      <c r="G11" s="8">
        <v>105</v>
      </c>
      <c r="H11" s="8">
        <v>121</v>
      </c>
      <c r="I11" s="8">
        <v>86</v>
      </c>
      <c r="J11" s="9"/>
      <c r="K11" s="8">
        <f>SUM(E11:I11)</f>
        <v>472</v>
      </c>
    </row>
    <row r="12" spans="1:11" ht="23" customHeight="1" x14ac:dyDescent="0.15">
      <c r="A12" s="10" t="s">
        <v>4</v>
      </c>
      <c r="B12" s="9"/>
      <c r="C12" s="9"/>
      <c r="D12" s="9"/>
      <c r="E12" s="8">
        <v>5</v>
      </c>
      <c r="F12" s="8">
        <v>11</v>
      </c>
      <c r="G12" s="8">
        <v>17</v>
      </c>
      <c r="H12" s="8">
        <v>19</v>
      </c>
      <c r="I12" s="8">
        <v>14</v>
      </c>
      <c r="J12" s="9"/>
      <c r="K12" s="8">
        <f>SUM(E12:I12)</f>
        <v>66</v>
      </c>
    </row>
    <row r="13" spans="1:11" ht="23" customHeight="1" x14ac:dyDescent="0.15">
      <c r="A13" s="11" t="s">
        <v>5</v>
      </c>
      <c r="B13" s="12"/>
      <c r="C13" s="12"/>
      <c r="D13" s="12"/>
      <c r="E13" s="12">
        <f>E12/E11</f>
        <v>0.10416666666666667</v>
      </c>
      <c r="F13" s="12">
        <f>F12/F11</f>
        <v>9.8214285714285712E-2</v>
      </c>
      <c r="G13" s="12">
        <f>G12/G11</f>
        <v>0.16190476190476191</v>
      </c>
      <c r="H13" s="12">
        <f>H12/H11</f>
        <v>0.15702479338842976</v>
      </c>
      <c r="I13" s="12">
        <f>I12/I11</f>
        <v>0.16279069767441862</v>
      </c>
      <c r="J13" s="9"/>
      <c r="K13" s="12">
        <f>AVERAGE(K12/K11)</f>
        <v>0.13983050847457626</v>
      </c>
    </row>
    <row r="14" spans="1:11" ht="23" customHeight="1" x14ac:dyDescent="0.15">
      <c r="A14" s="13"/>
      <c r="B14" s="12"/>
      <c r="C14" s="12"/>
      <c r="D14" s="12"/>
      <c r="E14" s="12"/>
      <c r="F14" s="12"/>
      <c r="G14" s="12"/>
      <c r="H14" s="12"/>
      <c r="I14" s="12"/>
      <c r="J14" s="9"/>
      <c r="K14" s="12"/>
    </row>
    <row r="15" spans="1:11" ht="23" customHeight="1" x14ac:dyDescent="0.15">
      <c r="A15" s="7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ht="23" customHeight="1" x14ac:dyDescent="0.15">
      <c r="A16" s="4" t="s">
        <v>7</v>
      </c>
      <c r="B16" s="9"/>
      <c r="C16" s="9"/>
      <c r="D16" s="9"/>
      <c r="E16" s="9"/>
      <c r="F16" s="9"/>
      <c r="G16" s="9"/>
      <c r="H16" s="9"/>
      <c r="I16" s="9"/>
      <c r="J16" s="9"/>
      <c r="K16" s="6" t="s">
        <v>2</v>
      </c>
    </row>
    <row r="17" spans="1:11" ht="23" customHeight="1" x14ac:dyDescent="0.15">
      <c r="A17" s="7"/>
      <c r="B17" s="9"/>
      <c r="C17" s="9"/>
      <c r="D17" s="9"/>
      <c r="E17" s="9"/>
      <c r="F17" s="9"/>
      <c r="G17" s="9"/>
      <c r="H17" s="14" t="s">
        <v>8</v>
      </c>
      <c r="I17" s="14" t="s">
        <v>9</v>
      </c>
      <c r="J17" s="9"/>
      <c r="K17" s="9"/>
    </row>
    <row r="18" spans="1:11" ht="23" customHeight="1" x14ac:dyDescent="0.15">
      <c r="A18" s="10" t="s">
        <v>3</v>
      </c>
      <c r="B18" s="9"/>
      <c r="C18" s="9"/>
      <c r="D18" s="9"/>
      <c r="E18" s="9"/>
      <c r="F18" s="9"/>
      <c r="G18" s="9"/>
      <c r="H18" s="8">
        <v>65</v>
      </c>
      <c r="I18" s="8">
        <v>287</v>
      </c>
      <c r="J18" s="9"/>
      <c r="K18" s="8">
        <v>352</v>
      </c>
    </row>
    <row r="19" spans="1:11" ht="23" customHeight="1" x14ac:dyDescent="0.15">
      <c r="A19" s="10" t="s">
        <v>4</v>
      </c>
      <c r="B19" s="9"/>
      <c r="C19" s="9"/>
      <c r="D19" s="9"/>
      <c r="E19" s="9"/>
      <c r="F19" s="9"/>
      <c r="G19" s="9"/>
      <c r="H19" s="8">
        <v>10</v>
      </c>
      <c r="I19" s="8">
        <v>67</v>
      </c>
      <c r="J19" s="9"/>
      <c r="K19" s="8">
        <v>77</v>
      </c>
    </row>
    <row r="20" spans="1:11" ht="23" customHeight="1" x14ac:dyDescent="0.15">
      <c r="A20" s="11" t="s">
        <v>5</v>
      </c>
      <c r="B20" s="12"/>
      <c r="C20" s="12"/>
      <c r="D20" s="9"/>
      <c r="E20" s="9"/>
      <c r="F20" s="9"/>
      <c r="G20" s="9"/>
      <c r="H20" s="12">
        <f>H19/H18</f>
        <v>0.15384615384615385</v>
      </c>
      <c r="I20" s="12">
        <f>I19/I18</f>
        <v>0.23344947735191637</v>
      </c>
      <c r="J20" s="9"/>
      <c r="K20" s="12">
        <f>AVERAGE(K19/K18)</f>
        <v>0.21875</v>
      </c>
    </row>
    <row r="21" spans="1:11" ht="23" customHeight="1" x14ac:dyDescent="0.15">
      <c r="A21" s="13"/>
      <c r="B21" s="12"/>
      <c r="C21" s="12"/>
      <c r="D21" s="9"/>
      <c r="E21" s="9"/>
      <c r="F21" s="9"/>
      <c r="G21" s="9"/>
      <c r="H21" s="12"/>
      <c r="I21" s="12"/>
      <c r="J21" s="9"/>
      <c r="K21" s="9"/>
    </row>
    <row r="22" spans="1:11" ht="23" customHeight="1" x14ac:dyDescent="0.15">
      <c r="A22" s="7"/>
      <c r="B22" s="9"/>
      <c r="C22" s="9"/>
      <c r="D22" s="9"/>
      <c r="E22" s="9"/>
      <c r="F22" s="9"/>
      <c r="G22" s="9"/>
      <c r="H22" s="9"/>
      <c r="I22" s="9"/>
      <c r="J22" s="9"/>
      <c r="K22" s="15"/>
    </row>
    <row r="23" spans="1:11" ht="23" customHeight="1" x14ac:dyDescent="0.15">
      <c r="A23" s="16" t="s">
        <v>10</v>
      </c>
      <c r="B23" s="9"/>
      <c r="C23" s="9"/>
      <c r="D23" s="9"/>
      <c r="E23" s="9"/>
      <c r="F23" s="9"/>
      <c r="G23" s="9"/>
      <c r="H23" s="9"/>
      <c r="I23" s="9"/>
      <c r="J23" s="9"/>
      <c r="K23" s="6" t="s">
        <v>2</v>
      </c>
    </row>
    <row r="24" spans="1:11" ht="23" customHeight="1" x14ac:dyDescent="0.15">
      <c r="A24" s="13"/>
      <c r="B24" s="9"/>
      <c r="C24" s="9"/>
      <c r="D24" s="9"/>
      <c r="E24" s="9"/>
      <c r="F24" s="9"/>
      <c r="G24" s="8">
        <v>2014</v>
      </c>
      <c r="H24" s="8">
        <v>2015</v>
      </c>
      <c r="I24" s="8">
        <v>2016</v>
      </c>
      <c r="J24" s="9">
        <v>2017</v>
      </c>
      <c r="K24" s="9"/>
    </row>
    <row r="25" spans="1:11" ht="23" customHeight="1" x14ac:dyDescent="0.15">
      <c r="A25" s="11" t="s">
        <v>3</v>
      </c>
      <c r="B25" s="9"/>
      <c r="C25" s="9"/>
      <c r="D25" s="9"/>
      <c r="E25" s="9"/>
      <c r="F25" s="9"/>
      <c r="G25" s="8">
        <v>18</v>
      </c>
      <c r="H25" s="8">
        <v>26</v>
      </c>
      <c r="I25" s="8">
        <v>12</v>
      </c>
      <c r="J25" s="9">
        <v>1</v>
      </c>
      <c r="K25" s="8">
        <f>SUM(G25:J25)</f>
        <v>57</v>
      </c>
    </row>
    <row r="26" spans="1:11" ht="23" customHeight="1" x14ac:dyDescent="0.15">
      <c r="A26" s="11" t="s">
        <v>4</v>
      </c>
      <c r="B26" s="9"/>
      <c r="C26" s="9"/>
      <c r="D26" s="9"/>
      <c r="E26" s="9"/>
      <c r="F26" s="9"/>
      <c r="G26" s="8">
        <v>0</v>
      </c>
      <c r="H26" s="8">
        <v>2</v>
      </c>
      <c r="I26" s="8">
        <v>0</v>
      </c>
      <c r="J26" s="9">
        <v>0</v>
      </c>
      <c r="K26" s="8">
        <v>2</v>
      </c>
    </row>
    <row r="27" spans="1:11" ht="23" customHeight="1" x14ac:dyDescent="0.15">
      <c r="A27" s="11" t="s">
        <v>5</v>
      </c>
      <c r="B27" s="12"/>
      <c r="C27" s="12"/>
      <c r="D27" s="12"/>
      <c r="E27" s="9"/>
      <c r="F27" s="9"/>
      <c r="G27" s="12">
        <f>G26/G25</f>
        <v>0</v>
      </c>
      <c r="H27" s="12">
        <f>H26/H25</f>
        <v>7.6923076923076927E-2</v>
      </c>
      <c r="I27" s="12">
        <f>I26/I25</f>
        <v>0</v>
      </c>
      <c r="J27" s="9"/>
      <c r="K27" s="12">
        <f>AVERAGE(K26/K25)</f>
        <v>3.5087719298245612E-2</v>
      </c>
    </row>
    <row r="28" spans="1:11" ht="23" customHeight="1" x14ac:dyDescent="0.15">
      <c r="A28" s="7"/>
      <c r="B28" s="12"/>
      <c r="C28" s="12"/>
      <c r="D28" s="12"/>
      <c r="E28" s="9"/>
      <c r="F28" s="9"/>
      <c r="G28" s="12"/>
      <c r="H28" s="12"/>
      <c r="I28" s="12"/>
      <c r="J28" s="9"/>
      <c r="K28" s="12"/>
    </row>
    <row r="29" spans="1:11" ht="23" customHeight="1" x14ac:dyDescent="0.15">
      <c r="A29" s="7"/>
      <c r="B29" s="5"/>
      <c r="C29" s="17"/>
      <c r="D29" s="18"/>
      <c r="E29" s="18"/>
      <c r="F29" s="18"/>
      <c r="G29" s="5"/>
      <c r="H29" s="5"/>
      <c r="I29" s="18"/>
      <c r="J29" s="18"/>
      <c r="K29" s="18"/>
    </row>
    <row r="30" spans="1:11" ht="23" customHeight="1" x14ac:dyDescent="0.15">
      <c r="A30" s="16" t="s">
        <v>11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ht="23" customHeight="1" x14ac:dyDescent="0.15">
      <c r="A31" s="13"/>
      <c r="B31" s="113">
        <v>2009</v>
      </c>
      <c r="C31" s="113">
        <v>2010</v>
      </c>
      <c r="D31" s="113">
        <v>2011</v>
      </c>
      <c r="E31" s="113">
        <v>2012</v>
      </c>
      <c r="F31" s="113">
        <v>2013</v>
      </c>
      <c r="G31" s="113">
        <v>2014</v>
      </c>
      <c r="H31" s="113">
        <v>2015</v>
      </c>
      <c r="I31" s="113">
        <v>2016</v>
      </c>
      <c r="J31" s="114">
        <v>2017</v>
      </c>
      <c r="K31" s="6" t="s">
        <v>12</v>
      </c>
    </row>
    <row r="32" spans="1:11" ht="23" customHeight="1" x14ac:dyDescent="0.15">
      <c r="A32" s="11" t="s">
        <v>3</v>
      </c>
      <c r="B32" s="113">
        <f t="shared" ref="B32:D33" si="1">SUM(B4)</f>
        <v>38</v>
      </c>
      <c r="C32" s="113">
        <f t="shared" si="1"/>
        <v>180</v>
      </c>
      <c r="D32" s="113">
        <f t="shared" si="1"/>
        <v>275</v>
      </c>
      <c r="E32" s="113">
        <f>SUM(E4,E11)</f>
        <v>346</v>
      </c>
      <c r="F32" s="113">
        <f>SUM(F4,F11)</f>
        <v>349</v>
      </c>
      <c r="G32" s="113">
        <f>SUM(G25,G11,G4)</f>
        <v>389</v>
      </c>
      <c r="H32" s="113">
        <f>SUM(H25,H18,,H4,H11)</f>
        <v>462</v>
      </c>
      <c r="I32" s="113">
        <f>SUM(I25,I18,,I4,I11)</f>
        <v>596</v>
      </c>
      <c r="J32" s="114">
        <f>SUM(J25,J4)</f>
        <v>44</v>
      </c>
      <c r="K32" s="8">
        <f>SUM(B32:J32)</f>
        <v>2679</v>
      </c>
    </row>
    <row r="33" spans="1:11" ht="23" customHeight="1" x14ac:dyDescent="0.15">
      <c r="A33" s="11" t="s">
        <v>4</v>
      </c>
      <c r="B33" s="113">
        <f t="shared" si="1"/>
        <v>0</v>
      </c>
      <c r="C33" s="113">
        <f t="shared" si="1"/>
        <v>8</v>
      </c>
      <c r="D33" s="113">
        <f t="shared" si="1"/>
        <v>43</v>
      </c>
      <c r="E33" s="113">
        <f>SUM(E5,E12)</f>
        <v>51</v>
      </c>
      <c r="F33" s="113">
        <f>SUM(F5,F12)</f>
        <v>43</v>
      </c>
      <c r="G33" s="113">
        <f>SUM(G26,G12,G5)</f>
        <v>40</v>
      </c>
      <c r="H33" s="113">
        <f>SUM(H26,H19,,H5,H12)</f>
        <v>55</v>
      </c>
      <c r="I33" s="113">
        <f>SUM(I26,I19,,I5,I12)</f>
        <v>97</v>
      </c>
      <c r="J33" s="114">
        <f>SUM(J26,J5)</f>
        <v>3</v>
      </c>
      <c r="K33" s="8">
        <f>SUM(B33:J33)</f>
        <v>340</v>
      </c>
    </row>
    <row r="34" spans="1:11" ht="23" customHeight="1" x14ac:dyDescent="0.15">
      <c r="A34" s="11" t="s">
        <v>5</v>
      </c>
      <c r="B34" s="115">
        <f t="shared" ref="B34:I34" si="2">B33/B32</f>
        <v>0</v>
      </c>
      <c r="C34" s="115">
        <f t="shared" si="2"/>
        <v>4.4444444444444446E-2</v>
      </c>
      <c r="D34" s="115">
        <f t="shared" si="2"/>
        <v>0.15636363636363637</v>
      </c>
      <c r="E34" s="115">
        <f t="shared" si="2"/>
        <v>0.14739884393063585</v>
      </c>
      <c r="F34" s="115">
        <f t="shared" si="2"/>
        <v>0.12320916905444126</v>
      </c>
      <c r="G34" s="115">
        <f t="shared" si="2"/>
        <v>0.10282776349614396</v>
      </c>
      <c r="H34" s="115">
        <f t="shared" si="2"/>
        <v>0.11904761904761904</v>
      </c>
      <c r="I34" s="115">
        <f t="shared" si="2"/>
        <v>0.16275167785234898</v>
      </c>
      <c r="J34" s="115">
        <f>J33/J32</f>
        <v>6.8181818181818177E-2</v>
      </c>
      <c r="K34" s="12">
        <f>K33/K32</f>
        <v>0.12691302724897349</v>
      </c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L28"/>
  <sheetViews>
    <sheetView showGridLines="0" workbookViewId="0"/>
  </sheetViews>
  <sheetFormatPr baseColWidth="10" defaultColWidth="19.6640625" defaultRowHeight="18" customHeight="1" x14ac:dyDescent="0.15"/>
  <cols>
    <col min="1" max="12" width="19.6640625" style="19" customWidth="1"/>
    <col min="13" max="256" width="19.6640625" customWidth="1"/>
  </cols>
  <sheetData>
    <row r="1" spans="1:12" ht="23" customHeight="1" x14ac:dyDescent="0.15">
      <c r="A1" s="20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2" t="s">
        <v>2</v>
      </c>
      <c r="L1" s="21"/>
    </row>
    <row r="2" spans="1:12" ht="21" customHeight="1" x14ac:dyDescent="0.15">
      <c r="A2" s="23"/>
      <c r="B2" s="24">
        <v>2001</v>
      </c>
      <c r="C2" s="24">
        <v>2002</v>
      </c>
      <c r="D2" s="24">
        <v>2003</v>
      </c>
      <c r="E2" s="24">
        <v>2004</v>
      </c>
      <c r="F2" s="24">
        <v>2005</v>
      </c>
      <c r="G2" s="24">
        <v>2006</v>
      </c>
      <c r="H2" s="24">
        <v>2007</v>
      </c>
      <c r="I2" s="24">
        <v>2008</v>
      </c>
      <c r="J2" s="25"/>
      <c r="K2" s="26" t="s">
        <v>5</v>
      </c>
      <c r="L2" s="27">
        <f>L4/L3</f>
        <v>5.0505050505050509E-3</v>
      </c>
    </row>
    <row r="3" spans="1:12" ht="21" customHeight="1" x14ac:dyDescent="0.15">
      <c r="A3" s="28" t="s">
        <v>13</v>
      </c>
      <c r="B3" s="24">
        <v>4</v>
      </c>
      <c r="C3" s="24">
        <v>1</v>
      </c>
      <c r="D3" s="24">
        <v>33</v>
      </c>
      <c r="E3" s="24">
        <v>29</v>
      </c>
      <c r="F3" s="24">
        <v>91</v>
      </c>
      <c r="G3" s="24">
        <v>128</v>
      </c>
      <c r="H3" s="24">
        <v>173</v>
      </c>
      <c r="I3" s="24">
        <v>135</v>
      </c>
      <c r="J3" s="25"/>
      <c r="K3" s="26" t="s">
        <v>14</v>
      </c>
      <c r="L3" s="24">
        <v>594</v>
      </c>
    </row>
    <row r="4" spans="1:12" ht="21" customHeight="1" x14ac:dyDescent="0.15">
      <c r="A4" s="28" t="s">
        <v>15</v>
      </c>
      <c r="B4" s="24">
        <v>0</v>
      </c>
      <c r="C4" s="24">
        <v>0</v>
      </c>
      <c r="D4" s="24">
        <v>0</v>
      </c>
      <c r="E4" s="24">
        <v>0</v>
      </c>
      <c r="F4" s="24">
        <v>2</v>
      </c>
      <c r="G4" s="24">
        <v>0</v>
      </c>
      <c r="H4" s="24">
        <v>1</v>
      </c>
      <c r="I4" s="24">
        <v>0</v>
      </c>
      <c r="J4" s="25"/>
      <c r="K4" s="26" t="s">
        <v>16</v>
      </c>
      <c r="L4" s="24">
        <v>3</v>
      </c>
    </row>
    <row r="5" spans="1:12" ht="21" customHeight="1" x14ac:dyDescent="0.15">
      <c r="A5" s="28" t="s">
        <v>5</v>
      </c>
      <c r="B5" s="27"/>
      <c r="C5" s="27"/>
      <c r="D5" s="27"/>
      <c r="E5" s="27"/>
      <c r="F5" s="27">
        <f>F4/F3</f>
        <v>2.197802197802198E-2</v>
      </c>
      <c r="G5" s="27"/>
      <c r="H5" s="27">
        <f>H4/H3</f>
        <v>5.7803468208092483E-3</v>
      </c>
      <c r="I5" s="27"/>
      <c r="J5" s="25"/>
      <c r="K5" s="25"/>
      <c r="L5" s="25"/>
    </row>
    <row r="6" spans="1:12" ht="21" customHeight="1" x14ac:dyDescent="0.15">
      <c r="A6" s="23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12" ht="21" customHeight="1" x14ac:dyDescent="0.15">
      <c r="A7" s="29" t="s">
        <v>17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2" ht="21" customHeight="1" x14ac:dyDescent="0.15">
      <c r="A8" s="23"/>
      <c r="B8" s="24">
        <v>2001</v>
      </c>
      <c r="C8" s="24">
        <v>2002</v>
      </c>
      <c r="D8" s="24">
        <v>2003</v>
      </c>
      <c r="E8" s="24">
        <v>2004</v>
      </c>
      <c r="F8" s="24">
        <v>2005</v>
      </c>
      <c r="G8" s="24">
        <v>2006</v>
      </c>
      <c r="H8" s="24">
        <v>2007</v>
      </c>
      <c r="I8" s="24">
        <v>2008</v>
      </c>
      <c r="J8" s="25"/>
      <c r="K8" s="25"/>
      <c r="L8" s="25"/>
    </row>
    <row r="9" spans="1:12" ht="21" customHeight="1" x14ac:dyDescent="0.15">
      <c r="A9" s="28" t="s">
        <v>13</v>
      </c>
      <c r="B9" s="24">
        <v>1</v>
      </c>
      <c r="C9" s="24">
        <v>1</v>
      </c>
      <c r="D9" s="24">
        <v>3</v>
      </c>
      <c r="E9" s="24">
        <v>9</v>
      </c>
      <c r="F9" s="24">
        <v>27</v>
      </c>
      <c r="G9" s="24">
        <v>50</v>
      </c>
      <c r="H9" s="24">
        <v>82</v>
      </c>
      <c r="I9" s="24">
        <v>64</v>
      </c>
      <c r="J9" s="25"/>
      <c r="K9" s="25"/>
      <c r="L9" s="25"/>
    </row>
    <row r="10" spans="1:12" ht="21" customHeight="1" x14ac:dyDescent="0.15">
      <c r="A10" s="28" t="s">
        <v>15</v>
      </c>
      <c r="B10" s="24">
        <v>0</v>
      </c>
      <c r="C10" s="24">
        <v>0</v>
      </c>
      <c r="D10" s="24">
        <v>0</v>
      </c>
      <c r="E10" s="24">
        <v>0</v>
      </c>
      <c r="F10" s="24">
        <v>1</v>
      </c>
      <c r="G10" s="24">
        <v>0</v>
      </c>
      <c r="H10" s="24">
        <v>1</v>
      </c>
      <c r="I10" s="24">
        <v>0</v>
      </c>
      <c r="J10" s="25"/>
      <c r="K10" s="25"/>
      <c r="L10" s="25"/>
    </row>
    <row r="11" spans="1:12" ht="21" customHeight="1" x14ac:dyDescent="0.15">
      <c r="A11" s="28" t="s">
        <v>5</v>
      </c>
      <c r="B11" s="27"/>
      <c r="C11" s="27"/>
      <c r="D11" s="27"/>
      <c r="E11" s="27"/>
      <c r="F11" s="27">
        <f>F10/F9</f>
        <v>3.7037037037037035E-2</v>
      </c>
      <c r="G11" s="27"/>
      <c r="H11" s="27">
        <f>H10/H9</f>
        <v>1.2195121951219513E-2</v>
      </c>
      <c r="I11" s="27"/>
      <c r="J11" s="25"/>
      <c r="K11" s="25"/>
      <c r="L11" s="25"/>
    </row>
    <row r="12" spans="1:12" ht="21" customHeight="1" x14ac:dyDescent="0.15">
      <c r="A12" s="2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2" ht="21" customHeight="1" x14ac:dyDescent="0.15">
      <c r="A13" s="29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2" ht="21" customHeight="1" x14ac:dyDescent="0.15">
      <c r="A14" s="23"/>
      <c r="B14" s="24">
        <v>2001</v>
      </c>
      <c r="C14" s="24">
        <v>2002</v>
      </c>
      <c r="D14" s="24">
        <v>2003</v>
      </c>
      <c r="E14" s="24">
        <v>2004</v>
      </c>
      <c r="F14" s="24">
        <v>2005</v>
      </c>
      <c r="G14" s="24">
        <v>2006</v>
      </c>
      <c r="H14" s="24">
        <v>2007</v>
      </c>
      <c r="I14" s="24">
        <v>2008</v>
      </c>
      <c r="J14" s="25"/>
      <c r="K14" s="25"/>
      <c r="L14" s="25"/>
    </row>
    <row r="15" spans="1:12" ht="21" customHeight="1" x14ac:dyDescent="0.15">
      <c r="A15" s="28" t="s">
        <v>13</v>
      </c>
      <c r="B15" s="24">
        <v>1</v>
      </c>
      <c r="C15" s="24">
        <v>0</v>
      </c>
      <c r="D15" s="24">
        <v>1</v>
      </c>
      <c r="E15" s="24">
        <v>3</v>
      </c>
      <c r="F15" s="24">
        <v>17</v>
      </c>
      <c r="G15" s="24">
        <v>23</v>
      </c>
      <c r="H15" s="24">
        <v>40</v>
      </c>
      <c r="I15" s="24">
        <v>34</v>
      </c>
      <c r="J15" s="25"/>
      <c r="K15" s="25"/>
      <c r="L15" s="25"/>
    </row>
    <row r="16" spans="1:12" ht="21" customHeight="1" x14ac:dyDescent="0.15">
      <c r="A16" s="28" t="s">
        <v>15</v>
      </c>
      <c r="B16" s="24">
        <v>0</v>
      </c>
      <c r="C16" s="24">
        <v>0</v>
      </c>
      <c r="D16" s="24">
        <v>0</v>
      </c>
      <c r="E16" s="24">
        <v>0</v>
      </c>
      <c r="F16" s="24">
        <v>1</v>
      </c>
      <c r="G16" s="24">
        <v>0</v>
      </c>
      <c r="H16" s="24">
        <v>0</v>
      </c>
      <c r="I16" s="24">
        <v>0</v>
      </c>
      <c r="J16" s="25"/>
      <c r="K16" s="25"/>
      <c r="L16" s="25"/>
    </row>
    <row r="17" spans="1:12" ht="21" customHeight="1" x14ac:dyDescent="0.15">
      <c r="A17" s="28" t="s">
        <v>5</v>
      </c>
      <c r="B17" s="27"/>
      <c r="C17" s="27"/>
      <c r="D17" s="27"/>
      <c r="E17" s="27"/>
      <c r="F17" s="27">
        <f>F16/F15</f>
        <v>5.8823529411764705E-2</v>
      </c>
      <c r="G17" s="27"/>
      <c r="H17" s="27"/>
      <c r="I17" s="27"/>
      <c r="J17" s="25"/>
      <c r="K17" s="25"/>
      <c r="L17" s="25"/>
    </row>
    <row r="18" spans="1:12" ht="21" customHeight="1" x14ac:dyDescent="0.15">
      <c r="A18" s="23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1:12" ht="21" customHeight="1" x14ac:dyDescent="0.15">
      <c r="A19" s="29" t="s">
        <v>19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1:12" ht="21" customHeight="1" x14ac:dyDescent="0.15">
      <c r="A20" s="23"/>
      <c r="B20" s="24">
        <v>2001</v>
      </c>
      <c r="C20" s="24">
        <v>2002</v>
      </c>
      <c r="D20" s="24">
        <v>2003</v>
      </c>
      <c r="E20" s="24">
        <v>2004</v>
      </c>
      <c r="F20" s="24">
        <v>2005</v>
      </c>
      <c r="G20" s="24">
        <v>2006</v>
      </c>
      <c r="H20" s="24">
        <v>2007</v>
      </c>
      <c r="I20" s="24">
        <v>2008</v>
      </c>
      <c r="J20" s="25"/>
      <c r="K20" s="25"/>
      <c r="L20" s="25"/>
    </row>
    <row r="21" spans="1:12" ht="21" customHeight="1" x14ac:dyDescent="0.15">
      <c r="A21" s="28" t="s">
        <v>13</v>
      </c>
      <c r="B21" s="24">
        <v>2</v>
      </c>
      <c r="C21" s="24">
        <v>0</v>
      </c>
      <c r="D21" s="24">
        <v>27</v>
      </c>
      <c r="E21" s="24">
        <v>14</v>
      </c>
      <c r="F21" s="24">
        <v>47</v>
      </c>
      <c r="G21" s="24">
        <v>51</v>
      </c>
      <c r="H21" s="24">
        <v>49</v>
      </c>
      <c r="I21" s="24">
        <v>37</v>
      </c>
      <c r="J21" s="25"/>
      <c r="K21" s="25"/>
      <c r="L21" s="25"/>
    </row>
    <row r="22" spans="1:12" ht="21" customHeight="1" x14ac:dyDescent="0.15">
      <c r="A22" s="28" t="s">
        <v>15</v>
      </c>
      <c r="B22" s="24">
        <v>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5"/>
      <c r="K22" s="25"/>
      <c r="L22" s="25"/>
    </row>
    <row r="23" spans="1:12" ht="21" customHeight="1" x14ac:dyDescent="0.15">
      <c r="A23" s="23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</row>
    <row r="24" spans="1:12" ht="21" customHeight="1" x14ac:dyDescent="0.15">
      <c r="A24" s="23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spans="1:12" ht="21" customHeight="1" x14ac:dyDescent="0.15">
      <c r="A25" s="29" t="s">
        <v>20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1:12" ht="21" customHeight="1" x14ac:dyDescent="0.15">
      <c r="A26" s="23"/>
      <c r="B26" s="24">
        <v>2001</v>
      </c>
      <c r="C26" s="24">
        <v>2002</v>
      </c>
      <c r="D26" s="24">
        <v>2003</v>
      </c>
      <c r="E26" s="24">
        <v>2004</v>
      </c>
      <c r="F26" s="24">
        <v>2005</v>
      </c>
      <c r="G26" s="24">
        <v>2006</v>
      </c>
      <c r="H26" s="24">
        <v>2007</v>
      </c>
      <c r="I26" s="24">
        <v>2008</v>
      </c>
      <c r="J26" s="25"/>
      <c r="K26" s="25"/>
      <c r="L26" s="25"/>
    </row>
    <row r="27" spans="1:12" ht="21" customHeight="1" x14ac:dyDescent="0.15">
      <c r="A27" s="28" t="s">
        <v>13</v>
      </c>
      <c r="B27" s="24">
        <v>0</v>
      </c>
      <c r="C27" s="24">
        <v>0</v>
      </c>
      <c r="D27" s="24">
        <v>2</v>
      </c>
      <c r="E27" s="24">
        <v>3</v>
      </c>
      <c r="F27" s="24">
        <v>0</v>
      </c>
      <c r="G27" s="24">
        <v>4</v>
      </c>
      <c r="H27" s="24">
        <v>2</v>
      </c>
      <c r="I27" s="24">
        <v>0</v>
      </c>
      <c r="J27" s="25"/>
      <c r="K27" s="25"/>
      <c r="L27" s="25"/>
    </row>
    <row r="28" spans="1:12" ht="21" customHeight="1" x14ac:dyDescent="0.15">
      <c r="A28" s="28" t="s">
        <v>15</v>
      </c>
      <c r="B28" s="24">
        <v>0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5"/>
      <c r="K28" s="25"/>
      <c r="L28" s="25"/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28"/>
  <sheetViews>
    <sheetView showGridLines="0" workbookViewId="0"/>
  </sheetViews>
  <sheetFormatPr baseColWidth="10" defaultColWidth="19.6640625" defaultRowHeight="18" customHeight="1" x14ac:dyDescent="0.15"/>
  <cols>
    <col min="1" max="16" width="19.6640625" style="30" customWidth="1"/>
    <col min="17" max="256" width="19.6640625" customWidth="1"/>
  </cols>
  <sheetData>
    <row r="1" spans="1:16" ht="23" customHeight="1" x14ac:dyDescent="0.15">
      <c r="A1" s="20" t="s">
        <v>11</v>
      </c>
      <c r="B1" s="31"/>
      <c r="C1" s="31"/>
      <c r="D1" s="31"/>
      <c r="E1" s="31"/>
      <c r="F1" s="31"/>
      <c r="G1" s="31"/>
      <c r="H1" s="31"/>
      <c r="I1" s="31"/>
      <c r="J1" s="21"/>
      <c r="K1" s="21"/>
      <c r="L1" s="21"/>
      <c r="M1" s="21"/>
      <c r="N1" s="21"/>
      <c r="O1" s="22" t="s">
        <v>2</v>
      </c>
      <c r="P1" s="21"/>
    </row>
    <row r="2" spans="1:16" ht="21" customHeight="1" x14ac:dyDescent="0.15">
      <c r="A2" s="32"/>
      <c r="B2" s="24">
        <v>1999</v>
      </c>
      <c r="C2" s="24">
        <v>2000</v>
      </c>
      <c r="D2" s="24">
        <v>2001</v>
      </c>
      <c r="E2" s="24">
        <v>2002</v>
      </c>
      <c r="F2" s="24">
        <v>2003</v>
      </c>
      <c r="G2" s="24">
        <v>2004</v>
      </c>
      <c r="H2" s="24">
        <v>2005</v>
      </c>
      <c r="I2" s="24">
        <v>2006</v>
      </c>
      <c r="J2" s="24">
        <v>2007</v>
      </c>
      <c r="K2" s="24">
        <v>2008</v>
      </c>
      <c r="L2" s="24">
        <v>2009</v>
      </c>
      <c r="M2" s="24">
        <v>2010</v>
      </c>
      <c r="N2" s="25"/>
      <c r="O2" s="26" t="s">
        <v>5</v>
      </c>
      <c r="P2" s="27">
        <f>P4/P3</f>
        <v>9.1623036649214652E-3</v>
      </c>
    </row>
    <row r="3" spans="1:16" ht="23" customHeight="1" x14ac:dyDescent="0.15">
      <c r="A3" s="33" t="s">
        <v>13</v>
      </c>
      <c r="B3" s="34">
        <v>10</v>
      </c>
      <c r="C3" s="34">
        <v>15</v>
      </c>
      <c r="D3" s="34">
        <v>50</v>
      </c>
      <c r="E3" s="34">
        <v>86</v>
      </c>
      <c r="F3" s="34">
        <v>66</v>
      </c>
      <c r="G3" s="34">
        <v>78</v>
      </c>
      <c r="H3" s="34">
        <v>63</v>
      </c>
      <c r="I3" s="34">
        <v>148</v>
      </c>
      <c r="J3" s="34">
        <v>154</v>
      </c>
      <c r="K3" s="34">
        <v>67</v>
      </c>
      <c r="L3" s="34">
        <v>9</v>
      </c>
      <c r="M3" s="34">
        <v>18</v>
      </c>
      <c r="N3" s="25"/>
      <c r="O3" s="26" t="s">
        <v>14</v>
      </c>
      <c r="P3" s="24">
        <v>764</v>
      </c>
    </row>
    <row r="4" spans="1:16" ht="23" customHeight="1" x14ac:dyDescent="0.15">
      <c r="A4" s="33" t="s">
        <v>15</v>
      </c>
      <c r="B4" s="34">
        <v>1</v>
      </c>
      <c r="C4" s="34">
        <v>0</v>
      </c>
      <c r="D4" s="34">
        <v>0</v>
      </c>
      <c r="E4" s="34">
        <v>3</v>
      </c>
      <c r="F4" s="34">
        <v>2</v>
      </c>
      <c r="G4" s="34">
        <v>0</v>
      </c>
      <c r="H4" s="34">
        <v>0</v>
      </c>
      <c r="I4" s="34">
        <v>1</v>
      </c>
      <c r="J4" s="34">
        <v>0</v>
      </c>
      <c r="K4" s="34">
        <v>0</v>
      </c>
      <c r="L4" s="34">
        <v>0</v>
      </c>
      <c r="M4" s="34">
        <v>0</v>
      </c>
      <c r="N4" s="25"/>
      <c r="O4" s="26" t="s">
        <v>16</v>
      </c>
      <c r="P4" s="24">
        <v>7</v>
      </c>
    </row>
    <row r="5" spans="1:16" ht="23" customHeight="1" x14ac:dyDescent="0.15">
      <c r="A5" s="33" t="s">
        <v>5</v>
      </c>
      <c r="B5" s="35">
        <f>B4/B3</f>
        <v>0.1</v>
      </c>
      <c r="C5" s="35"/>
      <c r="D5" s="35"/>
      <c r="E5" s="35">
        <f>E4/E3</f>
        <v>3.4883720930232558E-2</v>
      </c>
      <c r="F5" s="35">
        <f>F4/F3</f>
        <v>3.0303030303030304E-2</v>
      </c>
      <c r="G5" s="35"/>
      <c r="H5" s="35"/>
      <c r="I5" s="35">
        <f>I4/I3</f>
        <v>6.7567567567567571E-3</v>
      </c>
      <c r="J5" s="27"/>
      <c r="K5" s="27"/>
      <c r="L5" s="27"/>
      <c r="M5" s="27"/>
      <c r="N5" s="25"/>
      <c r="O5" s="25"/>
      <c r="P5" s="25"/>
    </row>
    <row r="6" spans="1:16" ht="23" customHeight="1" x14ac:dyDescent="0.15">
      <c r="A6" s="36"/>
      <c r="B6" s="37"/>
      <c r="C6" s="37"/>
      <c r="D6" s="37"/>
      <c r="E6" s="37"/>
      <c r="F6" s="37"/>
      <c r="G6" s="37"/>
      <c r="H6" s="37"/>
      <c r="I6" s="37"/>
      <c r="J6" s="25"/>
      <c r="K6" s="25"/>
      <c r="L6" s="25"/>
      <c r="M6" s="25"/>
      <c r="N6" s="25"/>
      <c r="O6" s="25"/>
      <c r="P6" s="25"/>
    </row>
    <row r="7" spans="1:16" ht="21" customHeight="1" x14ac:dyDescent="0.15">
      <c r="A7" s="29" t="s">
        <v>17</v>
      </c>
      <c r="B7" s="37"/>
      <c r="C7" s="37"/>
      <c r="D7" s="37"/>
      <c r="E7" s="37"/>
      <c r="F7" s="37"/>
      <c r="G7" s="37"/>
      <c r="H7" s="37"/>
      <c r="I7" s="37"/>
      <c r="J7" s="25"/>
      <c r="K7" s="25"/>
      <c r="L7" s="25"/>
      <c r="M7" s="25"/>
      <c r="N7" s="25"/>
      <c r="O7" s="25"/>
      <c r="P7" s="25"/>
    </row>
    <row r="8" spans="1:16" ht="21" customHeight="1" x14ac:dyDescent="0.15">
      <c r="A8" s="32"/>
      <c r="B8" s="24">
        <v>1999</v>
      </c>
      <c r="C8" s="24">
        <v>2000</v>
      </c>
      <c r="D8" s="24">
        <v>2001</v>
      </c>
      <c r="E8" s="24">
        <v>2002</v>
      </c>
      <c r="F8" s="24">
        <v>2003</v>
      </c>
      <c r="G8" s="24">
        <v>2004</v>
      </c>
      <c r="H8" s="24">
        <v>2005</v>
      </c>
      <c r="I8" s="24">
        <v>2006</v>
      </c>
      <c r="J8" s="24">
        <v>2007</v>
      </c>
      <c r="K8" s="24">
        <v>2008</v>
      </c>
      <c r="L8" s="24">
        <v>2009</v>
      </c>
      <c r="M8" s="24">
        <v>2010</v>
      </c>
      <c r="N8" s="25"/>
      <c r="O8" s="25"/>
      <c r="P8" s="25"/>
    </row>
    <row r="9" spans="1:16" ht="21" customHeight="1" x14ac:dyDescent="0.15">
      <c r="A9" s="38" t="s">
        <v>13</v>
      </c>
      <c r="B9" s="34">
        <v>0</v>
      </c>
      <c r="C9" s="34">
        <v>10</v>
      </c>
      <c r="D9" s="34">
        <v>31</v>
      </c>
      <c r="E9" s="34">
        <v>52</v>
      </c>
      <c r="F9" s="34">
        <v>44</v>
      </c>
      <c r="G9" s="34">
        <v>30</v>
      </c>
      <c r="H9" s="34">
        <v>26</v>
      </c>
      <c r="I9" s="34">
        <v>98</v>
      </c>
      <c r="J9" s="34">
        <v>79</v>
      </c>
      <c r="K9" s="34">
        <v>42</v>
      </c>
      <c r="L9" s="34">
        <v>4</v>
      </c>
      <c r="M9" s="34">
        <v>12</v>
      </c>
      <c r="N9" s="25"/>
      <c r="O9" s="25"/>
      <c r="P9" s="25"/>
    </row>
    <row r="10" spans="1:16" ht="21" customHeight="1" x14ac:dyDescent="0.15">
      <c r="A10" s="38" t="s">
        <v>15</v>
      </c>
      <c r="B10" s="34">
        <v>0</v>
      </c>
      <c r="C10" s="34">
        <v>0</v>
      </c>
      <c r="D10" s="34">
        <v>0</v>
      </c>
      <c r="E10" s="34">
        <v>3</v>
      </c>
      <c r="F10" s="34">
        <v>0</v>
      </c>
      <c r="G10" s="34">
        <v>0</v>
      </c>
      <c r="H10" s="34">
        <v>0</v>
      </c>
      <c r="I10" s="34">
        <v>1</v>
      </c>
      <c r="J10" s="34">
        <v>0</v>
      </c>
      <c r="K10" s="34">
        <v>0</v>
      </c>
      <c r="L10" s="34">
        <v>0</v>
      </c>
      <c r="M10" s="34">
        <v>0</v>
      </c>
      <c r="N10" s="25"/>
      <c r="O10" s="25"/>
      <c r="P10" s="25"/>
    </row>
    <row r="11" spans="1:16" ht="23" customHeight="1" x14ac:dyDescent="0.15">
      <c r="A11" s="33" t="s">
        <v>5</v>
      </c>
      <c r="B11" s="35"/>
      <c r="C11" s="35"/>
      <c r="D11" s="35"/>
      <c r="E11" s="35">
        <f>E10/E9</f>
        <v>5.7692307692307696E-2</v>
      </c>
      <c r="F11" s="35"/>
      <c r="G11" s="35"/>
      <c r="H11" s="35"/>
      <c r="I11" s="35">
        <f>I10/I9</f>
        <v>1.020408163265306E-2</v>
      </c>
      <c r="J11" s="27"/>
      <c r="K11" s="27"/>
      <c r="L11" s="27"/>
      <c r="M11" s="27"/>
      <c r="N11" s="25"/>
      <c r="O11" s="25"/>
      <c r="P11" s="25"/>
    </row>
    <row r="12" spans="1:16" ht="23" customHeight="1" x14ac:dyDescent="0.15">
      <c r="A12" s="36"/>
      <c r="B12" s="37"/>
      <c r="C12" s="37"/>
      <c r="D12" s="37"/>
      <c r="E12" s="37"/>
      <c r="F12" s="37"/>
      <c r="G12" s="37"/>
      <c r="H12" s="37"/>
      <c r="I12" s="37"/>
      <c r="J12" s="25"/>
      <c r="K12" s="25"/>
      <c r="L12" s="25"/>
      <c r="M12" s="25"/>
      <c r="N12" s="25"/>
      <c r="O12" s="25"/>
      <c r="P12" s="25"/>
    </row>
    <row r="13" spans="1:16" ht="21" customHeight="1" x14ac:dyDescent="0.15">
      <c r="A13" s="29" t="s">
        <v>18</v>
      </c>
      <c r="B13" s="37"/>
      <c r="C13" s="37"/>
      <c r="D13" s="37"/>
      <c r="E13" s="37"/>
      <c r="F13" s="37"/>
      <c r="G13" s="37"/>
      <c r="H13" s="37"/>
      <c r="I13" s="37"/>
      <c r="J13" s="25"/>
      <c r="K13" s="25"/>
      <c r="L13" s="25"/>
      <c r="M13" s="25"/>
      <c r="N13" s="25"/>
      <c r="O13" s="25"/>
      <c r="P13" s="25"/>
    </row>
    <row r="14" spans="1:16" ht="21" customHeight="1" x14ac:dyDescent="0.15">
      <c r="A14" s="32"/>
      <c r="B14" s="24">
        <v>1999</v>
      </c>
      <c r="C14" s="24">
        <v>2000</v>
      </c>
      <c r="D14" s="24">
        <v>2001</v>
      </c>
      <c r="E14" s="24">
        <v>2002</v>
      </c>
      <c r="F14" s="24">
        <v>2003</v>
      </c>
      <c r="G14" s="24">
        <v>2004</v>
      </c>
      <c r="H14" s="24">
        <v>2005</v>
      </c>
      <c r="I14" s="24">
        <v>2006</v>
      </c>
      <c r="J14" s="24">
        <v>2007</v>
      </c>
      <c r="K14" s="24">
        <v>2008</v>
      </c>
      <c r="L14" s="24">
        <v>2009</v>
      </c>
      <c r="M14" s="24">
        <v>2010</v>
      </c>
      <c r="N14" s="25"/>
      <c r="O14" s="25"/>
      <c r="P14" s="25"/>
    </row>
    <row r="15" spans="1:16" ht="21" customHeight="1" x14ac:dyDescent="0.15">
      <c r="A15" s="38" t="s">
        <v>13</v>
      </c>
      <c r="B15" s="34">
        <v>1</v>
      </c>
      <c r="C15" s="34">
        <v>0</v>
      </c>
      <c r="D15" s="34">
        <v>2</v>
      </c>
      <c r="E15" s="34">
        <v>19</v>
      </c>
      <c r="F15" s="34">
        <v>4</v>
      </c>
      <c r="G15" s="34">
        <v>9</v>
      </c>
      <c r="H15" s="34">
        <v>4</v>
      </c>
      <c r="I15" s="34">
        <v>11</v>
      </c>
      <c r="J15" s="34">
        <v>12</v>
      </c>
      <c r="K15" s="34">
        <v>7</v>
      </c>
      <c r="L15" s="34">
        <v>1</v>
      </c>
      <c r="M15" s="34">
        <v>4</v>
      </c>
      <c r="N15" s="25"/>
      <c r="O15" s="25"/>
      <c r="P15" s="25"/>
    </row>
    <row r="16" spans="1:16" ht="21" customHeight="1" x14ac:dyDescent="0.15">
      <c r="A16" s="38" t="s">
        <v>15</v>
      </c>
      <c r="B16" s="34">
        <v>1</v>
      </c>
      <c r="C16" s="34">
        <v>0</v>
      </c>
      <c r="D16" s="34">
        <v>0</v>
      </c>
      <c r="E16" s="34">
        <v>0</v>
      </c>
      <c r="F16" s="34">
        <v>1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25"/>
      <c r="O16" s="25"/>
      <c r="P16" s="25"/>
    </row>
    <row r="17" spans="1:16" ht="23" customHeight="1" x14ac:dyDescent="0.15">
      <c r="A17" s="33" t="s">
        <v>5</v>
      </c>
      <c r="B17" s="35">
        <f>B16/B15</f>
        <v>1</v>
      </c>
      <c r="C17" s="35"/>
      <c r="D17" s="35"/>
      <c r="E17" s="35"/>
      <c r="F17" s="35">
        <f>F16/F15</f>
        <v>0.25</v>
      </c>
      <c r="G17" s="35"/>
      <c r="H17" s="35"/>
      <c r="I17" s="35"/>
      <c r="J17" s="27"/>
      <c r="K17" s="27"/>
      <c r="L17" s="27"/>
      <c r="M17" s="27"/>
      <c r="N17" s="25"/>
      <c r="O17" s="25"/>
      <c r="P17" s="25"/>
    </row>
    <row r="18" spans="1:16" ht="23" customHeight="1" x14ac:dyDescent="0.15">
      <c r="A18" s="36"/>
      <c r="B18" s="37"/>
      <c r="C18" s="37"/>
      <c r="D18" s="37"/>
      <c r="E18" s="37"/>
      <c r="F18" s="37"/>
      <c r="G18" s="37"/>
      <c r="H18" s="37"/>
      <c r="I18" s="37"/>
      <c r="J18" s="25"/>
      <c r="K18" s="25"/>
      <c r="L18" s="25"/>
      <c r="M18" s="25"/>
      <c r="N18" s="25"/>
      <c r="O18" s="25"/>
      <c r="P18" s="25"/>
    </row>
    <row r="19" spans="1:16" ht="21" customHeight="1" x14ac:dyDescent="0.15">
      <c r="A19" s="29" t="s">
        <v>19</v>
      </c>
      <c r="B19" s="37"/>
      <c r="C19" s="37"/>
      <c r="D19" s="37"/>
      <c r="E19" s="37"/>
      <c r="F19" s="37"/>
      <c r="G19" s="37"/>
      <c r="H19" s="37"/>
      <c r="I19" s="37"/>
      <c r="J19" s="25"/>
      <c r="K19" s="25"/>
      <c r="L19" s="25"/>
      <c r="M19" s="25"/>
      <c r="N19" s="25"/>
      <c r="O19" s="25"/>
      <c r="P19" s="25"/>
    </row>
    <row r="20" spans="1:16" ht="21" customHeight="1" x14ac:dyDescent="0.15">
      <c r="A20" s="32"/>
      <c r="B20" s="24">
        <v>1999</v>
      </c>
      <c r="C20" s="24">
        <v>2000</v>
      </c>
      <c r="D20" s="24">
        <v>2001</v>
      </c>
      <c r="E20" s="24">
        <v>2002</v>
      </c>
      <c r="F20" s="24">
        <v>2003</v>
      </c>
      <c r="G20" s="24">
        <v>2004</v>
      </c>
      <c r="H20" s="24">
        <v>2005</v>
      </c>
      <c r="I20" s="24">
        <v>2006</v>
      </c>
      <c r="J20" s="24">
        <v>2007</v>
      </c>
      <c r="K20" s="24">
        <v>2008</v>
      </c>
      <c r="L20" s="24">
        <v>2009</v>
      </c>
      <c r="M20" s="24">
        <v>2010</v>
      </c>
      <c r="N20" s="25"/>
      <c r="O20" s="25"/>
      <c r="P20" s="25"/>
    </row>
    <row r="21" spans="1:16" ht="21" customHeight="1" x14ac:dyDescent="0.15">
      <c r="A21" s="38" t="s">
        <v>13</v>
      </c>
      <c r="B21" s="34">
        <v>8</v>
      </c>
      <c r="C21" s="34">
        <v>4</v>
      </c>
      <c r="D21" s="34">
        <v>16</v>
      </c>
      <c r="E21" s="34">
        <v>15</v>
      </c>
      <c r="F21" s="34">
        <v>18</v>
      </c>
      <c r="G21" s="34">
        <v>39</v>
      </c>
      <c r="H21" s="34">
        <v>33</v>
      </c>
      <c r="I21" s="34">
        <v>38</v>
      </c>
      <c r="J21" s="34">
        <v>62</v>
      </c>
      <c r="K21" s="34">
        <v>18</v>
      </c>
      <c r="L21" s="34">
        <v>4</v>
      </c>
      <c r="M21" s="34">
        <v>2</v>
      </c>
      <c r="N21" s="25"/>
      <c r="O21" s="25"/>
      <c r="P21" s="25"/>
    </row>
    <row r="22" spans="1:16" ht="21" customHeight="1" x14ac:dyDescent="0.15">
      <c r="A22" s="38" t="s">
        <v>15</v>
      </c>
      <c r="B22" s="34">
        <v>0</v>
      </c>
      <c r="C22" s="34">
        <v>0</v>
      </c>
      <c r="D22" s="34">
        <v>0</v>
      </c>
      <c r="E22" s="34">
        <v>0</v>
      </c>
      <c r="F22" s="34">
        <v>1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25"/>
      <c r="O22" s="25"/>
      <c r="P22" s="25"/>
    </row>
    <row r="23" spans="1:16" ht="23" customHeight="1" x14ac:dyDescent="0.15">
      <c r="A23" s="33" t="s">
        <v>5</v>
      </c>
      <c r="B23" s="35"/>
      <c r="C23" s="35"/>
      <c r="D23" s="35"/>
      <c r="E23" s="35"/>
      <c r="F23" s="35">
        <f>F22/F21</f>
        <v>5.5555555555555552E-2</v>
      </c>
      <c r="G23" s="35"/>
      <c r="H23" s="35"/>
      <c r="I23" s="35"/>
      <c r="J23" s="27"/>
      <c r="K23" s="27"/>
      <c r="L23" s="27"/>
      <c r="M23" s="27"/>
      <c r="N23" s="25"/>
      <c r="O23" s="25"/>
      <c r="P23" s="25"/>
    </row>
    <row r="24" spans="1:16" ht="23" customHeight="1" x14ac:dyDescent="0.15">
      <c r="A24" s="36"/>
      <c r="B24" s="37"/>
      <c r="C24" s="37"/>
      <c r="D24" s="37"/>
      <c r="E24" s="37"/>
      <c r="F24" s="37"/>
      <c r="G24" s="37"/>
      <c r="H24" s="37"/>
      <c r="I24" s="37"/>
      <c r="J24" s="25"/>
      <c r="K24" s="25"/>
      <c r="L24" s="25"/>
      <c r="M24" s="25"/>
      <c r="N24" s="25"/>
      <c r="O24" s="25"/>
      <c r="P24" s="25"/>
    </row>
    <row r="25" spans="1:16" ht="21" customHeight="1" x14ac:dyDescent="0.15">
      <c r="A25" s="29" t="s">
        <v>20</v>
      </c>
      <c r="B25" s="37"/>
      <c r="C25" s="37"/>
      <c r="D25" s="37"/>
      <c r="E25" s="37"/>
      <c r="F25" s="37"/>
      <c r="G25" s="37"/>
      <c r="H25" s="37"/>
      <c r="I25" s="37"/>
      <c r="J25" s="25"/>
      <c r="K25" s="25"/>
      <c r="L25" s="25"/>
      <c r="M25" s="25"/>
      <c r="N25" s="25"/>
      <c r="O25" s="25"/>
      <c r="P25" s="25"/>
    </row>
    <row r="26" spans="1:16" ht="21" customHeight="1" x14ac:dyDescent="0.15">
      <c r="A26" s="32"/>
      <c r="B26" s="24">
        <v>1999</v>
      </c>
      <c r="C26" s="24">
        <v>2000</v>
      </c>
      <c r="D26" s="24">
        <v>2001</v>
      </c>
      <c r="E26" s="24">
        <v>2002</v>
      </c>
      <c r="F26" s="24">
        <v>2003</v>
      </c>
      <c r="G26" s="24">
        <v>2004</v>
      </c>
      <c r="H26" s="24">
        <v>2005</v>
      </c>
      <c r="I26" s="24">
        <v>2006</v>
      </c>
      <c r="J26" s="24">
        <v>2007</v>
      </c>
      <c r="K26" s="24">
        <v>2008</v>
      </c>
      <c r="L26" s="24">
        <v>2009</v>
      </c>
      <c r="M26" s="24">
        <v>2010</v>
      </c>
      <c r="N26" s="25"/>
      <c r="O26" s="25"/>
      <c r="P26" s="25"/>
    </row>
    <row r="27" spans="1:16" ht="21" customHeight="1" x14ac:dyDescent="0.15">
      <c r="A27" s="38" t="s">
        <v>13</v>
      </c>
      <c r="B27" s="34">
        <v>0</v>
      </c>
      <c r="C27" s="34">
        <v>1</v>
      </c>
      <c r="D27" s="34">
        <v>1</v>
      </c>
      <c r="E27" s="34">
        <v>0</v>
      </c>
      <c r="F27" s="34">
        <v>0</v>
      </c>
      <c r="G27" s="34">
        <v>0</v>
      </c>
      <c r="H27" s="34">
        <v>0</v>
      </c>
      <c r="I27" s="34">
        <v>1</v>
      </c>
      <c r="J27" s="34">
        <v>1</v>
      </c>
      <c r="K27" s="34">
        <v>0</v>
      </c>
      <c r="L27" s="34">
        <v>0</v>
      </c>
      <c r="M27" s="34">
        <v>0</v>
      </c>
      <c r="N27" s="25"/>
      <c r="O27" s="25"/>
      <c r="P27" s="25"/>
    </row>
    <row r="28" spans="1:16" ht="21" customHeight="1" x14ac:dyDescent="0.15">
      <c r="A28" s="38" t="s">
        <v>15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25"/>
      <c r="O28" s="25"/>
      <c r="P28" s="25"/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10"/>
  <sheetViews>
    <sheetView showGridLines="0" workbookViewId="0"/>
  </sheetViews>
  <sheetFormatPr baseColWidth="10" defaultColWidth="19.6640625" defaultRowHeight="18" customHeight="1" x14ac:dyDescent="0.15"/>
  <cols>
    <col min="1" max="9" width="19.6640625" style="39" customWidth="1"/>
    <col min="10" max="256" width="19.6640625" customWidth="1"/>
  </cols>
  <sheetData>
    <row r="1" spans="1:9" ht="23" customHeight="1" x14ac:dyDescent="0.15">
      <c r="A1" s="20" t="s">
        <v>11</v>
      </c>
      <c r="B1" s="21"/>
      <c r="C1" s="21"/>
      <c r="D1" s="21"/>
      <c r="E1" s="21"/>
      <c r="F1" s="21"/>
      <c r="G1" s="21"/>
      <c r="H1" s="22" t="s">
        <v>2</v>
      </c>
      <c r="I1" s="21"/>
    </row>
    <row r="2" spans="1:9" ht="21" customHeight="1" x14ac:dyDescent="0.15">
      <c r="A2" s="23"/>
      <c r="B2" s="24">
        <v>2012</v>
      </c>
      <c r="C2" s="24">
        <v>2013</v>
      </c>
      <c r="D2" s="24">
        <v>2014</v>
      </c>
      <c r="E2" s="24">
        <v>2015</v>
      </c>
      <c r="F2" s="24">
        <v>2016</v>
      </c>
      <c r="G2" s="25"/>
      <c r="H2" s="26" t="s">
        <v>5</v>
      </c>
      <c r="I2" s="27">
        <f>I4/I3</f>
        <v>0.17124735729386892</v>
      </c>
    </row>
    <row r="3" spans="1:9" ht="21" customHeight="1" x14ac:dyDescent="0.15">
      <c r="A3" s="28" t="s">
        <v>13</v>
      </c>
      <c r="B3" s="24">
        <v>48</v>
      </c>
      <c r="C3" s="24">
        <v>112</v>
      </c>
      <c r="D3" s="24">
        <v>105</v>
      </c>
      <c r="E3" s="24">
        <v>122</v>
      </c>
      <c r="F3" s="24">
        <v>86</v>
      </c>
      <c r="G3" s="25"/>
      <c r="H3" s="26" t="s">
        <v>14</v>
      </c>
      <c r="I3" s="24">
        <f>SUM(B3:F3)</f>
        <v>473</v>
      </c>
    </row>
    <row r="4" spans="1:9" ht="21" customHeight="1" x14ac:dyDescent="0.15">
      <c r="A4" s="28" t="s">
        <v>15</v>
      </c>
      <c r="B4" s="24">
        <v>7</v>
      </c>
      <c r="C4" s="24">
        <v>16</v>
      </c>
      <c r="D4" s="24">
        <v>20</v>
      </c>
      <c r="E4" s="24">
        <v>23</v>
      </c>
      <c r="F4" s="24">
        <v>15</v>
      </c>
      <c r="G4" s="25"/>
      <c r="H4" s="26" t="s">
        <v>16</v>
      </c>
      <c r="I4" s="24">
        <f>SUM(B4:F4)</f>
        <v>81</v>
      </c>
    </row>
    <row r="5" spans="1:9" ht="23" customHeight="1" x14ac:dyDescent="0.15">
      <c r="A5" s="40" t="s">
        <v>5</v>
      </c>
      <c r="B5" s="41">
        <f>B4/B3</f>
        <v>0.14583333333333334</v>
      </c>
      <c r="C5" s="41">
        <f>C4/C3</f>
        <v>0.14285714285714285</v>
      </c>
      <c r="D5" s="41">
        <f>D4/D3</f>
        <v>0.19047619047619047</v>
      </c>
      <c r="E5" s="41">
        <f>E4/E3</f>
        <v>0.18852459016393441</v>
      </c>
      <c r="F5" s="41">
        <f>F4/F3</f>
        <v>0.1744186046511628</v>
      </c>
      <c r="G5" s="25"/>
      <c r="H5" s="25"/>
      <c r="I5" s="25"/>
    </row>
    <row r="6" spans="1:9" ht="23" customHeight="1" x14ac:dyDescent="0.15">
      <c r="A6" s="40"/>
      <c r="B6" s="41"/>
      <c r="C6" s="41"/>
      <c r="D6" s="41"/>
      <c r="E6" s="41"/>
      <c r="F6" s="41"/>
      <c r="G6" s="25"/>
      <c r="H6" s="26" t="s">
        <v>21</v>
      </c>
      <c r="I6" s="24">
        <v>59</v>
      </c>
    </row>
    <row r="7" spans="1:9" ht="23" customHeight="1" x14ac:dyDescent="0.15">
      <c r="A7" s="40"/>
      <c r="B7" s="41"/>
      <c r="C7" s="41"/>
      <c r="D7" s="41"/>
      <c r="E7" s="41"/>
      <c r="F7" s="41"/>
      <c r="G7" s="25"/>
      <c r="H7" s="26" t="s">
        <v>22</v>
      </c>
      <c r="I7" s="24">
        <v>22</v>
      </c>
    </row>
    <row r="8" spans="1:9" ht="15" customHeight="1" x14ac:dyDescent="0.15">
      <c r="A8" s="42"/>
      <c r="B8" s="43"/>
      <c r="C8" s="43"/>
      <c r="D8" s="43"/>
      <c r="E8" s="43"/>
      <c r="F8" s="43"/>
      <c r="G8" s="43"/>
      <c r="H8" s="43"/>
      <c r="I8" s="44"/>
    </row>
    <row r="9" spans="1:9" ht="15" customHeight="1" x14ac:dyDescent="0.15">
      <c r="A9" s="45"/>
      <c r="B9" s="46"/>
      <c r="C9" s="46"/>
      <c r="D9" s="46"/>
      <c r="E9" s="46"/>
      <c r="F9" s="46"/>
      <c r="G9" s="46"/>
      <c r="H9" s="46"/>
      <c r="I9" s="47"/>
    </row>
    <row r="10" spans="1:9" ht="15" customHeight="1" x14ac:dyDescent="0.15">
      <c r="A10" s="48"/>
      <c r="B10" s="49"/>
      <c r="C10" s="49"/>
      <c r="D10" s="49"/>
      <c r="E10" s="49"/>
      <c r="F10" s="49"/>
      <c r="G10" s="49"/>
      <c r="H10" s="49"/>
      <c r="I10" s="50"/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10"/>
  <sheetViews>
    <sheetView showGridLines="0" workbookViewId="0"/>
  </sheetViews>
  <sheetFormatPr baseColWidth="10" defaultColWidth="19.6640625" defaultRowHeight="18" customHeight="1" x14ac:dyDescent="0.15"/>
  <cols>
    <col min="1" max="9" width="19.6640625" style="51" customWidth="1"/>
    <col min="10" max="256" width="19.6640625" customWidth="1"/>
  </cols>
  <sheetData>
    <row r="1" spans="1:9" ht="23" customHeight="1" x14ac:dyDescent="0.15">
      <c r="A1" s="20" t="s">
        <v>11</v>
      </c>
      <c r="B1" s="21"/>
      <c r="C1" s="21"/>
      <c r="D1" s="21"/>
      <c r="E1" s="21"/>
      <c r="F1" s="21"/>
      <c r="G1" s="21"/>
      <c r="H1" s="22" t="s">
        <v>2</v>
      </c>
      <c r="I1" s="21"/>
    </row>
    <row r="2" spans="1:9" ht="21" customHeight="1" x14ac:dyDescent="0.15">
      <c r="A2" s="23"/>
      <c r="B2" s="24">
        <v>2012</v>
      </c>
      <c r="C2" s="24">
        <v>2013</v>
      </c>
      <c r="D2" s="24">
        <v>2014</v>
      </c>
      <c r="E2" s="24">
        <v>2015</v>
      </c>
      <c r="F2" s="24">
        <v>2016</v>
      </c>
      <c r="G2" s="25"/>
      <c r="H2" s="26" t="s">
        <v>5</v>
      </c>
      <c r="I2" s="27">
        <f>I4/I3</f>
        <v>0.1491691842900302</v>
      </c>
    </row>
    <row r="3" spans="1:9" ht="21" customHeight="1" x14ac:dyDescent="0.15">
      <c r="A3" s="28" t="s">
        <v>13</v>
      </c>
      <c r="B3" s="24">
        <v>569</v>
      </c>
      <c r="C3" s="24">
        <v>474</v>
      </c>
      <c r="D3" s="24">
        <v>600</v>
      </c>
      <c r="E3" s="24">
        <v>534</v>
      </c>
      <c r="F3" s="24">
        <v>471</v>
      </c>
      <c r="G3" s="25"/>
      <c r="H3" s="26" t="s">
        <v>14</v>
      </c>
      <c r="I3" s="24">
        <f>SUM(B3:F3)</f>
        <v>2648</v>
      </c>
    </row>
    <row r="4" spans="1:9" ht="21" customHeight="1" x14ac:dyDescent="0.15">
      <c r="A4" s="28" t="s">
        <v>15</v>
      </c>
      <c r="B4" s="24">
        <v>61</v>
      </c>
      <c r="C4" s="24">
        <v>51</v>
      </c>
      <c r="D4" s="24">
        <v>99</v>
      </c>
      <c r="E4" s="24">
        <v>94</v>
      </c>
      <c r="F4" s="24">
        <v>90</v>
      </c>
      <c r="G4" s="25"/>
      <c r="H4" s="26" t="s">
        <v>16</v>
      </c>
      <c r="I4" s="24">
        <f>SUM(B4:F4)</f>
        <v>395</v>
      </c>
    </row>
    <row r="5" spans="1:9" ht="23" customHeight="1" x14ac:dyDescent="0.15">
      <c r="A5" s="40" t="s">
        <v>5</v>
      </c>
      <c r="B5" s="41">
        <f>B4/B3</f>
        <v>0.10720562390158173</v>
      </c>
      <c r="C5" s="41">
        <f>C4/C3</f>
        <v>0.10759493670886076</v>
      </c>
      <c r="D5" s="41">
        <f>D4/D3</f>
        <v>0.16500000000000001</v>
      </c>
      <c r="E5" s="41">
        <f>E4/E3</f>
        <v>0.17602996254681649</v>
      </c>
      <c r="F5" s="41">
        <f>F4/F3</f>
        <v>0.19108280254777071</v>
      </c>
      <c r="G5" s="52"/>
      <c r="H5" s="52"/>
      <c r="I5" s="52"/>
    </row>
    <row r="6" spans="1:9" ht="23" customHeight="1" x14ac:dyDescent="0.15">
      <c r="A6" s="40"/>
      <c r="B6" s="41"/>
      <c r="C6" s="41"/>
      <c r="D6" s="41"/>
      <c r="E6" s="41"/>
      <c r="F6" s="41"/>
      <c r="G6" s="41"/>
      <c r="H6" s="41"/>
      <c r="I6" s="41"/>
    </row>
    <row r="7" spans="1:9" ht="23" customHeight="1" x14ac:dyDescent="0.15">
      <c r="A7" s="40"/>
      <c r="B7" s="41"/>
      <c r="C7" s="41"/>
      <c r="D7" s="41"/>
      <c r="E7" s="25"/>
      <c r="F7" s="25"/>
      <c r="G7" s="25"/>
      <c r="H7" s="26" t="s">
        <v>21</v>
      </c>
      <c r="I7" s="24">
        <v>325</v>
      </c>
    </row>
    <row r="8" spans="1:9" ht="23" customHeight="1" x14ac:dyDescent="0.15">
      <c r="A8" s="40"/>
      <c r="B8" s="41"/>
      <c r="C8" s="41"/>
      <c r="D8" s="41"/>
      <c r="E8" s="25"/>
      <c r="F8" s="25"/>
      <c r="G8" s="25"/>
      <c r="H8" s="26" t="s">
        <v>22</v>
      </c>
      <c r="I8" s="24">
        <v>70</v>
      </c>
    </row>
    <row r="9" spans="1:9" ht="15" customHeight="1" x14ac:dyDescent="0.15">
      <c r="A9" s="42"/>
      <c r="B9" s="43"/>
      <c r="C9" s="43"/>
      <c r="D9" s="43"/>
      <c r="E9" s="43"/>
      <c r="F9" s="43"/>
      <c r="G9" s="43"/>
      <c r="H9" s="43"/>
      <c r="I9" s="44"/>
    </row>
    <row r="10" spans="1:9" ht="15" customHeight="1" x14ac:dyDescent="0.15">
      <c r="A10" s="48"/>
      <c r="B10" s="49"/>
      <c r="C10" s="49"/>
      <c r="D10" s="49"/>
      <c r="E10" s="49"/>
      <c r="F10" s="49"/>
      <c r="G10" s="49"/>
      <c r="H10" s="49"/>
      <c r="I10" s="50"/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F10"/>
  <sheetViews>
    <sheetView showGridLines="0" workbookViewId="0"/>
  </sheetViews>
  <sheetFormatPr baseColWidth="10" defaultColWidth="19.6640625" defaultRowHeight="18" customHeight="1" x14ac:dyDescent="0.15"/>
  <cols>
    <col min="1" max="6" width="19.6640625" style="53" customWidth="1"/>
    <col min="7" max="256" width="19.6640625" customWidth="1"/>
  </cols>
  <sheetData>
    <row r="1" spans="1:6" ht="23" customHeight="1" x14ac:dyDescent="0.15">
      <c r="A1" s="54" t="s">
        <v>11</v>
      </c>
      <c r="B1" s="21"/>
      <c r="C1" s="21"/>
      <c r="D1" s="55"/>
      <c r="E1" s="22" t="s">
        <v>2</v>
      </c>
      <c r="F1" s="21"/>
    </row>
    <row r="2" spans="1:6" ht="23" customHeight="1" x14ac:dyDescent="0.15">
      <c r="A2" s="23"/>
      <c r="B2" s="56" t="s">
        <v>8</v>
      </c>
      <c r="C2" s="56" t="s">
        <v>9</v>
      </c>
      <c r="D2" s="57"/>
      <c r="E2" s="26" t="s">
        <v>5</v>
      </c>
      <c r="F2" s="27">
        <f>F4/F3</f>
        <v>0.21875</v>
      </c>
    </row>
    <row r="3" spans="1:6" ht="21" customHeight="1" x14ac:dyDescent="0.15">
      <c r="A3" s="28" t="s">
        <v>13</v>
      </c>
      <c r="B3" s="24">
        <v>65</v>
      </c>
      <c r="C3" s="24">
        <v>287</v>
      </c>
      <c r="D3" s="58"/>
      <c r="E3" s="26" t="s">
        <v>14</v>
      </c>
      <c r="F3" s="24">
        <f>SUM(B3,C3)</f>
        <v>352</v>
      </c>
    </row>
    <row r="4" spans="1:6" ht="21" customHeight="1" x14ac:dyDescent="0.15">
      <c r="A4" s="28" t="s">
        <v>15</v>
      </c>
      <c r="B4" s="24">
        <v>10</v>
      </c>
      <c r="C4" s="24">
        <v>67</v>
      </c>
      <c r="D4" s="58"/>
      <c r="E4" s="26" t="s">
        <v>16</v>
      </c>
      <c r="F4" s="24">
        <f>SUM(B4,C4)</f>
        <v>77</v>
      </c>
    </row>
    <row r="5" spans="1:6" ht="23" customHeight="1" x14ac:dyDescent="0.15">
      <c r="A5" s="40" t="s">
        <v>5</v>
      </c>
      <c r="B5" s="41">
        <f>B4/B3</f>
        <v>0.15384615384615385</v>
      </c>
      <c r="C5" s="41">
        <f>C4/C3</f>
        <v>0.23344947735191637</v>
      </c>
      <c r="D5" s="59"/>
      <c r="E5" s="60"/>
      <c r="F5" s="60"/>
    </row>
    <row r="6" spans="1:6" ht="23" customHeight="1" x14ac:dyDescent="0.15">
      <c r="A6" s="40"/>
      <c r="B6" s="41"/>
      <c r="C6" s="41"/>
      <c r="D6" s="58"/>
      <c r="E6" s="26" t="s">
        <v>21</v>
      </c>
      <c r="F6" s="24">
        <f>49</f>
        <v>49</v>
      </c>
    </row>
    <row r="7" spans="1:6" ht="23" customHeight="1" x14ac:dyDescent="0.15">
      <c r="A7" s="40"/>
      <c r="B7" s="41"/>
      <c r="C7" s="41"/>
      <c r="D7" s="58"/>
      <c r="E7" s="26" t="s">
        <v>22</v>
      </c>
      <c r="F7" s="24">
        <f>28</f>
        <v>28</v>
      </c>
    </row>
    <row r="8" spans="1:6" ht="15" customHeight="1" x14ac:dyDescent="0.15">
      <c r="A8" s="42"/>
      <c r="B8" s="43"/>
      <c r="C8" s="43"/>
      <c r="D8" s="61"/>
      <c r="E8" s="43"/>
      <c r="F8" s="44"/>
    </row>
    <row r="9" spans="1:6" ht="15" customHeight="1" x14ac:dyDescent="0.15">
      <c r="A9" s="45"/>
      <c r="B9" s="46"/>
      <c r="C9" s="46"/>
      <c r="D9" s="46"/>
      <c r="E9" s="46"/>
      <c r="F9" s="47"/>
    </row>
    <row r="10" spans="1:6" ht="15" customHeight="1" x14ac:dyDescent="0.15">
      <c r="A10" s="48"/>
      <c r="B10" s="49"/>
      <c r="C10" s="49"/>
      <c r="D10" s="49"/>
      <c r="E10" s="49"/>
      <c r="F10" s="50"/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11"/>
  <sheetViews>
    <sheetView showGridLines="0" workbookViewId="0"/>
  </sheetViews>
  <sheetFormatPr baseColWidth="10" defaultColWidth="19.6640625" defaultRowHeight="18" customHeight="1" x14ac:dyDescent="0.15"/>
  <cols>
    <col min="1" max="5" width="19.6640625" style="62" customWidth="1"/>
    <col min="6" max="256" width="19.6640625" customWidth="1"/>
  </cols>
  <sheetData>
    <row r="1" spans="1:5" ht="20.5" customHeight="1" x14ac:dyDescent="0.15">
      <c r="A1" s="63" t="s">
        <v>23</v>
      </c>
      <c r="B1" s="63" t="s">
        <v>24</v>
      </c>
      <c r="C1" s="64"/>
      <c r="D1" s="43"/>
      <c r="E1" s="44"/>
    </row>
    <row r="2" spans="1:5" ht="20.5" customHeight="1" x14ac:dyDescent="0.15">
      <c r="A2" s="65">
        <v>0</v>
      </c>
      <c r="B2" s="66">
        <v>22</v>
      </c>
      <c r="C2" s="67"/>
      <c r="D2" s="46"/>
      <c r="E2" s="47"/>
    </row>
    <row r="3" spans="1:5" ht="20.25" customHeight="1" x14ac:dyDescent="0.15">
      <c r="A3" s="68">
        <v>1</v>
      </c>
      <c r="B3" s="69">
        <v>32</v>
      </c>
      <c r="C3" s="67"/>
      <c r="D3" s="46"/>
      <c r="E3" s="47"/>
    </row>
    <row r="4" spans="1:5" ht="20.25" customHeight="1" x14ac:dyDescent="0.15">
      <c r="A4" s="68">
        <v>2</v>
      </c>
      <c r="B4" s="69">
        <v>26</v>
      </c>
      <c r="C4" s="67"/>
      <c r="D4" s="46"/>
      <c r="E4" s="47"/>
    </row>
    <row r="5" spans="1:5" ht="20.25" customHeight="1" x14ac:dyDescent="0.15">
      <c r="A5" s="68">
        <v>3</v>
      </c>
      <c r="B5" s="69">
        <v>14</v>
      </c>
      <c r="C5" s="67"/>
      <c r="D5" s="46"/>
      <c r="E5" s="47"/>
    </row>
    <row r="6" spans="1:5" ht="20.25" customHeight="1" x14ac:dyDescent="0.15">
      <c r="A6" s="68">
        <v>4</v>
      </c>
      <c r="B6" s="69">
        <v>4</v>
      </c>
      <c r="C6" s="67"/>
      <c r="D6" s="46"/>
      <c r="E6" s="47"/>
    </row>
    <row r="7" spans="1:5" ht="20.25" customHeight="1" x14ac:dyDescent="0.15">
      <c r="A7" s="68">
        <v>5</v>
      </c>
      <c r="B7" s="69">
        <v>5</v>
      </c>
      <c r="C7" s="67"/>
      <c r="D7" s="46"/>
      <c r="E7" s="47"/>
    </row>
    <row r="8" spans="1:5" ht="20.25" customHeight="1" x14ac:dyDescent="0.15">
      <c r="A8" s="68">
        <v>6</v>
      </c>
      <c r="B8" s="69">
        <v>8</v>
      </c>
      <c r="C8" s="67"/>
      <c r="D8" s="46"/>
      <c r="E8" s="47"/>
    </row>
    <row r="9" spans="1:5" ht="20.25" customHeight="1" x14ac:dyDescent="0.15">
      <c r="A9" s="68">
        <v>7</v>
      </c>
      <c r="B9" s="69">
        <v>0</v>
      </c>
      <c r="C9" s="67"/>
      <c r="D9" s="46"/>
      <c r="E9" s="47"/>
    </row>
    <row r="10" spans="1:5" ht="20.25" customHeight="1" x14ac:dyDescent="0.15">
      <c r="A10" s="68">
        <v>8</v>
      </c>
      <c r="B10" s="69">
        <v>1</v>
      </c>
      <c r="C10" s="67"/>
      <c r="D10" s="46"/>
      <c r="E10" s="47"/>
    </row>
    <row r="11" spans="1:5" ht="20.25" customHeight="1" x14ac:dyDescent="0.15">
      <c r="A11" s="70" t="s">
        <v>25</v>
      </c>
      <c r="B11" s="69">
        <v>0</v>
      </c>
      <c r="C11" s="71"/>
      <c r="D11" s="49"/>
      <c r="E11" s="50"/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"/>
  <sheetViews>
    <sheetView showGridLines="0" workbookViewId="0"/>
  </sheetViews>
  <sheetFormatPr baseColWidth="10" defaultColWidth="19.6640625" defaultRowHeight="18" customHeight="1" x14ac:dyDescent="0.15"/>
  <cols>
    <col min="1" max="13" width="19.6640625" style="72" customWidth="1"/>
    <col min="14" max="256" width="19.6640625" customWidth="1"/>
  </cols>
  <sheetData>
    <row r="1" spans="1:13" ht="32.5" customHeight="1" x14ac:dyDescent="0.15">
      <c r="A1" s="63" t="s">
        <v>26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3" ht="20.5" customHeight="1" x14ac:dyDescent="0.15">
      <c r="A2" s="74" t="s">
        <v>27</v>
      </c>
      <c r="B2" s="66">
        <v>0</v>
      </c>
      <c r="C2" s="75">
        <v>7</v>
      </c>
      <c r="D2" s="75">
        <v>14</v>
      </c>
      <c r="E2" s="75">
        <v>21</v>
      </c>
      <c r="F2" s="76" t="s">
        <v>28</v>
      </c>
      <c r="G2" s="76" t="s">
        <v>29</v>
      </c>
      <c r="H2" s="76" t="s">
        <v>30</v>
      </c>
      <c r="I2" s="76" t="s">
        <v>31</v>
      </c>
      <c r="J2" s="76" t="s">
        <v>32</v>
      </c>
      <c r="K2" s="76" t="s">
        <v>33</v>
      </c>
      <c r="L2" s="76" t="s">
        <v>34</v>
      </c>
      <c r="M2" s="76" t="s">
        <v>35</v>
      </c>
    </row>
    <row r="3" spans="1:13" ht="20.25" customHeight="1" x14ac:dyDescent="0.15">
      <c r="A3" s="70" t="s">
        <v>36</v>
      </c>
      <c r="B3" s="69">
        <v>127</v>
      </c>
      <c r="C3" s="77">
        <v>236</v>
      </c>
      <c r="D3" s="77">
        <v>58</v>
      </c>
      <c r="E3" s="77">
        <v>47</v>
      </c>
      <c r="F3" s="77">
        <v>31</v>
      </c>
      <c r="G3" s="77">
        <v>46</v>
      </c>
      <c r="H3" s="77">
        <v>23</v>
      </c>
      <c r="I3" s="77">
        <v>10</v>
      </c>
      <c r="J3" s="77">
        <v>7</v>
      </c>
      <c r="K3" s="77">
        <v>5</v>
      </c>
      <c r="L3" s="77">
        <v>2</v>
      </c>
      <c r="M3" s="77">
        <v>4</v>
      </c>
    </row>
    <row r="4" spans="1:13" ht="15" customHeight="1" x14ac:dyDescent="0.15">
      <c r="A4" s="78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79"/>
    </row>
    <row r="5" spans="1:13" ht="15" customHeight="1" x14ac:dyDescent="0.15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</row>
    <row r="6" spans="1:13" ht="15" customHeight="1" x14ac:dyDescent="0.15">
      <c r="A6" s="45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7"/>
    </row>
    <row r="7" spans="1:13" ht="15" customHeight="1" x14ac:dyDescent="0.15">
      <c r="A7" s="45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7"/>
    </row>
    <row r="8" spans="1:13" ht="15" customHeight="1" x14ac:dyDescent="0.15">
      <c r="A8" s="45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7"/>
    </row>
    <row r="9" spans="1:13" ht="15" customHeight="1" x14ac:dyDescent="0.15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7"/>
    </row>
    <row r="10" spans="1:13" ht="15" customHeight="1" x14ac:dyDescent="0.15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50"/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"/>
  <sheetViews>
    <sheetView showGridLines="0" workbookViewId="0"/>
  </sheetViews>
  <sheetFormatPr baseColWidth="10" defaultColWidth="19.6640625" defaultRowHeight="18" customHeight="1" x14ac:dyDescent="0.15"/>
  <cols>
    <col min="1" max="13" width="19.6640625" style="80" customWidth="1"/>
    <col min="14" max="256" width="19.6640625" customWidth="1"/>
  </cols>
  <sheetData>
    <row r="1" spans="1:13" ht="44.5" customHeight="1" x14ac:dyDescent="0.15">
      <c r="A1" s="63" t="s">
        <v>37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3" ht="20.5" customHeight="1" x14ac:dyDescent="0.15">
      <c r="A2" s="74" t="s">
        <v>27</v>
      </c>
      <c r="B2" s="66">
        <v>0</v>
      </c>
      <c r="C2" s="75">
        <v>7</v>
      </c>
      <c r="D2" s="75">
        <v>14</v>
      </c>
      <c r="E2" s="75">
        <v>21</v>
      </c>
      <c r="F2" s="76" t="s">
        <v>28</v>
      </c>
      <c r="G2" s="76" t="s">
        <v>29</v>
      </c>
      <c r="H2" s="76" t="s">
        <v>30</v>
      </c>
      <c r="I2" s="76" t="s">
        <v>31</v>
      </c>
      <c r="J2" s="76" t="s">
        <v>32</v>
      </c>
      <c r="K2" s="76" t="s">
        <v>33</v>
      </c>
      <c r="L2" s="76" t="s">
        <v>34</v>
      </c>
      <c r="M2" s="76" t="s">
        <v>38</v>
      </c>
    </row>
    <row r="3" spans="1:13" ht="20.25" customHeight="1" x14ac:dyDescent="0.15">
      <c r="A3" s="70" t="s">
        <v>36</v>
      </c>
      <c r="B3" s="69">
        <v>98</v>
      </c>
      <c r="C3" s="77">
        <v>175</v>
      </c>
      <c r="D3" s="77">
        <v>45</v>
      </c>
      <c r="E3" s="77">
        <v>40</v>
      </c>
      <c r="F3" s="77">
        <v>29</v>
      </c>
      <c r="G3" s="77">
        <v>40</v>
      </c>
      <c r="H3" s="77">
        <v>20</v>
      </c>
      <c r="I3" s="77">
        <v>6</v>
      </c>
      <c r="J3" s="77">
        <v>6</v>
      </c>
      <c r="K3" s="77">
        <v>4</v>
      </c>
      <c r="L3" s="77">
        <v>1</v>
      </c>
      <c r="M3" s="77">
        <v>3</v>
      </c>
    </row>
    <row r="4" spans="1:13" ht="20.25" customHeight="1" x14ac:dyDescent="0.15">
      <c r="A4" s="70" t="s">
        <v>39</v>
      </c>
      <c r="B4" s="69">
        <v>98</v>
      </c>
      <c r="C4" s="77">
        <f t="shared" ref="C4:M4" si="0">SUM(B4,C3)</f>
        <v>273</v>
      </c>
      <c r="D4" s="77">
        <f t="shared" si="0"/>
        <v>318</v>
      </c>
      <c r="E4" s="77">
        <f t="shared" si="0"/>
        <v>358</v>
      </c>
      <c r="F4" s="77">
        <f t="shared" si="0"/>
        <v>387</v>
      </c>
      <c r="G4" s="77">
        <f t="shared" si="0"/>
        <v>427</v>
      </c>
      <c r="H4" s="77">
        <f t="shared" si="0"/>
        <v>447</v>
      </c>
      <c r="I4" s="77">
        <f t="shared" si="0"/>
        <v>453</v>
      </c>
      <c r="J4" s="77">
        <f t="shared" si="0"/>
        <v>459</v>
      </c>
      <c r="K4" s="77">
        <f t="shared" si="0"/>
        <v>463</v>
      </c>
      <c r="L4" s="77">
        <f t="shared" si="0"/>
        <v>464</v>
      </c>
      <c r="M4" s="77">
        <f t="shared" si="0"/>
        <v>467</v>
      </c>
    </row>
    <row r="5" spans="1:13" ht="20.25" customHeight="1" x14ac:dyDescent="0.15">
      <c r="A5" s="81"/>
      <c r="B5" s="69">
        <f>B4/M7</f>
        <v>2.8848984397998233E-2</v>
      </c>
      <c r="C5" s="77">
        <f>C4/M7</f>
        <v>8.0365027965852223E-2</v>
      </c>
      <c r="D5" s="77">
        <f>D4/M7</f>
        <v>9.3612010597586101E-2</v>
      </c>
      <c r="E5" s="77">
        <f>E4/M7</f>
        <v>0.10538710627023845</v>
      </c>
      <c r="F5" s="77">
        <f>F4/M7</f>
        <v>0.11392405063291139</v>
      </c>
      <c r="G5" s="77">
        <f>G4/M7</f>
        <v>0.12569914630556372</v>
      </c>
      <c r="H5" s="77">
        <f>H4/M7</f>
        <v>0.13158669414188989</v>
      </c>
      <c r="I5" s="77">
        <f>I4/M7</f>
        <v>0.13335295849278775</v>
      </c>
      <c r="J5" s="77">
        <f>J4/M7</f>
        <v>0.1351192228436856</v>
      </c>
      <c r="K5" s="77">
        <f>K4/M7</f>
        <v>0.13629673241095083</v>
      </c>
      <c r="L5" s="77">
        <f>L4/M7</f>
        <v>0.13659110980276715</v>
      </c>
      <c r="M5" s="77">
        <f>M4/M7</f>
        <v>0.13747424197821606</v>
      </c>
    </row>
    <row r="6" spans="1:13" ht="20.25" customHeight="1" x14ac:dyDescent="0.15">
      <c r="A6" s="81"/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</row>
    <row r="7" spans="1:13" ht="20.25" customHeight="1" x14ac:dyDescent="0.15">
      <c r="A7" s="81"/>
      <c r="B7" s="82"/>
      <c r="C7" s="83"/>
      <c r="D7" s="83"/>
      <c r="E7" s="83"/>
      <c r="F7" s="83"/>
      <c r="G7" s="83"/>
      <c r="H7" s="83"/>
      <c r="I7" s="83"/>
      <c r="J7" s="83"/>
      <c r="K7" s="83"/>
      <c r="L7" s="84" t="s">
        <v>14</v>
      </c>
      <c r="M7" s="77">
        <v>3397</v>
      </c>
    </row>
    <row r="8" spans="1:13" ht="20.25" customHeight="1" x14ac:dyDescent="0.15">
      <c r="A8" s="81"/>
      <c r="B8" s="82"/>
      <c r="C8" s="83"/>
      <c r="D8" s="83"/>
      <c r="E8" s="83"/>
      <c r="F8" s="83"/>
      <c r="G8" s="83"/>
      <c r="H8" s="83"/>
      <c r="I8" s="83"/>
      <c r="J8" s="83"/>
      <c r="K8" s="83"/>
      <c r="L8" s="84" t="s">
        <v>40</v>
      </c>
      <c r="M8" s="77">
        <v>467</v>
      </c>
    </row>
    <row r="9" spans="1:13" ht="15" customHeight="1" x14ac:dyDescent="0.15">
      <c r="A9" s="78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79"/>
    </row>
    <row r="10" spans="1:13" ht="15" customHeight="1" x14ac:dyDescent="0.15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50"/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G10"/>
  <sheetViews>
    <sheetView showGridLines="0" workbookViewId="0"/>
  </sheetViews>
  <sheetFormatPr baseColWidth="10" defaultColWidth="19.6640625" defaultRowHeight="18" customHeight="1" x14ac:dyDescent="0.15"/>
  <cols>
    <col min="1" max="7" width="19.6640625" style="85" customWidth="1"/>
    <col min="8" max="256" width="19.6640625" customWidth="1"/>
  </cols>
  <sheetData>
    <row r="1" spans="1:7" ht="20.5" customHeight="1" x14ac:dyDescent="0.15">
      <c r="A1" s="63" t="s">
        <v>41</v>
      </c>
      <c r="B1" s="63" t="s">
        <v>42</v>
      </c>
      <c r="C1" s="63" t="s">
        <v>11</v>
      </c>
      <c r="D1" s="63" t="s">
        <v>43</v>
      </c>
      <c r="E1" s="73"/>
      <c r="F1" s="63" t="s">
        <v>14</v>
      </c>
      <c r="G1" s="63" t="s">
        <v>16</v>
      </c>
    </row>
    <row r="2" spans="1:7" ht="20.5" customHeight="1" x14ac:dyDescent="0.15">
      <c r="A2" s="65">
        <v>0</v>
      </c>
      <c r="B2" s="66">
        <v>20</v>
      </c>
      <c r="C2" s="75">
        <v>20</v>
      </c>
      <c r="D2" s="86">
        <v>5.6800000000000003E-2</v>
      </c>
      <c r="E2" s="87"/>
      <c r="F2" s="75">
        <v>352</v>
      </c>
      <c r="G2" s="75">
        <v>77</v>
      </c>
    </row>
    <row r="3" spans="1:7" ht="20.25" customHeight="1" x14ac:dyDescent="0.15">
      <c r="A3" s="68">
        <v>1</v>
      </c>
      <c r="B3" s="69">
        <v>29</v>
      </c>
      <c r="C3" s="77">
        <v>49</v>
      </c>
      <c r="D3" s="88">
        <v>0.13919999999999999</v>
      </c>
      <c r="E3" s="83"/>
      <c r="F3" s="83"/>
      <c r="G3" s="83"/>
    </row>
    <row r="4" spans="1:7" ht="20.25" customHeight="1" x14ac:dyDescent="0.15">
      <c r="A4" s="68">
        <v>2</v>
      </c>
      <c r="B4" s="69">
        <v>18</v>
      </c>
      <c r="C4" s="77">
        <v>67</v>
      </c>
      <c r="D4" s="88">
        <v>0.1903</v>
      </c>
      <c r="E4" s="83"/>
      <c r="F4" s="83"/>
      <c r="G4" s="83"/>
    </row>
    <row r="5" spans="1:7" ht="20.25" customHeight="1" x14ac:dyDescent="0.15">
      <c r="A5" s="68">
        <v>3</v>
      </c>
      <c r="B5" s="69">
        <v>4</v>
      </c>
      <c r="C5" s="77">
        <v>71</v>
      </c>
      <c r="D5" s="88">
        <v>0.20169999999999999</v>
      </c>
      <c r="E5" s="83"/>
      <c r="F5" s="83"/>
      <c r="G5" s="83"/>
    </row>
    <row r="6" spans="1:7" ht="20.25" customHeight="1" x14ac:dyDescent="0.15">
      <c r="A6" s="68">
        <v>4</v>
      </c>
      <c r="B6" s="69">
        <v>3</v>
      </c>
      <c r="C6" s="77">
        <v>74</v>
      </c>
      <c r="D6" s="88">
        <v>0.2102</v>
      </c>
      <c r="E6" s="83"/>
      <c r="F6" s="83"/>
      <c r="G6" s="83"/>
    </row>
    <row r="7" spans="1:7" ht="20.25" customHeight="1" x14ac:dyDescent="0.15">
      <c r="A7" s="68">
        <v>5</v>
      </c>
      <c r="B7" s="69">
        <v>1</v>
      </c>
      <c r="C7" s="77">
        <v>75</v>
      </c>
      <c r="D7" s="88">
        <v>0.21310000000000001</v>
      </c>
      <c r="E7" s="83"/>
      <c r="F7" s="83"/>
      <c r="G7" s="83"/>
    </row>
    <row r="8" spans="1:7" ht="20.25" customHeight="1" x14ac:dyDescent="0.15">
      <c r="A8" s="68">
        <v>6</v>
      </c>
      <c r="B8" s="69">
        <v>1</v>
      </c>
      <c r="C8" s="77">
        <v>76</v>
      </c>
      <c r="D8" s="88">
        <v>0.21590000000000001</v>
      </c>
      <c r="E8" s="83"/>
      <c r="F8" s="83"/>
      <c r="G8" s="83"/>
    </row>
    <row r="9" spans="1:7" ht="20.25" customHeight="1" x14ac:dyDescent="0.15">
      <c r="A9" s="68">
        <v>7</v>
      </c>
      <c r="B9" s="69">
        <v>0</v>
      </c>
      <c r="C9" s="77">
        <v>76</v>
      </c>
      <c r="D9" s="88">
        <v>0.21590000000000001</v>
      </c>
      <c r="E9" s="83"/>
      <c r="F9" s="83"/>
      <c r="G9" s="83"/>
    </row>
    <row r="10" spans="1:7" ht="20.25" customHeight="1" x14ac:dyDescent="0.15">
      <c r="A10" s="68">
        <v>8</v>
      </c>
      <c r="B10" s="69">
        <v>1</v>
      </c>
      <c r="C10" s="77">
        <v>77</v>
      </c>
      <c r="D10" s="88">
        <v>0.21879999999999999</v>
      </c>
      <c r="E10" s="83"/>
      <c r="F10" s="83"/>
      <c r="G10" s="83"/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10"/>
  <sheetViews>
    <sheetView showGridLines="0" workbookViewId="0"/>
  </sheetViews>
  <sheetFormatPr baseColWidth="10" defaultColWidth="19.6640625" defaultRowHeight="18" customHeight="1" x14ac:dyDescent="0.15"/>
  <cols>
    <col min="1" max="5" width="19.6640625" style="89" customWidth="1"/>
    <col min="6" max="256" width="19.6640625" customWidth="1"/>
  </cols>
  <sheetData>
    <row r="1" spans="1:5" ht="20.5" customHeight="1" x14ac:dyDescent="0.15">
      <c r="A1" s="63" t="s">
        <v>44</v>
      </c>
      <c r="B1" s="73"/>
      <c r="C1" s="73"/>
      <c r="D1" s="73"/>
      <c r="E1" s="73"/>
    </row>
    <row r="2" spans="1:5" ht="20.5" customHeight="1" x14ac:dyDescent="0.15">
      <c r="A2" s="74" t="s">
        <v>27</v>
      </c>
      <c r="B2" s="90" t="s">
        <v>28</v>
      </c>
      <c r="C2" s="76" t="s">
        <v>29</v>
      </c>
      <c r="D2" s="76" t="s">
        <v>30</v>
      </c>
      <c r="E2" s="76" t="s">
        <v>31</v>
      </c>
    </row>
    <row r="3" spans="1:5" ht="20.25" customHeight="1" x14ac:dyDescent="0.15">
      <c r="A3" s="70" t="s">
        <v>45</v>
      </c>
      <c r="B3" s="69">
        <v>387</v>
      </c>
      <c r="C3" s="77">
        <v>40</v>
      </c>
      <c r="D3" s="77">
        <v>20</v>
      </c>
      <c r="E3" s="77">
        <v>6</v>
      </c>
    </row>
    <row r="4" spans="1:5" ht="20.25" customHeight="1" x14ac:dyDescent="0.15">
      <c r="A4" s="70" t="s">
        <v>46</v>
      </c>
      <c r="B4" s="69">
        <v>49</v>
      </c>
      <c r="C4" s="77">
        <v>18</v>
      </c>
      <c r="D4" s="77">
        <v>4</v>
      </c>
      <c r="E4" s="77">
        <v>3</v>
      </c>
    </row>
    <row r="5" spans="1:5" ht="20.25" customHeight="1" x14ac:dyDescent="0.15">
      <c r="A5" s="81"/>
      <c r="B5" s="82"/>
      <c r="C5" s="83"/>
      <c r="D5" s="83"/>
      <c r="E5" s="83"/>
    </row>
    <row r="6" spans="1:5" ht="20.25" customHeight="1" x14ac:dyDescent="0.15">
      <c r="A6" s="81"/>
      <c r="B6" s="82"/>
      <c r="C6" s="83"/>
      <c r="D6" s="83"/>
      <c r="E6" s="83"/>
    </row>
    <row r="7" spans="1:5" ht="20.25" customHeight="1" x14ac:dyDescent="0.15">
      <c r="A7" s="81"/>
      <c r="B7" s="82"/>
      <c r="C7" s="83"/>
      <c r="D7" s="83"/>
      <c r="E7" s="83"/>
    </row>
    <row r="8" spans="1:5" ht="20.25" customHeight="1" x14ac:dyDescent="0.15">
      <c r="A8" s="81"/>
      <c r="B8" s="82"/>
      <c r="C8" s="83"/>
      <c r="D8" s="83"/>
      <c r="E8" s="83"/>
    </row>
    <row r="9" spans="1:5" ht="20.25" customHeight="1" x14ac:dyDescent="0.15">
      <c r="A9" s="81"/>
      <c r="B9" s="82"/>
      <c r="C9" s="83"/>
      <c r="D9" s="83"/>
      <c r="E9" s="83"/>
    </row>
    <row r="10" spans="1:5" ht="20.25" customHeight="1" x14ac:dyDescent="0.15">
      <c r="A10" s="81"/>
      <c r="B10" s="82"/>
      <c r="C10" s="83"/>
      <c r="D10" s="83"/>
      <c r="E10" s="83"/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G10"/>
  <sheetViews>
    <sheetView showGridLines="0" workbookViewId="0"/>
  </sheetViews>
  <sheetFormatPr baseColWidth="10" defaultColWidth="19.6640625" defaultRowHeight="18" customHeight="1" x14ac:dyDescent="0.15"/>
  <cols>
    <col min="1" max="7" width="19.6640625" style="91" customWidth="1"/>
    <col min="8" max="256" width="19.6640625" customWidth="1"/>
  </cols>
  <sheetData>
    <row r="1" spans="1:7" ht="28" customHeight="1" x14ac:dyDescent="0.15">
      <c r="A1" s="109" t="s">
        <v>47</v>
      </c>
      <c r="B1" s="110"/>
      <c r="C1" s="111"/>
      <c r="D1" s="111"/>
      <c r="E1" s="110"/>
      <c r="F1" s="110"/>
      <c r="G1" s="112"/>
    </row>
    <row r="2" spans="1:7" ht="20.25" customHeight="1" x14ac:dyDescent="0.15">
      <c r="A2" s="84" t="s">
        <v>48</v>
      </c>
      <c r="B2" s="83"/>
      <c r="C2" s="83"/>
      <c r="D2" s="83"/>
      <c r="E2" s="83"/>
      <c r="F2" s="83"/>
      <c r="G2" s="83"/>
    </row>
    <row r="3" spans="1:7" ht="32.25" customHeight="1" x14ac:dyDescent="0.15">
      <c r="A3" s="84" t="s">
        <v>49</v>
      </c>
      <c r="B3" s="84" t="s">
        <v>50</v>
      </c>
      <c r="C3" s="84" t="s">
        <v>51</v>
      </c>
      <c r="D3" s="84" t="s">
        <v>52</v>
      </c>
      <c r="E3" s="84" t="s">
        <v>53</v>
      </c>
      <c r="F3" s="84" t="s">
        <v>54</v>
      </c>
      <c r="G3" s="84" t="s">
        <v>55</v>
      </c>
    </row>
    <row r="4" spans="1:7" ht="20.25" customHeight="1" x14ac:dyDescent="0.15">
      <c r="A4" s="84" t="s">
        <v>56</v>
      </c>
      <c r="B4" s="84" t="s">
        <v>57</v>
      </c>
      <c r="C4" s="84" t="s">
        <v>58</v>
      </c>
      <c r="D4" s="77">
        <v>6817</v>
      </c>
      <c r="E4" s="77">
        <v>3397</v>
      </c>
      <c r="F4" s="77">
        <v>468</v>
      </c>
      <c r="G4" s="88">
        <f>F4/E4</f>
        <v>0.13776861937003237</v>
      </c>
    </row>
    <row r="5" spans="1:7" ht="20.25" customHeight="1" x14ac:dyDescent="0.15">
      <c r="A5" s="84" t="s">
        <v>59</v>
      </c>
      <c r="B5" s="84" t="s">
        <v>60</v>
      </c>
      <c r="C5" s="84" t="s">
        <v>61</v>
      </c>
      <c r="D5" s="77">
        <v>1112</v>
      </c>
      <c r="E5" s="77">
        <v>473</v>
      </c>
      <c r="F5" s="77">
        <v>81</v>
      </c>
      <c r="G5" s="88">
        <f>F5/E5</f>
        <v>0.17124735729386892</v>
      </c>
    </row>
    <row r="6" spans="1:7" ht="20.25" customHeight="1" x14ac:dyDescent="0.15">
      <c r="A6" s="84" t="s">
        <v>62</v>
      </c>
      <c r="B6" s="84" t="s">
        <v>63</v>
      </c>
      <c r="C6" s="84" t="s">
        <v>64</v>
      </c>
      <c r="D6" s="77">
        <v>352</v>
      </c>
      <c r="E6" s="77">
        <v>352</v>
      </c>
      <c r="F6" s="77">
        <v>77</v>
      </c>
      <c r="G6" s="88">
        <f>F6/E6</f>
        <v>0.21875</v>
      </c>
    </row>
    <row r="7" spans="1:7" ht="20.25" customHeight="1" x14ac:dyDescent="0.15">
      <c r="A7" s="84" t="s">
        <v>10</v>
      </c>
      <c r="B7" s="84" t="s">
        <v>65</v>
      </c>
      <c r="C7" s="84" t="s">
        <v>66</v>
      </c>
      <c r="D7" s="77">
        <v>85</v>
      </c>
      <c r="E7" s="77">
        <v>85</v>
      </c>
      <c r="F7" s="77">
        <v>2</v>
      </c>
      <c r="G7" s="88">
        <f>F7/E7</f>
        <v>2.3529411764705882E-2</v>
      </c>
    </row>
    <row r="8" spans="1:7" ht="20.25" customHeight="1" x14ac:dyDescent="0.15">
      <c r="A8" s="83"/>
      <c r="B8" s="83"/>
      <c r="C8" s="83"/>
      <c r="D8" s="83"/>
      <c r="E8" s="83"/>
      <c r="F8" s="83"/>
      <c r="G8" s="83"/>
    </row>
    <row r="9" spans="1:7" ht="20.25" customHeight="1" x14ac:dyDescent="0.15">
      <c r="A9" s="84" t="s">
        <v>67</v>
      </c>
      <c r="B9" s="84" t="s">
        <v>12</v>
      </c>
      <c r="C9" s="84"/>
      <c r="D9" s="77">
        <f>SUM(D4:D7)</f>
        <v>8366</v>
      </c>
      <c r="E9" s="77">
        <f>SUM(E4:E7)</f>
        <v>4307</v>
      </c>
      <c r="F9" s="77">
        <f>SUM(F4:F7)</f>
        <v>628</v>
      </c>
      <c r="G9" s="88">
        <f>F9/E9</f>
        <v>0.14580914789876945</v>
      </c>
    </row>
    <row r="10" spans="1:7" ht="15" customHeight="1" x14ac:dyDescent="0.15">
      <c r="A10" s="92"/>
      <c r="B10" s="93"/>
      <c r="C10" s="93"/>
      <c r="D10" s="93"/>
      <c r="E10" s="93"/>
      <c r="F10" s="93"/>
      <c r="G10" s="94"/>
    </row>
  </sheetData>
  <mergeCells count="1">
    <mergeCell ref="A1:G1"/>
  </mergeCells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10"/>
  <sheetViews>
    <sheetView showGridLines="0" workbookViewId="0"/>
  </sheetViews>
  <sheetFormatPr baseColWidth="10" defaultColWidth="19.6640625" defaultRowHeight="18" customHeight="1" x14ac:dyDescent="0.15"/>
  <cols>
    <col min="1" max="5" width="19.6640625" style="95" customWidth="1"/>
    <col min="6" max="256" width="19.6640625" customWidth="1"/>
  </cols>
  <sheetData>
    <row r="1" spans="1:5" ht="23" customHeight="1" x14ac:dyDescent="0.15">
      <c r="A1" s="96" t="s">
        <v>68</v>
      </c>
      <c r="B1" s="97"/>
      <c r="C1" s="97"/>
      <c r="D1" s="97"/>
      <c r="E1" s="98"/>
    </row>
    <row r="2" spans="1:5" ht="23" customHeight="1" x14ac:dyDescent="0.15">
      <c r="A2" s="23"/>
      <c r="B2" s="99" t="s">
        <v>17</v>
      </c>
      <c r="C2" s="99" t="s">
        <v>19</v>
      </c>
      <c r="D2" s="99" t="s">
        <v>20</v>
      </c>
      <c r="E2" s="100"/>
    </row>
    <row r="3" spans="1:5" ht="21" customHeight="1" x14ac:dyDescent="0.15">
      <c r="A3" s="101">
        <v>2012</v>
      </c>
      <c r="B3" s="27">
        <v>0.11</v>
      </c>
      <c r="C3" s="27"/>
      <c r="D3" s="27"/>
      <c r="E3" s="100"/>
    </row>
    <row r="4" spans="1:5" ht="21" customHeight="1" x14ac:dyDescent="0.15">
      <c r="A4" s="101">
        <v>2013</v>
      </c>
      <c r="B4" s="27">
        <v>0.114</v>
      </c>
      <c r="C4" s="27"/>
      <c r="D4" s="27"/>
      <c r="E4" s="100"/>
    </row>
    <row r="5" spans="1:5" ht="21" customHeight="1" x14ac:dyDescent="0.15">
      <c r="A5" s="101">
        <v>2014</v>
      </c>
      <c r="B5" s="27">
        <v>0.16900000000000001</v>
      </c>
      <c r="C5" s="27"/>
      <c r="D5" s="27">
        <v>0</v>
      </c>
      <c r="E5" s="100"/>
    </row>
    <row r="6" spans="1:5" ht="21" customHeight="1" x14ac:dyDescent="0.15">
      <c r="A6" s="101">
        <v>2015</v>
      </c>
      <c r="B6" s="27">
        <v>0.17799999999999999</v>
      </c>
      <c r="C6" s="27">
        <v>0.154</v>
      </c>
      <c r="D6" s="27">
        <v>6.5000000000000002E-2</v>
      </c>
      <c r="E6" s="100"/>
    </row>
    <row r="7" spans="1:5" ht="21" customHeight="1" x14ac:dyDescent="0.15">
      <c r="A7" s="101">
        <v>2016</v>
      </c>
      <c r="B7" s="27">
        <v>0.188</v>
      </c>
      <c r="C7" s="27">
        <v>0.23300000000000001</v>
      </c>
      <c r="D7" s="27">
        <v>0</v>
      </c>
      <c r="E7" s="100"/>
    </row>
    <row r="8" spans="1:5" ht="15" customHeight="1" x14ac:dyDescent="0.15">
      <c r="A8" s="42"/>
      <c r="B8" s="43"/>
      <c r="C8" s="43"/>
      <c r="D8" s="43"/>
      <c r="E8" s="47"/>
    </row>
    <row r="9" spans="1:5" ht="15" customHeight="1" x14ac:dyDescent="0.15">
      <c r="A9" s="45"/>
      <c r="B9" s="46"/>
      <c r="C9" s="46"/>
      <c r="D9" s="46"/>
      <c r="E9" s="47"/>
    </row>
    <row r="10" spans="1:5" ht="15" customHeight="1" x14ac:dyDescent="0.15">
      <c r="A10" s="48"/>
      <c r="B10" s="49"/>
      <c r="C10" s="49"/>
      <c r="D10" s="49"/>
      <c r="E10" s="50"/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10"/>
  <sheetViews>
    <sheetView showGridLines="0" workbookViewId="0"/>
  </sheetViews>
  <sheetFormatPr baseColWidth="10" defaultColWidth="19.6640625" defaultRowHeight="18" customHeight="1" x14ac:dyDescent="0.15"/>
  <cols>
    <col min="1" max="5" width="19.6640625" style="102" customWidth="1"/>
    <col min="6" max="256" width="19.6640625" customWidth="1"/>
  </cols>
  <sheetData>
    <row r="1" spans="1:5" ht="20.5" customHeight="1" x14ac:dyDescent="0.15">
      <c r="A1" s="73"/>
      <c r="B1" s="63" t="s">
        <v>69</v>
      </c>
      <c r="C1" s="63" t="s">
        <v>70</v>
      </c>
      <c r="D1" s="63" t="s">
        <v>71</v>
      </c>
      <c r="E1" s="73"/>
    </row>
    <row r="2" spans="1:5" ht="20.5" customHeight="1" x14ac:dyDescent="0.15">
      <c r="A2" s="65">
        <v>2009</v>
      </c>
      <c r="B2" s="103"/>
      <c r="C2" s="104">
        <v>0.02</v>
      </c>
      <c r="D2" s="104"/>
      <c r="E2" s="87"/>
    </row>
    <row r="3" spans="1:5" ht="20.25" customHeight="1" x14ac:dyDescent="0.15">
      <c r="A3" s="68">
        <v>2010</v>
      </c>
      <c r="B3" s="105"/>
      <c r="C3" s="106">
        <v>9.0999999999999998E-2</v>
      </c>
      <c r="D3" s="107"/>
      <c r="E3" s="83"/>
    </row>
    <row r="4" spans="1:5" ht="20.25" customHeight="1" x14ac:dyDescent="0.15">
      <c r="A4" s="68">
        <v>2011</v>
      </c>
      <c r="B4" s="105"/>
      <c r="C4" s="107">
        <v>0.11</v>
      </c>
      <c r="D4" s="107"/>
      <c r="E4" s="83"/>
    </row>
    <row r="5" spans="1:5" ht="20.25" customHeight="1" x14ac:dyDescent="0.15">
      <c r="A5" s="68">
        <v>2012</v>
      </c>
      <c r="B5" s="108">
        <v>0.14599999999999999</v>
      </c>
      <c r="C5" s="106">
        <v>0.107</v>
      </c>
      <c r="D5" s="107"/>
      <c r="E5" s="83"/>
    </row>
    <row r="6" spans="1:5" ht="20.25" customHeight="1" x14ac:dyDescent="0.15">
      <c r="A6" s="68">
        <v>2013</v>
      </c>
      <c r="B6" s="108">
        <v>0.14299999999999999</v>
      </c>
      <c r="C6" s="106">
        <v>0.108</v>
      </c>
      <c r="D6" s="107"/>
      <c r="E6" s="83"/>
    </row>
    <row r="7" spans="1:5" ht="20.25" customHeight="1" x14ac:dyDescent="0.15">
      <c r="A7" s="68">
        <v>2014</v>
      </c>
      <c r="B7" s="105">
        <v>0.19</v>
      </c>
      <c r="C7" s="106">
        <v>0.16500000000000001</v>
      </c>
      <c r="D7" s="107"/>
      <c r="E7" s="83"/>
    </row>
    <row r="8" spans="1:5" ht="20.25" customHeight="1" x14ac:dyDescent="0.15">
      <c r="A8" s="68">
        <v>2015</v>
      </c>
      <c r="B8" s="108">
        <v>0.189</v>
      </c>
      <c r="C8" s="106">
        <v>0.17599999999999999</v>
      </c>
      <c r="D8" s="106">
        <v>0.154</v>
      </c>
      <c r="E8" s="83"/>
    </row>
    <row r="9" spans="1:5" ht="20.25" customHeight="1" x14ac:dyDescent="0.15">
      <c r="A9" s="68">
        <v>2016</v>
      </c>
      <c r="B9" s="108">
        <v>0.17399999999999999</v>
      </c>
      <c r="C9" s="106">
        <v>0.191</v>
      </c>
      <c r="D9" s="106">
        <v>0.23300000000000001</v>
      </c>
      <c r="E9" s="83"/>
    </row>
    <row r="10" spans="1:5" ht="20.25" customHeight="1" x14ac:dyDescent="0.15">
      <c r="A10" s="70" t="s">
        <v>72</v>
      </c>
      <c r="B10" s="108">
        <v>0.17100000000000001</v>
      </c>
      <c r="C10" s="106">
        <v>0.13800000000000001</v>
      </c>
      <c r="D10" s="106">
        <v>0.219</v>
      </c>
      <c r="E10" s="83"/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Figure 1 - Aggregate Vulnerabil</vt:lpstr>
      <vt:lpstr>Figure 2 - Vulnerabilities in A</vt:lpstr>
      <vt:lpstr>Figure 3 - Vulnerabilities in M</vt:lpstr>
      <vt:lpstr>Figure 4 - Firefox Rediscovery</vt:lpstr>
      <vt:lpstr>Figure 5 - Chrome Rediscovery</vt:lpstr>
      <vt:lpstr>Figure 6 - Android Rediscovery</vt:lpstr>
      <vt:lpstr>Figure 7 - Android Rediscovery </vt:lpstr>
      <vt:lpstr>Figure 8 - Chrome Rediscovery L</vt:lpstr>
      <vt:lpstr>Figure 9 - Chrome Aggregate Red</vt:lpstr>
      <vt:lpstr>Figure 10 - Android Aggregate R</vt:lpstr>
      <vt:lpstr>Figure 11 - Combined Rediscover</vt:lpstr>
      <vt:lpstr>Table 1 - Dataset Summary</vt:lpstr>
      <vt:lpstr>Table 2 - Vulnerability Redisco</vt:lpstr>
      <vt:lpstr>Table 3 - Comparison of Redisco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</cp:lastModifiedBy>
  <dcterms:created xsi:type="dcterms:W3CDTF">2017-08-03T19:42:44Z</dcterms:created>
  <dcterms:modified xsi:type="dcterms:W3CDTF">2017-08-04T19:17:07Z</dcterms:modified>
</cp:coreProperties>
</file>