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 xWindow="0" yWindow="40" windowWidth="15960" windowHeight="18080"/>
  </bookViews>
  <sheets>
    <sheet name="Aggregate Vulns" sheetId="1" r:id="rId4"/>
    <sheet name="Vulns by Type" sheetId="2" r:id="rId5"/>
    <sheet name="MS Vuln Type" sheetId="3" r:id="rId6"/>
    <sheet name="Firefox Rediscovery" sheetId="4" r:id="rId7"/>
    <sheet name="Chrome Rediscovery" sheetId="5" r:id="rId8"/>
    <sheet name="Android Rediscovery" sheetId="6" r:id="rId9"/>
    <sheet name="Android Frequency" sheetId="7" r:id="rId10"/>
    <sheet name="Chrome Rediscovery Lag" sheetId="8" r:id="rId11"/>
    <sheet name="Chrome Redisc Rate" sheetId="9" r:id="rId12"/>
    <sheet name="Android Aggregate" sheetId="10" r:id="rId13"/>
    <sheet name="Combined Rediscovery" sheetId="11" r:id="rId14"/>
    <sheet name="Dataset Summary" sheetId="12" r:id="rId15"/>
    <sheet name="Bug Type Redisovery" sheetId="13" r:id="rId16"/>
    <sheet name="Comp of Rediscovery" sheetId="14" r:id="rId17"/>
  </sheets>
</workbook>
</file>

<file path=xl/sharedStrings.xml><?xml version="1.0" encoding="utf-8"?>
<sst xmlns="http://schemas.openxmlformats.org/spreadsheetml/2006/main" uniqueCount="73">
  <si>
    <t>Whole Dataset</t>
  </si>
  <si>
    <t>Google - Chromium</t>
  </si>
  <si>
    <t>Overall</t>
  </si>
  <si>
    <t>Vulnerabilities</t>
  </si>
  <si>
    <t>Duplicates</t>
  </si>
  <si>
    <t>Rediscovery %</t>
  </si>
  <si>
    <t>Mozilla - Firefox</t>
  </si>
  <si>
    <t>Google - Android</t>
  </si>
  <si>
    <t>2015</t>
  </si>
  <si>
    <t>2016</t>
  </si>
  <si>
    <t>OpenSSL</t>
  </si>
  <si>
    <t>Aggregate</t>
  </si>
  <si>
    <t>2009-2016</t>
  </si>
  <si>
    <t>Vuln</t>
  </si>
  <si>
    <t>Total Vulns</t>
  </si>
  <si>
    <t>Dupe</t>
  </si>
  <si>
    <t>Total Dupes</t>
  </si>
  <si>
    <t>Application</t>
  </si>
  <si>
    <t>Library</t>
  </si>
  <si>
    <t>OS</t>
  </si>
  <si>
    <t>Protocol</t>
  </si>
  <si>
    <t>1 Dup</t>
  </si>
  <si>
    <t>2+ Dups</t>
  </si>
  <si>
    <t>Month</t>
  </si>
  <si>
    <t>Frequency</t>
  </si>
  <si>
    <t>More</t>
  </si>
  <si>
    <t>Chrome Rediscovery Lag</t>
  </si>
  <si>
    <t>Number of Days</t>
  </si>
  <si>
    <t>1 Month</t>
  </si>
  <si>
    <t>2 Months</t>
  </si>
  <si>
    <t>3 Months</t>
  </si>
  <si>
    <t>4 Months</t>
  </si>
  <si>
    <t>5 Months</t>
  </si>
  <si>
    <t>6 Months</t>
  </si>
  <si>
    <t>7 Months</t>
  </si>
  <si>
    <t>8+ Months</t>
  </si>
  <si>
    <t>Duplicate Vulns</t>
  </si>
  <si>
    <t>Chrome - Aggregate Rediscovery Rate</t>
  </si>
  <si>
    <t>8 Months</t>
  </si>
  <si>
    <t xml:space="preserve">Aggregate </t>
  </si>
  <si>
    <t>Total Dups</t>
  </si>
  <si>
    <t>Time Lag</t>
  </si>
  <si>
    <t>Count</t>
  </si>
  <si>
    <t>Running %</t>
  </si>
  <si>
    <t>Rediscovery Lag</t>
  </si>
  <si>
    <t>Chrome Dups</t>
  </si>
  <si>
    <t>Android Dups</t>
  </si>
  <si>
    <t>Table 1</t>
  </si>
  <si>
    <t>Dataset Summary</t>
  </si>
  <si>
    <t>Source</t>
  </si>
  <si>
    <t>Date Range</t>
  </si>
  <si>
    <t>NVD Population</t>
  </si>
  <si>
    <t>Labeled Vulns</t>
  </si>
  <si>
    <t>Critical—High Vulns</t>
  </si>
  <si>
    <t>Total Vulns with Duplicates</t>
  </si>
  <si>
    <t>Duplicate Percentage</t>
  </si>
  <si>
    <t>Google—Chromium</t>
  </si>
  <si>
    <t>2009—2016</t>
  </si>
  <si>
    <t>1075 (Chrome, as Chromium only had 2 entries)</t>
  </si>
  <si>
    <t>Mozilla—Firefox</t>
  </si>
  <si>
    <t>2012—2016</t>
  </si>
  <si>
    <t>799</t>
  </si>
  <si>
    <t>Google—Android</t>
  </si>
  <si>
    <t>2015-2016</t>
  </si>
  <si>
    <t>682</t>
  </si>
  <si>
    <t>2014-2016</t>
  </si>
  <si>
    <t>128</t>
  </si>
  <si>
    <t>Total</t>
  </si>
  <si>
    <t>SW Type</t>
  </si>
  <si>
    <t>FIREFOX</t>
  </si>
  <si>
    <t>CHROME</t>
  </si>
  <si>
    <t>ANDROID</t>
  </si>
  <si>
    <t>TOTAL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</si>
</sst>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%"/>
  </numFmts>
  <fonts count="8">
    <font>
      <sz val="10"/>
      <color indexed="8"/>
      <name val="Helvetica"/>
    </font>
    <font>
      <sz val="12"/>
      <color indexed="8"/>
      <name val="Helvetica"/>
    </font>
    <font>
      <sz val="13"/>
      <color indexed="8"/>
      <name val="Helvetica"/>
    </font>
    <font>
      <b val="1"/>
      <sz val="12"/>
      <color indexed="8"/>
      <name val="Calibri"/>
    </font>
    <font>
      <b val="1"/>
      <sz val="10"/>
      <color indexed="8"/>
      <name val="Helvetica"/>
    </font>
    <font>
      <b val="1"/>
      <sz val="10"/>
      <color indexed="8"/>
      <name val="Arial"/>
    </font>
    <font>
      <sz val="12"/>
      <color indexed="8"/>
      <name val="Calibri"/>
    </font>
    <font>
      <sz val="10"/>
      <color indexed="8"/>
      <name val="Arial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</fills>
  <borders count="39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3"/>
      </top>
      <bottom style="thin">
        <color indexed="14"/>
      </bottom>
      <diagonal/>
    </border>
    <border>
      <left style="thin">
        <color indexed="10"/>
      </left>
      <right style="thin">
        <color indexed="10"/>
      </right>
      <top style="thin">
        <color indexed="14"/>
      </top>
      <bottom style="thin">
        <color indexed="13"/>
      </bottom>
      <diagonal/>
    </border>
    <border>
      <left style="thin">
        <color indexed="10"/>
      </left>
      <right style="thin">
        <color indexed="10"/>
      </right>
      <top style="thin">
        <color indexed="13"/>
      </top>
      <bottom style="thin">
        <color indexed="13"/>
      </bottom>
      <diagonal/>
    </border>
    <border>
      <left style="thin">
        <color indexed="10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0"/>
      </top>
      <bottom style="thin">
        <color indexed="10"/>
      </bottom>
      <diagonal/>
    </border>
    <border>
      <left/>
      <right/>
      <top style="thin">
        <color indexed="13"/>
      </top>
      <bottom/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4"/>
      </bottom>
      <diagonal/>
    </border>
    <border>
      <left style="thin">
        <color indexed="13"/>
      </left>
      <right/>
      <top style="thin">
        <color indexed="10"/>
      </top>
      <bottom/>
      <diagonal/>
    </border>
    <border>
      <left style="thin">
        <color indexed="13"/>
      </left>
      <right style="thin">
        <color indexed="14"/>
      </right>
      <top style="thin">
        <color indexed="14"/>
      </top>
      <bottom style="thin">
        <color indexed="13"/>
      </bottom>
      <diagonal/>
    </border>
    <border>
      <left style="thin">
        <color indexed="14"/>
      </left>
      <right style="thin">
        <color indexed="13"/>
      </right>
      <top style="thin">
        <color indexed="14"/>
      </top>
      <bottom style="thin">
        <color indexed="13"/>
      </bottom>
      <diagonal/>
    </border>
    <border>
      <left style="thin">
        <color indexed="13"/>
      </left>
      <right/>
      <top/>
      <bottom/>
      <diagonal/>
    </border>
    <border>
      <left style="thin">
        <color indexed="13"/>
      </left>
      <right style="thin">
        <color indexed="14"/>
      </right>
      <top style="thin">
        <color indexed="13"/>
      </top>
      <bottom style="thin">
        <color indexed="13"/>
      </bottom>
      <diagonal/>
    </border>
    <border>
      <left style="thin">
        <color indexed="14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/>
      <top/>
      <bottom style="thin">
        <color indexed="10"/>
      </bottom>
      <diagonal/>
    </border>
    <border>
      <left style="thin">
        <color indexed="13"/>
      </left>
      <right style="thin">
        <color indexed="13"/>
      </right>
      <top style="thin">
        <color indexed="14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0"/>
      </left>
      <right/>
      <top style="thin">
        <color indexed="13"/>
      </top>
      <bottom/>
      <diagonal/>
    </border>
    <border>
      <left/>
      <right style="thin">
        <color indexed="10"/>
      </right>
      <top style="thin">
        <color indexed="13"/>
      </top>
      <bottom/>
      <diagonal/>
    </border>
    <border>
      <left style="thin">
        <color indexed="10"/>
      </left>
      <right/>
      <top style="thin">
        <color indexed="10"/>
      </top>
      <bottom style="thin">
        <color indexed="13"/>
      </bottom>
      <diagonal/>
    </border>
    <border>
      <left/>
      <right/>
      <top style="thin">
        <color indexed="10"/>
      </top>
      <bottom style="thin">
        <color indexed="13"/>
      </bottom>
      <diagonal/>
    </border>
    <border>
      <left/>
      <right style="thin">
        <color indexed="10"/>
      </right>
      <top style="thin">
        <color indexed="10"/>
      </top>
      <bottom style="thin">
        <color indexed="13"/>
      </bottom>
      <diagonal/>
    </border>
    <border>
      <left style="thin">
        <color indexed="10"/>
      </left>
      <right/>
      <top style="thin">
        <color indexed="13"/>
      </top>
      <bottom style="thin">
        <color indexed="10"/>
      </bottom>
      <diagonal/>
    </border>
    <border>
      <left/>
      <right/>
      <top style="thin">
        <color indexed="13"/>
      </top>
      <bottom style="thin">
        <color indexed="10"/>
      </bottom>
      <diagonal/>
    </border>
    <border>
      <left/>
      <right style="thin">
        <color indexed="10"/>
      </right>
      <top style="thin">
        <color indexed="13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/>
      <bottom/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0" fontId="4" fillId="2" borderId="1" applyNumberFormat="0" applyFont="1" applyFill="1" applyBorder="1" applyAlignment="1" applyProtection="0">
      <alignment vertical="top" wrapText="1"/>
    </xf>
    <xf numFmtId="49" fontId="5" fillId="3" borderId="2" applyNumberFormat="1" applyFont="1" applyFill="1" applyBorder="1" applyAlignment="1" applyProtection="0">
      <alignment vertical="top" wrapText="1"/>
    </xf>
    <xf numFmtId="0" fontId="0" fillId="4" borderId="2" applyNumberFormat="0" applyFont="1" applyFill="1" applyBorder="1" applyAlignment="1" applyProtection="0">
      <alignment vertical="top" wrapText="1"/>
    </xf>
    <xf numFmtId="49" fontId="3" fillId="4" borderId="2" applyNumberFormat="1" applyFont="1" applyFill="1" applyBorder="1" applyAlignment="1" applyProtection="0">
      <alignment horizontal="center" vertical="top" wrapText="1"/>
    </xf>
    <xf numFmtId="0" fontId="4" fillId="3" borderId="2" applyNumberFormat="0" applyFont="1" applyFill="1" applyBorder="1" applyAlignment="1" applyProtection="0">
      <alignment vertical="top" wrapText="1"/>
    </xf>
    <xf numFmtId="0" fontId="6" fillId="4" borderId="2" applyNumberFormat="1" applyFont="1" applyFill="1" applyBorder="1" applyAlignment="1" applyProtection="0">
      <alignment horizontal="center" vertical="top" wrapText="1"/>
    </xf>
    <xf numFmtId="0" fontId="6" fillId="4" borderId="2" applyNumberFormat="0" applyFont="1" applyFill="1" applyBorder="1" applyAlignment="1" applyProtection="0">
      <alignment horizontal="center" vertical="top" wrapText="1"/>
    </xf>
    <xf numFmtId="49" fontId="4" fillId="3" borderId="2" applyNumberFormat="1" applyFont="1" applyFill="1" applyBorder="1" applyAlignment="1" applyProtection="0">
      <alignment vertical="top" wrapText="1"/>
    </xf>
    <xf numFmtId="49" fontId="6" fillId="3" borderId="2" applyNumberFormat="1" applyFont="1" applyFill="1" applyBorder="1" applyAlignment="1" applyProtection="0">
      <alignment horizontal="left" vertical="top" wrapText="1"/>
    </xf>
    <xf numFmtId="59" fontId="6" fillId="4" borderId="2" applyNumberFormat="1" applyFont="1" applyFill="1" applyBorder="1" applyAlignment="1" applyProtection="0">
      <alignment horizontal="center" vertical="top" wrapText="1"/>
    </xf>
    <xf numFmtId="0" fontId="6" fillId="3" borderId="2" applyNumberFormat="0" applyFont="1" applyFill="1" applyBorder="1" applyAlignment="1" applyProtection="0">
      <alignment horizontal="left" vertical="top" wrapText="1"/>
    </xf>
    <xf numFmtId="49" fontId="6" fillId="4" borderId="2" applyNumberFormat="1" applyFont="1" applyFill="1" applyBorder="1" applyAlignment="1" applyProtection="0">
      <alignment horizontal="center" vertical="top" wrapText="1"/>
    </xf>
    <xf numFmtId="0" fontId="3" fillId="4" borderId="2" applyNumberFormat="0" applyFont="1" applyFill="1" applyBorder="1" applyAlignment="1" applyProtection="0">
      <alignment horizontal="center" vertical="top" wrapText="1"/>
    </xf>
    <xf numFmtId="49" fontId="3" fillId="3" borderId="2" applyNumberFormat="1" applyFont="1" applyFill="1" applyBorder="1" applyAlignment="1" applyProtection="0">
      <alignment vertical="top" wrapText="1"/>
    </xf>
    <xf numFmtId="0" fontId="6" fillId="4" borderId="2" applyNumberFormat="0" applyFont="1" applyFill="1" applyBorder="1" applyAlignment="1" applyProtection="0">
      <alignment horizontal="left" vertical="top" wrapText="1"/>
    </xf>
    <xf numFmtId="59" fontId="0" fillId="4" borderId="2" applyNumberFormat="1" applyFont="1" applyFill="1" applyBorder="1" applyAlignment="1" applyProtection="0">
      <alignment vertical="top" wrapText="1"/>
    </xf>
    <xf numFmtId="0" fontId="0" fillId="4" borderId="2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5" fillId="2" borderId="3" applyNumberFormat="1" applyFont="1" applyFill="1" applyBorder="1" applyAlignment="1" applyProtection="0">
      <alignment vertical="top" wrapText="1"/>
    </xf>
    <xf numFmtId="0" fontId="4" fillId="2" borderId="3" applyNumberFormat="0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4" fillId="3" borderId="3" applyNumberFormat="0" applyFont="1" applyFill="1" applyBorder="1" applyAlignment="1" applyProtection="0">
      <alignment vertical="top" wrapText="1"/>
    </xf>
    <xf numFmtId="0" fontId="0" fillId="4" borderId="3" applyNumberFormat="1" applyFont="1" applyFill="1" applyBorder="1" applyAlignment="1" applyProtection="0">
      <alignment vertical="top" wrapText="1"/>
    </xf>
    <xf numFmtId="0" fontId="0" fillId="4" borderId="3" applyNumberFormat="0" applyFont="1" applyFill="1" applyBorder="1" applyAlignment="1" applyProtection="0">
      <alignment vertical="top" wrapText="1"/>
    </xf>
    <xf numFmtId="49" fontId="0" fillId="4" borderId="3" applyNumberFormat="1" applyFont="1" applyFill="1" applyBorder="1" applyAlignment="1" applyProtection="0">
      <alignment vertical="top" wrapText="1"/>
    </xf>
    <xf numFmtId="59" fontId="0" fillId="4" borderId="3" applyNumberFormat="1" applyFont="1" applyFill="1" applyBorder="1" applyAlignment="1" applyProtection="0">
      <alignment vertical="top" wrapText="1"/>
    </xf>
    <xf numFmtId="49" fontId="4" fillId="3" borderId="3" applyNumberFormat="1" applyFont="1" applyFill="1" applyBorder="1" applyAlignment="1" applyProtection="0">
      <alignment vertical="top" wrapText="1"/>
    </xf>
    <xf numFmtId="49" fontId="5" fillId="3" borderId="3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7" fillId="2" borderId="3" applyNumberFormat="0" applyFont="1" applyFill="1" applyBorder="1" applyAlignment="1" applyProtection="0">
      <alignment vertical="top" wrapText="1"/>
    </xf>
    <xf numFmtId="0" fontId="7" fillId="3" borderId="3" applyNumberFormat="0" applyFont="1" applyFill="1" applyBorder="1" applyAlignment="1" applyProtection="0">
      <alignment vertical="top" wrapText="1"/>
    </xf>
    <xf numFmtId="49" fontId="6" fillId="3" borderId="3" applyNumberFormat="1" applyFont="1" applyFill="1" applyBorder="1" applyAlignment="1" applyProtection="0">
      <alignment horizontal="right" vertical="top" wrapText="1"/>
    </xf>
    <xf numFmtId="0" fontId="7" fillId="4" borderId="3" applyNumberFormat="1" applyFont="1" applyFill="1" applyBorder="1" applyAlignment="1" applyProtection="0">
      <alignment vertical="top" wrapText="1"/>
    </xf>
    <xf numFmtId="59" fontId="7" fillId="4" borderId="3" applyNumberFormat="1" applyFont="1" applyFill="1" applyBorder="1" applyAlignment="1" applyProtection="0">
      <alignment vertical="top" wrapText="1"/>
    </xf>
    <xf numFmtId="0" fontId="6" fillId="3" borderId="3" applyNumberFormat="0" applyFont="1" applyFill="1" applyBorder="1" applyAlignment="1" applyProtection="0">
      <alignment horizontal="right" vertical="top" wrapText="1"/>
    </xf>
    <xf numFmtId="0" fontId="7" fillId="4" borderId="3" applyNumberFormat="0" applyFont="1" applyFill="1" applyBorder="1" applyAlignment="1" applyProtection="0">
      <alignment vertical="top" wrapText="1"/>
    </xf>
    <xf numFmtId="49" fontId="7" fillId="3" borderId="3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6" fillId="3" borderId="3" applyNumberFormat="1" applyFont="1" applyFill="1" applyBorder="1" applyAlignment="1" applyProtection="0">
      <alignment horizontal="left" vertical="top" wrapText="1"/>
    </xf>
    <xf numFmtId="59" fontId="6" fillId="4" borderId="3" applyNumberFormat="1" applyFont="1" applyFill="1" applyBorder="1" applyAlignment="1" applyProtection="0">
      <alignment horizontal="right" vertical="top" wrapText="1"/>
    </xf>
    <xf numFmtId="0" fontId="0" fillId="4" borderId="4" applyNumberFormat="0" applyFont="1" applyFill="1" applyBorder="1" applyAlignment="1" applyProtection="0">
      <alignment vertical="top" wrapText="1"/>
    </xf>
    <xf numFmtId="0" fontId="0" fillId="4" borderId="5" applyNumberFormat="0" applyFont="1" applyFill="1" applyBorder="1" applyAlignment="1" applyProtection="0">
      <alignment vertical="top" wrapText="1"/>
    </xf>
    <xf numFmtId="0" fontId="0" fillId="4" borderId="6" applyNumberFormat="0" applyFont="1" applyFill="1" applyBorder="1" applyAlignment="1" applyProtection="0">
      <alignment vertical="top" wrapText="1"/>
    </xf>
    <xf numFmtId="0" fontId="0" fillId="4" borderId="7" applyNumberFormat="0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0" fillId="4" borderId="10" applyNumberFormat="0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0" fontId="0" fillId="4" borderId="12" applyNumberFormat="0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6" fillId="4" borderId="3" applyNumberFormat="0" applyFont="1" applyFill="1" applyBorder="1" applyAlignment="1" applyProtection="0">
      <alignment horizontal="right" vertical="top" wrapText="1"/>
    </xf>
    <xf numFmtId="0" fontId="0" applyNumberFormat="1" applyFont="1" applyFill="0" applyBorder="0" applyAlignment="1" applyProtection="0">
      <alignment vertical="top" wrapText="1"/>
    </xf>
    <xf numFmtId="49" fontId="7" fillId="2" borderId="3" applyNumberFormat="1" applyFont="1" applyFill="1" applyBorder="1" applyAlignment="1" applyProtection="0">
      <alignment vertical="top" wrapText="1"/>
    </xf>
    <xf numFmtId="0" fontId="4" fillId="2" borderId="13" applyNumberFormat="0" applyFont="1" applyFill="1" applyBorder="1" applyAlignment="1" applyProtection="0">
      <alignment vertical="top" wrapText="1"/>
    </xf>
    <xf numFmtId="49" fontId="6" fillId="4" borderId="3" applyNumberFormat="1" applyFont="1" applyFill="1" applyBorder="1" applyAlignment="1" applyProtection="0">
      <alignment horizontal="right" vertical="top" wrapText="1"/>
    </xf>
    <xf numFmtId="0" fontId="0" fillId="4" borderId="14" applyNumberFormat="0" applyFont="1" applyFill="1" applyBorder="1" applyAlignment="1" applyProtection="0">
      <alignment vertical="top" wrapText="1"/>
    </xf>
    <xf numFmtId="0" fontId="0" fillId="4" borderId="15" applyNumberFormat="0" applyFont="1" applyFill="1" applyBorder="1" applyAlignment="1" applyProtection="0">
      <alignment vertical="top" wrapText="1"/>
    </xf>
    <xf numFmtId="0" fontId="0" fillId="4" borderId="16" applyNumberFormat="0" applyFont="1" applyFill="1" applyBorder="1" applyAlignment="1" applyProtection="0">
      <alignment vertical="top" wrapText="1"/>
    </xf>
    <xf numFmtId="0" fontId="0" fillId="4" borderId="17" applyNumberFormat="0" applyFont="1" applyFill="1" applyBorder="1" applyAlignment="1" applyProtection="0">
      <alignment vertical="top" wrapText="1"/>
    </xf>
    <xf numFmtId="0" fontId="0" fillId="4" borderId="18" applyNumberFormat="0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4" fillId="2" borderId="19" applyNumberFormat="1" applyFont="1" applyFill="1" applyBorder="1" applyAlignment="1" applyProtection="0">
      <alignment vertical="top" wrapText="1"/>
    </xf>
    <xf numFmtId="0" fontId="0" fillId="4" borderId="20" applyNumberFormat="0" applyFont="1" applyFill="1" applyBorder="1" applyAlignment="1" applyProtection="0">
      <alignment vertical="top" wrapText="1"/>
    </xf>
    <xf numFmtId="0" fontId="4" fillId="3" borderId="21" applyNumberFormat="1" applyFont="1" applyFill="1" applyBorder="1" applyAlignment="1" applyProtection="0">
      <alignment vertical="top" wrapText="1"/>
    </xf>
    <xf numFmtId="0" fontId="0" fillId="4" borderId="22" applyNumberFormat="1" applyFont="1" applyFill="1" applyBorder="1" applyAlignment="1" applyProtection="0">
      <alignment vertical="top" wrapText="1"/>
    </xf>
    <xf numFmtId="0" fontId="0" fillId="4" borderId="23" applyNumberFormat="0" applyFont="1" applyFill="1" applyBorder="1" applyAlignment="1" applyProtection="0">
      <alignment vertical="top" wrapText="1"/>
    </xf>
    <xf numFmtId="0" fontId="4" fillId="3" borderId="24" applyNumberFormat="1" applyFont="1" applyFill="1" applyBorder="1" applyAlignment="1" applyProtection="0">
      <alignment vertical="top" wrapText="1"/>
    </xf>
    <xf numFmtId="0" fontId="0" fillId="4" borderId="25" applyNumberFormat="1" applyFont="1" applyFill="1" applyBorder="1" applyAlignment="1" applyProtection="0">
      <alignment vertical="top" wrapText="1"/>
    </xf>
    <xf numFmtId="49" fontId="4" fillId="3" borderId="24" applyNumberFormat="1" applyFont="1" applyFill="1" applyBorder="1" applyAlignment="1" applyProtection="0">
      <alignment vertical="top" wrapText="1"/>
    </xf>
    <xf numFmtId="0" fontId="0" fillId="4" borderId="26" applyNumberFormat="0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4" fillId="2" borderId="19" applyNumberFormat="0" applyFont="1" applyFill="1" applyBorder="1" applyAlignment="1" applyProtection="0">
      <alignment vertical="top" wrapText="1"/>
    </xf>
    <xf numFmtId="49" fontId="4" fillId="3" borderId="21" applyNumberFormat="1" applyFont="1" applyFill="1" applyBorder="1" applyAlignment="1" applyProtection="0">
      <alignment vertical="top" wrapText="1"/>
    </xf>
    <xf numFmtId="0" fontId="0" fillId="4" borderId="27" applyNumberFormat="1" applyFont="1" applyFill="1" applyBorder="1" applyAlignment="1" applyProtection="0">
      <alignment vertical="top" wrapText="1"/>
    </xf>
    <xf numFmtId="49" fontId="0" fillId="4" borderId="27" applyNumberFormat="1" applyFont="1" applyFill="1" applyBorder="1" applyAlignment="1" applyProtection="0">
      <alignment vertical="top" wrapText="1"/>
    </xf>
    <xf numFmtId="0" fontId="0" fillId="4" borderId="28" applyNumberFormat="1" applyFont="1" applyFill="1" applyBorder="1" applyAlignment="1" applyProtection="0">
      <alignment vertical="top" wrapText="1"/>
    </xf>
    <xf numFmtId="0" fontId="0" fillId="4" borderId="29" applyNumberFormat="0" applyFont="1" applyFill="1" applyBorder="1" applyAlignment="1" applyProtection="0">
      <alignment vertical="top" wrapText="1"/>
    </xf>
    <xf numFmtId="0" fontId="0" fillId="4" borderId="30" applyNumberFormat="0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4" fillId="3" borderId="24" applyNumberFormat="0" applyFont="1" applyFill="1" applyBorder="1" applyAlignment="1" applyProtection="0">
      <alignment vertical="top" wrapText="1"/>
    </xf>
    <xf numFmtId="0" fontId="0" fillId="4" borderId="25" applyNumberFormat="0" applyFont="1" applyFill="1" applyBorder="1" applyAlignment="1" applyProtection="0">
      <alignment vertical="top" wrapText="1"/>
    </xf>
    <xf numFmtId="0" fontId="0" fillId="4" borderId="28" applyNumberFormat="0" applyFont="1" applyFill="1" applyBorder="1" applyAlignment="1" applyProtection="0">
      <alignment vertical="top" wrapText="1"/>
    </xf>
    <xf numFmtId="49" fontId="0" fillId="4" borderId="28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10" fontId="0" fillId="4" borderId="27" applyNumberFormat="1" applyFont="1" applyFill="1" applyBorder="1" applyAlignment="1" applyProtection="0">
      <alignment vertical="top" wrapText="1"/>
    </xf>
    <xf numFmtId="0" fontId="0" fillId="4" borderId="27" applyNumberFormat="0" applyFont="1" applyFill="1" applyBorder="1" applyAlignment="1" applyProtection="0">
      <alignment vertical="top" wrapText="1"/>
    </xf>
    <xf numFmtId="10" fontId="0" fillId="4" borderId="28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fillId="4" borderId="22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" fillId="4" borderId="31" applyNumberFormat="1" applyFont="1" applyFill="1" applyBorder="1" applyAlignment="1" applyProtection="0">
      <alignment horizontal="center" vertical="center"/>
    </xf>
    <xf numFmtId="0" fontId="1" fillId="4" borderId="32" applyNumberFormat="0" applyFont="1" applyFill="1" applyBorder="1" applyAlignment="1" applyProtection="0">
      <alignment horizontal="center" vertical="center"/>
    </xf>
    <xf numFmtId="0" fontId="0" fillId="4" borderId="32" applyNumberFormat="0" applyFont="1" applyFill="1" applyBorder="1" applyAlignment="1" applyProtection="0">
      <alignment vertical="top" wrapText="1"/>
    </xf>
    <xf numFmtId="0" fontId="1" fillId="4" borderId="33" applyNumberFormat="0" applyFont="1" applyFill="1" applyBorder="1" applyAlignment="1" applyProtection="0">
      <alignment horizontal="center" vertical="center"/>
    </xf>
    <xf numFmtId="0" fontId="0" fillId="4" borderId="34" applyNumberFormat="0" applyFont="1" applyFill="1" applyBorder="1" applyAlignment="1" applyProtection="0">
      <alignment vertical="top" wrapText="1"/>
    </xf>
    <xf numFmtId="0" fontId="0" fillId="4" borderId="35" applyNumberFormat="0" applyFont="1" applyFill="1" applyBorder="1" applyAlignment="1" applyProtection="0">
      <alignment vertical="top" wrapText="1"/>
    </xf>
    <xf numFmtId="0" fontId="0" fillId="4" borderId="36" applyNumberFormat="0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4" fillId="2" borderId="3" applyNumberFormat="1" applyFont="1" applyFill="1" applyBorder="1" applyAlignment="1" applyProtection="0">
      <alignment vertical="top" wrapText="1"/>
    </xf>
    <xf numFmtId="0" fontId="6" fillId="2" borderId="3" applyNumberFormat="0" applyFont="1" applyFill="1" applyBorder="1" applyAlignment="1" applyProtection="0">
      <alignment horizontal="center" vertical="top" wrapText="1"/>
    </xf>
    <xf numFmtId="0" fontId="0" fillId="4" borderId="37" applyNumberFormat="0" applyFont="1" applyFill="1" applyBorder="1" applyAlignment="1" applyProtection="0">
      <alignment vertical="top" wrapText="1"/>
    </xf>
    <xf numFmtId="49" fontId="6" fillId="4" borderId="3" applyNumberFormat="1" applyFont="1" applyFill="1" applyBorder="1" applyAlignment="1" applyProtection="0">
      <alignment horizontal="center" vertical="top" wrapText="1"/>
    </xf>
    <xf numFmtId="0" fontId="0" fillId="4" borderId="38" applyNumberFormat="0" applyFont="1" applyFill="1" applyBorder="1" applyAlignment="1" applyProtection="0">
      <alignment vertical="top" wrapText="1"/>
    </xf>
    <xf numFmtId="0" fontId="4" fillId="3" borderId="3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9" fontId="0" fillId="4" borderId="22" applyNumberFormat="1" applyFont="1" applyFill="1" applyBorder="1" applyAlignment="1" applyProtection="0">
      <alignment vertical="top" wrapText="1"/>
    </xf>
    <xf numFmtId="9" fontId="0" fillId="4" borderId="27" applyNumberFormat="1" applyFont="1" applyFill="1" applyBorder="1" applyAlignment="1" applyProtection="0">
      <alignment vertical="top" wrapText="1"/>
    </xf>
    <xf numFmtId="9" fontId="0" fillId="4" borderId="25" applyNumberFormat="1" applyFont="1" applyFill="1" applyBorder="1" applyAlignment="1" applyProtection="0">
      <alignment vertical="top" wrapText="1"/>
    </xf>
    <xf numFmtId="59" fontId="0" fillId="4" borderId="28" applyNumberFormat="1" applyFont="1" applyFill="1" applyBorder="1" applyAlignment="1" applyProtection="0">
      <alignment vertical="top" wrapText="1"/>
    </xf>
    <xf numFmtId="9" fontId="0" fillId="4" borderId="28" applyNumberFormat="1" applyFont="1" applyFill="1" applyBorder="1" applyAlignment="1" applyProtection="0">
      <alignment vertical="top" wrapText="1"/>
    </xf>
    <xf numFmtId="59" fontId="0" fillId="4" borderId="25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dbdbdb"/>
      <rgbColor rgb="ffffffff"/>
      <rgbColor rgb="ffa5a5a5"/>
      <rgbColor rgb="ff3f3f3f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5400" dir="5400000">
              <a:srgbClr val="000000">
                <a:alpha val="50000"/>
              </a:srgbClr>
            </a:outerShdw>
          </a:effectLst>
        </a:effectStyle>
        <a:effectStyle>
          <a:effectLst>
            <a:outerShdw sx="100000" sy="100000" kx="0" ky="0" algn="b" rotWithShape="0" blurRad="38100" dist="25400" dir="5400000">
              <a:srgbClr val="000000">
                <a:alpha val="50000"/>
              </a:srgbClr>
            </a:outerShdw>
          </a:effectLst>
        </a:effectStyle>
        <a:effectStyle>
          <a:effectLst>
            <a:outerShdw sx="100000" sy="100000" kx="0" ky="0" algn="b" rotWithShape="0" blurRad="38100" dist="25400" dir="5400000">
              <a:srgbClr val="000000">
                <a:alpha val="5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5400" dir="5400000">
            <a:srgbClr val="000000">
              <a:alpha val="50000"/>
            </a:srgbClr>
          </a:outerShdw>
        </a:effectLst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5400" dir="5400000">
            <a:srgbClr val="000000">
              <a:alpha val="50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K34"/>
  <sheetViews>
    <sheetView workbookViewId="0" showGridLines="0" defaultGridColor="1"/>
  </sheetViews>
  <sheetFormatPr defaultColWidth="19.6" defaultRowHeight="18" customHeight="1" outlineLevelRow="0" outlineLevelCol="0"/>
  <cols>
    <col min="1" max="1" width="19.6016" style="1" customWidth="1"/>
    <col min="2" max="2" width="19.6016" style="1" customWidth="1"/>
    <col min="3" max="3" width="19.6016" style="1" customWidth="1"/>
    <col min="4" max="4" width="19.6016" style="1" customWidth="1"/>
    <col min="5" max="5" width="19.6016" style="1" customWidth="1"/>
    <col min="6" max="6" width="19.6016" style="1" customWidth="1"/>
    <col min="7" max="7" width="19.6016" style="1" customWidth="1"/>
    <col min="8" max="8" width="19.6016" style="1" customWidth="1"/>
    <col min="9" max="9" width="19.6016" style="1" customWidth="1"/>
    <col min="10" max="10" width="19.6016" style="1" customWidth="1"/>
    <col min="11" max="11" width="19.6016" style="1" customWidth="1"/>
    <col min="12" max="256" width="19.6016" style="1" customWidth="1"/>
  </cols>
  <sheetData>
    <row r="1" ht="23" customHeight="1">
      <c r="A1" t="s" s="2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ht="30.65" customHeight="1">
      <c r="A2" t="s" s="4">
        <v>1</v>
      </c>
      <c r="B2" s="5"/>
      <c r="C2" s="5"/>
      <c r="D2" s="5"/>
      <c r="E2" s="5"/>
      <c r="F2" s="5"/>
      <c r="G2" s="5"/>
      <c r="H2" s="5"/>
      <c r="I2" s="5"/>
      <c r="J2" s="5"/>
      <c r="K2" t="s" s="6">
        <v>2</v>
      </c>
    </row>
    <row r="3" ht="23" customHeight="1">
      <c r="A3" s="7"/>
      <c r="B3" s="8">
        <v>2009</v>
      </c>
      <c r="C3" s="8">
        <v>2010</v>
      </c>
      <c r="D3" s="8">
        <v>2011</v>
      </c>
      <c r="E3" s="8">
        <v>2012</v>
      </c>
      <c r="F3" s="8">
        <v>2013</v>
      </c>
      <c r="G3" s="8">
        <v>2014</v>
      </c>
      <c r="H3" s="8">
        <v>2015</v>
      </c>
      <c r="I3" s="8">
        <v>2016</v>
      </c>
      <c r="J3" s="9"/>
      <c r="K3" s="9"/>
    </row>
    <row r="4" ht="23" customHeight="1">
      <c r="A4" t="s" s="10">
        <v>3</v>
      </c>
      <c r="B4" s="8">
        <v>51</v>
      </c>
      <c r="C4" s="8">
        <v>253</v>
      </c>
      <c r="D4" s="8">
        <v>445</v>
      </c>
      <c r="E4" s="8">
        <v>569</v>
      </c>
      <c r="F4" s="8">
        <v>474</v>
      </c>
      <c r="G4" s="8">
        <v>600</v>
      </c>
      <c r="H4" s="8">
        <v>534</v>
      </c>
      <c r="I4" s="8">
        <v>471</v>
      </c>
      <c r="J4" s="9"/>
      <c r="K4" s="8">
        <v>3397</v>
      </c>
    </row>
    <row r="5" ht="23" customHeight="1">
      <c r="A5" t="s" s="10">
        <v>4</v>
      </c>
      <c r="B5" s="8">
        <v>1</v>
      </c>
      <c r="C5" s="8">
        <v>23</v>
      </c>
      <c r="D5" s="8">
        <v>49</v>
      </c>
      <c r="E5" s="8">
        <v>61</v>
      </c>
      <c r="F5" s="8">
        <v>51</v>
      </c>
      <c r="G5" s="8">
        <v>99</v>
      </c>
      <c r="H5" s="8">
        <v>94</v>
      </c>
      <c r="I5" s="8">
        <v>90</v>
      </c>
      <c r="J5" s="9"/>
      <c r="K5" s="8">
        <v>468</v>
      </c>
    </row>
    <row r="6" ht="23" customHeight="1">
      <c r="A6" t="s" s="11">
        <v>5</v>
      </c>
      <c r="B6" s="12">
        <f>B5/B4</f>
        <v>0.0196078431372549</v>
      </c>
      <c r="C6" s="12">
        <f>C5/C4</f>
        <v>0.09090909090909091</v>
      </c>
      <c r="D6" s="12">
        <f>D5/D4</f>
        <v>0.1101123595505618</v>
      </c>
      <c r="E6" s="12">
        <f>E5/E4</f>
        <v>0.1072056239015817</v>
      </c>
      <c r="F6" s="12">
        <f>F5/F4</f>
        <v>0.1075949367088608</v>
      </c>
      <c r="G6" s="12">
        <f>G5/G4</f>
        <v>0.165</v>
      </c>
      <c r="H6" s="12">
        <f>H5/H4</f>
        <v>0.1760299625468165</v>
      </c>
      <c r="I6" s="12">
        <f>I5/I4</f>
        <v>0.1910828025477707</v>
      </c>
      <c r="J6" s="9"/>
      <c r="K6" s="12">
        <f>AVERAGE(K5/K4)</f>
        <v>0.1377686193700324</v>
      </c>
    </row>
    <row r="7" ht="23" customHeight="1">
      <c r="A7" s="13"/>
      <c r="B7" s="12"/>
      <c r="C7" s="12"/>
      <c r="D7" s="12"/>
      <c r="E7" s="12"/>
      <c r="F7" s="12"/>
      <c r="G7" s="12"/>
      <c r="H7" s="12"/>
      <c r="I7" s="12"/>
      <c r="J7" s="9"/>
      <c r="K7" s="12"/>
    </row>
    <row r="8" ht="23" customHeight="1">
      <c r="A8" s="7"/>
      <c r="B8" s="9"/>
      <c r="C8" s="9"/>
      <c r="D8" s="9"/>
      <c r="E8" s="9"/>
      <c r="F8" s="9"/>
      <c r="G8" s="9"/>
      <c r="H8" s="9"/>
      <c r="I8" s="9"/>
      <c r="J8" s="9"/>
      <c r="K8" s="9"/>
    </row>
    <row r="9" ht="23" customHeight="1">
      <c r="A9" t="s" s="4">
        <v>6</v>
      </c>
      <c r="B9" s="9"/>
      <c r="C9" s="9"/>
      <c r="D9" s="9"/>
      <c r="E9" s="9"/>
      <c r="F9" s="9"/>
      <c r="G9" s="9"/>
      <c r="H9" s="9"/>
      <c r="I9" s="9"/>
      <c r="J9" s="9"/>
      <c r="K9" t="s" s="6">
        <v>2</v>
      </c>
    </row>
    <row r="10" ht="23" customHeight="1">
      <c r="A10" s="7"/>
      <c r="B10" s="9"/>
      <c r="C10" s="9"/>
      <c r="D10" s="9"/>
      <c r="E10" s="8">
        <v>2012</v>
      </c>
      <c r="F10" s="8">
        <v>2013</v>
      </c>
      <c r="G10" s="8">
        <v>2014</v>
      </c>
      <c r="H10" s="8">
        <v>2015</v>
      </c>
      <c r="I10" s="8">
        <v>2016</v>
      </c>
      <c r="J10" s="9"/>
      <c r="K10" s="9"/>
    </row>
    <row r="11" ht="23" customHeight="1">
      <c r="A11" t="s" s="10">
        <v>3</v>
      </c>
      <c r="B11" s="9"/>
      <c r="C11" s="9"/>
      <c r="D11" s="9"/>
      <c r="E11" s="8">
        <v>48</v>
      </c>
      <c r="F11" s="8">
        <v>112</v>
      </c>
      <c r="G11" s="8">
        <v>105</v>
      </c>
      <c r="H11" s="8">
        <v>122</v>
      </c>
      <c r="I11" s="8">
        <v>86</v>
      </c>
      <c r="J11" s="9"/>
      <c r="K11" s="8">
        <v>473</v>
      </c>
    </row>
    <row r="12" ht="23" customHeight="1">
      <c r="A12" t="s" s="10">
        <v>4</v>
      </c>
      <c r="B12" s="9"/>
      <c r="C12" s="9"/>
      <c r="D12" s="9"/>
      <c r="E12" s="8">
        <v>7</v>
      </c>
      <c r="F12" s="8">
        <v>16</v>
      </c>
      <c r="G12" s="8">
        <v>20</v>
      </c>
      <c r="H12" s="8">
        <v>23</v>
      </c>
      <c r="I12" s="8">
        <v>15</v>
      </c>
      <c r="J12" s="9"/>
      <c r="K12" s="8">
        <v>81</v>
      </c>
    </row>
    <row r="13" ht="23" customHeight="1">
      <c r="A13" t="s" s="11">
        <v>5</v>
      </c>
      <c r="B13" s="12"/>
      <c r="C13" s="12"/>
      <c r="D13" s="12"/>
      <c r="E13" s="12">
        <f>E12/E11</f>
        <v>0.1458333333333333</v>
      </c>
      <c r="F13" s="12">
        <f>F12/F11</f>
        <v>0.1428571428571428</v>
      </c>
      <c r="G13" s="12">
        <f>G12/G11</f>
        <v>0.1904761904761905</v>
      </c>
      <c r="H13" s="12">
        <f>H12/H11</f>
        <v>0.1885245901639344</v>
      </c>
      <c r="I13" s="12">
        <f>I12/I11</f>
        <v>0.1744186046511628</v>
      </c>
      <c r="J13" s="9"/>
      <c r="K13" s="12">
        <f>AVERAGE(K12/K11)</f>
        <v>0.1712473572938689</v>
      </c>
    </row>
    <row r="14" ht="23" customHeight="1">
      <c r="A14" s="13"/>
      <c r="B14" s="12"/>
      <c r="C14" s="12"/>
      <c r="D14" s="12"/>
      <c r="E14" s="12"/>
      <c r="F14" s="12"/>
      <c r="G14" s="12"/>
      <c r="H14" s="12"/>
      <c r="I14" s="12"/>
      <c r="J14" s="9"/>
      <c r="K14" s="12"/>
    </row>
    <row r="15" ht="23" customHeight="1">
      <c r="A15" s="7"/>
      <c r="B15" s="9"/>
      <c r="C15" s="9"/>
      <c r="D15" s="9"/>
      <c r="E15" s="9"/>
      <c r="F15" s="9"/>
      <c r="G15" s="9"/>
      <c r="H15" s="9"/>
      <c r="I15" s="9"/>
      <c r="J15" s="9"/>
      <c r="K15" s="9"/>
    </row>
    <row r="16" ht="23" customHeight="1">
      <c r="A16" t="s" s="4">
        <v>7</v>
      </c>
      <c r="B16" s="9"/>
      <c r="C16" s="9"/>
      <c r="D16" s="9"/>
      <c r="E16" s="9"/>
      <c r="F16" s="9"/>
      <c r="G16" s="9"/>
      <c r="H16" s="9"/>
      <c r="I16" s="9"/>
      <c r="J16" s="9"/>
      <c r="K16" t="s" s="6">
        <v>2</v>
      </c>
    </row>
    <row r="17" ht="23" customHeight="1">
      <c r="A17" s="7"/>
      <c r="B17" s="9"/>
      <c r="C17" s="9"/>
      <c r="D17" s="9"/>
      <c r="E17" s="9"/>
      <c r="F17" s="9"/>
      <c r="G17" s="9"/>
      <c r="H17" t="s" s="14">
        <v>8</v>
      </c>
      <c r="I17" t="s" s="14">
        <v>9</v>
      </c>
      <c r="J17" s="9"/>
      <c r="K17" s="9"/>
    </row>
    <row r="18" ht="23" customHeight="1">
      <c r="A18" t="s" s="10">
        <v>3</v>
      </c>
      <c r="B18" s="9"/>
      <c r="C18" s="9"/>
      <c r="D18" s="9"/>
      <c r="E18" s="9"/>
      <c r="F18" s="9"/>
      <c r="G18" s="9"/>
      <c r="H18" s="8">
        <v>65</v>
      </c>
      <c r="I18" s="8">
        <v>287</v>
      </c>
      <c r="J18" s="9"/>
      <c r="K18" s="8">
        <v>352</v>
      </c>
    </row>
    <row r="19" ht="23" customHeight="1">
      <c r="A19" t="s" s="10">
        <v>4</v>
      </c>
      <c r="B19" s="9"/>
      <c r="C19" s="9"/>
      <c r="D19" s="9"/>
      <c r="E19" s="9"/>
      <c r="F19" s="9"/>
      <c r="G19" s="9"/>
      <c r="H19" s="8">
        <v>10</v>
      </c>
      <c r="I19" s="8">
        <v>67</v>
      </c>
      <c r="J19" s="9"/>
      <c r="K19" s="8">
        <v>77</v>
      </c>
    </row>
    <row r="20" ht="23" customHeight="1">
      <c r="A20" t="s" s="11">
        <v>5</v>
      </c>
      <c r="B20" s="12"/>
      <c r="C20" s="12"/>
      <c r="D20" s="9"/>
      <c r="E20" s="9"/>
      <c r="F20" s="9"/>
      <c r="G20" s="9"/>
      <c r="H20" s="12">
        <f>H19/H18</f>
        <v>0.1538461538461539</v>
      </c>
      <c r="I20" s="12">
        <f>I19/I18</f>
        <v>0.2334494773519164</v>
      </c>
      <c r="J20" s="9"/>
      <c r="K20" s="12">
        <f>AVERAGE(K19/K18)</f>
        <v>0.21875</v>
      </c>
    </row>
    <row r="21" ht="23" customHeight="1">
      <c r="A21" s="13"/>
      <c r="B21" s="12"/>
      <c r="C21" s="12"/>
      <c r="D21" s="9"/>
      <c r="E21" s="9"/>
      <c r="F21" s="9"/>
      <c r="G21" s="9"/>
      <c r="H21" s="12"/>
      <c r="I21" s="12"/>
      <c r="J21" s="9"/>
      <c r="K21" s="9"/>
    </row>
    <row r="22" ht="23" customHeight="1">
      <c r="A22" s="7"/>
      <c r="B22" s="9"/>
      <c r="C22" s="9"/>
      <c r="D22" s="9"/>
      <c r="E22" s="9"/>
      <c r="F22" s="9"/>
      <c r="G22" s="9"/>
      <c r="H22" s="9"/>
      <c r="I22" s="9"/>
      <c r="J22" s="9"/>
      <c r="K22" s="15"/>
    </row>
    <row r="23" ht="23" customHeight="1">
      <c r="A23" t="s" s="16">
        <v>10</v>
      </c>
      <c r="B23" s="9"/>
      <c r="C23" s="9"/>
      <c r="D23" s="9"/>
      <c r="E23" s="9"/>
      <c r="F23" s="9"/>
      <c r="G23" s="9"/>
      <c r="H23" s="9"/>
      <c r="I23" s="9"/>
      <c r="J23" s="9"/>
      <c r="K23" t="s" s="6">
        <v>2</v>
      </c>
    </row>
    <row r="24" ht="23" customHeight="1">
      <c r="A24" s="13"/>
      <c r="B24" s="9"/>
      <c r="C24" s="9"/>
      <c r="D24" s="9"/>
      <c r="E24" s="9"/>
      <c r="F24" s="9"/>
      <c r="G24" s="8">
        <v>2014</v>
      </c>
      <c r="H24" s="8">
        <v>2015</v>
      </c>
      <c r="I24" s="8">
        <v>2016</v>
      </c>
      <c r="J24" s="9"/>
      <c r="K24" s="9"/>
    </row>
    <row r="25" ht="23" customHeight="1">
      <c r="A25" t="s" s="11">
        <v>3</v>
      </c>
      <c r="B25" s="9"/>
      <c r="C25" s="9"/>
      <c r="D25" s="9"/>
      <c r="E25" s="9"/>
      <c r="F25" s="9"/>
      <c r="G25" s="8">
        <v>20</v>
      </c>
      <c r="H25" s="8">
        <v>31</v>
      </c>
      <c r="I25" s="8">
        <v>34</v>
      </c>
      <c r="J25" s="9"/>
      <c r="K25" s="8">
        <v>85</v>
      </c>
    </row>
    <row r="26" ht="23" customHeight="1">
      <c r="A26" t="s" s="11">
        <v>4</v>
      </c>
      <c r="B26" s="9"/>
      <c r="C26" s="9"/>
      <c r="D26" s="9"/>
      <c r="E26" s="9"/>
      <c r="F26" s="9"/>
      <c r="G26" s="8">
        <v>0</v>
      </c>
      <c r="H26" s="8">
        <v>2</v>
      </c>
      <c r="I26" s="8">
        <v>0</v>
      </c>
      <c r="J26" s="9"/>
      <c r="K26" s="8">
        <v>2</v>
      </c>
    </row>
    <row r="27" ht="23" customHeight="1">
      <c r="A27" t="s" s="11">
        <v>5</v>
      </c>
      <c r="B27" s="12"/>
      <c r="C27" s="12"/>
      <c r="D27" s="12"/>
      <c r="E27" s="9"/>
      <c r="F27" s="9"/>
      <c r="G27" s="12">
        <f>G26/G25</f>
        <v>0</v>
      </c>
      <c r="H27" s="12">
        <f>H26/H25</f>
        <v>0.06451612903225806</v>
      </c>
      <c r="I27" s="12">
        <f>I26/I25</f>
        <v>0</v>
      </c>
      <c r="J27" s="9"/>
      <c r="K27" s="12">
        <f>AVERAGE(K26/K25)</f>
        <v>0.02352941176470588</v>
      </c>
    </row>
    <row r="28" ht="23" customHeight="1">
      <c r="A28" s="7"/>
      <c r="B28" s="12"/>
      <c r="C28" s="12"/>
      <c r="D28" s="12"/>
      <c r="E28" s="9"/>
      <c r="F28" s="9"/>
      <c r="G28" s="12"/>
      <c r="H28" s="12"/>
      <c r="I28" s="12"/>
      <c r="J28" s="9"/>
      <c r="K28" s="12"/>
    </row>
    <row r="29" ht="23" customHeight="1">
      <c r="A29" s="7"/>
      <c r="B29" s="5"/>
      <c r="C29" s="17"/>
      <c r="D29" s="18"/>
      <c r="E29" s="18"/>
      <c r="F29" s="18"/>
      <c r="G29" s="5"/>
      <c r="H29" s="5"/>
      <c r="I29" s="18"/>
      <c r="J29" s="18"/>
      <c r="K29" s="18"/>
    </row>
    <row r="30" ht="23" customHeight="1">
      <c r="A30" t="s" s="16">
        <v>11</v>
      </c>
      <c r="B30" s="5"/>
      <c r="C30" s="5"/>
      <c r="D30" s="5"/>
      <c r="E30" s="5"/>
      <c r="F30" s="5"/>
      <c r="G30" s="5"/>
      <c r="H30" s="5"/>
      <c r="I30" s="5"/>
      <c r="J30" s="5"/>
      <c r="K30" s="5"/>
    </row>
    <row r="31" ht="23" customHeight="1">
      <c r="A31" s="13"/>
      <c r="B31" s="19">
        <v>2009</v>
      </c>
      <c r="C31" s="19">
        <v>2010</v>
      </c>
      <c r="D31" s="19">
        <v>2011</v>
      </c>
      <c r="E31" s="19">
        <v>2012</v>
      </c>
      <c r="F31" s="19">
        <v>2013</v>
      </c>
      <c r="G31" s="19">
        <v>2014</v>
      </c>
      <c r="H31" s="19">
        <v>2015</v>
      </c>
      <c r="I31" s="19">
        <v>2016</v>
      </c>
      <c r="J31" s="5"/>
      <c r="K31" t="s" s="6">
        <v>12</v>
      </c>
    </row>
    <row r="32" ht="23" customHeight="1">
      <c r="A32" t="s" s="11">
        <v>3</v>
      </c>
      <c r="B32" s="19">
        <f>SUM(B4)</f>
        <v>51</v>
      </c>
      <c r="C32" s="19">
        <f>SUM(C4)</f>
        <v>253</v>
      </c>
      <c r="D32" s="19">
        <f>SUM(D4)</f>
        <v>445</v>
      </c>
      <c r="E32" s="19">
        <f>SUM(E4,E11)</f>
        <v>617</v>
      </c>
      <c r="F32" s="19">
        <f>SUM(F4,F11)</f>
        <v>586</v>
      </c>
      <c r="G32" s="19">
        <f>SUM(G25,G11,G4)</f>
        <v>725</v>
      </c>
      <c r="H32" s="19">
        <f>SUM(H25,H18,,H4,H11)</f>
        <v>752</v>
      </c>
      <c r="I32" s="19">
        <f>SUM(I25,I18,,I4,I11)</f>
        <v>878</v>
      </c>
      <c r="J32" s="5"/>
      <c r="K32" s="8">
        <f>SUM(B32:I32)</f>
        <v>4307</v>
      </c>
    </row>
    <row r="33" ht="23" customHeight="1">
      <c r="A33" t="s" s="11">
        <v>4</v>
      </c>
      <c r="B33" s="19">
        <f>SUM(B5)</f>
        <v>1</v>
      </c>
      <c r="C33" s="19">
        <f>SUM(C5)</f>
        <v>23</v>
      </c>
      <c r="D33" s="19">
        <f>SUM(D5)</f>
        <v>49</v>
      </c>
      <c r="E33" s="19">
        <f>SUM(E5,E12)</f>
        <v>68</v>
      </c>
      <c r="F33" s="19">
        <f>SUM(F5,F12)</f>
        <v>67</v>
      </c>
      <c r="G33" s="19">
        <f>SUM(G26,G12,G5)</f>
        <v>119</v>
      </c>
      <c r="H33" s="19">
        <f>SUM(H26,H19,,H5,H12)</f>
        <v>129</v>
      </c>
      <c r="I33" s="19">
        <f>SUM(I26,I19,,I5,I12)</f>
        <v>172</v>
      </c>
      <c r="J33" s="5"/>
      <c r="K33" s="8">
        <f>SUM(B33:I33)</f>
        <v>628</v>
      </c>
    </row>
    <row r="34" ht="23" customHeight="1">
      <c r="A34" t="s" s="11">
        <v>5</v>
      </c>
      <c r="B34" s="18">
        <f>B33/B32</f>
        <v>0.0196078431372549</v>
      </c>
      <c r="C34" s="18">
        <f>C33/C32</f>
        <v>0.09090909090909091</v>
      </c>
      <c r="D34" s="18">
        <f>D33/D32</f>
        <v>0.1101123595505618</v>
      </c>
      <c r="E34" s="18">
        <f>E33/E32</f>
        <v>0.1102106969205835</v>
      </c>
      <c r="F34" s="18">
        <f>F33/F32</f>
        <v>0.1143344709897611</v>
      </c>
      <c r="G34" s="18">
        <f>G33/G32</f>
        <v>0.1641379310344828</v>
      </c>
      <c r="H34" s="18">
        <f>H33/H32</f>
        <v>0.1715425531914894</v>
      </c>
      <c r="I34" s="18">
        <f>I33/I32</f>
        <v>0.1958997722095672</v>
      </c>
      <c r="J34" s="5"/>
      <c r="K34" s="12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L28"/>
  <sheetViews>
    <sheetView workbookViewId="0" showGridLines="0" defaultGridColor="1"/>
  </sheetViews>
  <sheetFormatPr defaultColWidth="19.6" defaultRowHeight="18" customHeight="1" outlineLevelRow="0" outlineLevelCol="0"/>
  <cols>
    <col min="1" max="1" width="19.6016" style="20" customWidth="1"/>
    <col min="2" max="2" width="19.6016" style="20" customWidth="1"/>
    <col min="3" max="3" width="19.6016" style="20" customWidth="1"/>
    <col min="4" max="4" width="19.6016" style="20" customWidth="1"/>
    <col min="5" max="5" width="19.6016" style="20" customWidth="1"/>
    <col min="6" max="6" width="19.6016" style="20" customWidth="1"/>
    <col min="7" max="7" width="19.6016" style="20" customWidth="1"/>
    <col min="8" max="8" width="19.6016" style="20" customWidth="1"/>
    <col min="9" max="9" width="19.6016" style="20" customWidth="1"/>
    <col min="10" max="10" width="19.6016" style="20" customWidth="1"/>
    <col min="11" max="11" width="19.6016" style="20" customWidth="1"/>
    <col min="12" max="12" width="19.6016" style="20" customWidth="1"/>
    <col min="13" max="256" width="19.6016" style="20" customWidth="1"/>
  </cols>
  <sheetData>
    <row r="1" ht="23" customHeight="1">
      <c r="A1" t="s" s="21">
        <v>11</v>
      </c>
      <c r="B1" s="22"/>
      <c r="C1" s="22"/>
      <c r="D1" s="22"/>
      <c r="E1" s="22"/>
      <c r="F1" s="22"/>
      <c r="G1" s="22"/>
      <c r="H1" s="22"/>
      <c r="I1" s="22"/>
      <c r="J1" s="22"/>
      <c r="K1" t="s" s="23">
        <v>2</v>
      </c>
      <c r="L1" s="22"/>
    </row>
    <row r="2" ht="21" customHeight="1">
      <c r="A2" s="24"/>
      <c r="B2" s="25">
        <v>2001</v>
      </c>
      <c r="C2" s="25">
        <v>2002</v>
      </c>
      <c r="D2" s="25">
        <v>2003</v>
      </c>
      <c r="E2" s="25">
        <v>2004</v>
      </c>
      <c r="F2" s="25">
        <v>2005</v>
      </c>
      <c r="G2" s="25">
        <v>2006</v>
      </c>
      <c r="H2" s="25">
        <v>2007</v>
      </c>
      <c r="I2" s="25">
        <v>2008</v>
      </c>
      <c r="J2" s="26"/>
      <c r="K2" t="s" s="27">
        <v>5</v>
      </c>
      <c r="L2" s="28">
        <f>L4/L3</f>
        <v>0.005050505050505051</v>
      </c>
    </row>
    <row r="3" ht="21" customHeight="1">
      <c r="A3" t="s" s="29">
        <v>13</v>
      </c>
      <c r="B3" s="25">
        <v>4</v>
      </c>
      <c r="C3" s="25">
        <v>1</v>
      </c>
      <c r="D3" s="25">
        <v>33</v>
      </c>
      <c r="E3" s="25">
        <v>29</v>
      </c>
      <c r="F3" s="25">
        <v>91</v>
      </c>
      <c r="G3" s="25">
        <v>128</v>
      </c>
      <c r="H3" s="25">
        <v>173</v>
      </c>
      <c r="I3" s="25">
        <v>135</v>
      </c>
      <c r="J3" s="26"/>
      <c r="K3" t="s" s="27">
        <v>14</v>
      </c>
      <c r="L3" s="25">
        <v>594</v>
      </c>
    </row>
    <row r="4" ht="21" customHeight="1">
      <c r="A4" t="s" s="29">
        <v>15</v>
      </c>
      <c r="B4" s="25">
        <v>0</v>
      </c>
      <c r="C4" s="25">
        <v>0</v>
      </c>
      <c r="D4" s="25">
        <v>0</v>
      </c>
      <c r="E4" s="25">
        <v>0</v>
      </c>
      <c r="F4" s="25">
        <v>2</v>
      </c>
      <c r="G4" s="25">
        <v>0</v>
      </c>
      <c r="H4" s="25">
        <v>1</v>
      </c>
      <c r="I4" s="25">
        <v>0</v>
      </c>
      <c r="J4" s="26"/>
      <c r="K4" t="s" s="27">
        <v>16</v>
      </c>
      <c r="L4" s="25">
        <v>3</v>
      </c>
    </row>
    <row r="5" ht="21" customHeight="1">
      <c r="A5" t="s" s="29">
        <v>5</v>
      </c>
      <c r="B5" s="28"/>
      <c r="C5" s="28"/>
      <c r="D5" s="28"/>
      <c r="E5" s="28"/>
      <c r="F5" s="28">
        <f>F4/F3</f>
        <v>0.02197802197802198</v>
      </c>
      <c r="G5" s="28"/>
      <c r="H5" s="28">
        <f>H4/H3</f>
        <v>0.005780346820809248</v>
      </c>
      <c r="I5" s="28"/>
      <c r="J5" s="26"/>
      <c r="K5" s="26"/>
      <c r="L5" s="26"/>
    </row>
    <row r="6" ht="21" customHeight="1">
      <c r="A6" s="24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</row>
    <row r="7" ht="21" customHeight="1">
      <c r="A7" t="s" s="30">
        <v>17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</row>
    <row r="8" ht="21" customHeight="1">
      <c r="A8" s="24"/>
      <c r="B8" s="25">
        <v>2001</v>
      </c>
      <c r="C8" s="25">
        <v>2002</v>
      </c>
      <c r="D8" s="25">
        <v>2003</v>
      </c>
      <c r="E8" s="25">
        <v>2004</v>
      </c>
      <c r="F8" s="25">
        <v>2005</v>
      </c>
      <c r="G8" s="25">
        <v>2006</v>
      </c>
      <c r="H8" s="25">
        <v>2007</v>
      </c>
      <c r="I8" s="25">
        <v>2008</v>
      </c>
      <c r="J8" s="26"/>
      <c r="K8" s="26"/>
      <c r="L8" s="26"/>
    </row>
    <row r="9" ht="21" customHeight="1">
      <c r="A9" t="s" s="29">
        <v>13</v>
      </c>
      <c r="B9" s="25">
        <v>1</v>
      </c>
      <c r="C9" s="25">
        <v>1</v>
      </c>
      <c r="D9" s="25">
        <v>3</v>
      </c>
      <c r="E9" s="25">
        <v>9</v>
      </c>
      <c r="F9" s="25">
        <v>27</v>
      </c>
      <c r="G9" s="25">
        <v>50</v>
      </c>
      <c r="H9" s="25">
        <v>82</v>
      </c>
      <c r="I9" s="25">
        <v>64</v>
      </c>
      <c r="J9" s="26"/>
      <c r="K9" s="26"/>
      <c r="L9" s="26"/>
    </row>
    <row r="10" ht="21" customHeight="1">
      <c r="A10" t="s" s="29">
        <v>15</v>
      </c>
      <c r="B10" s="25">
        <v>0</v>
      </c>
      <c r="C10" s="25">
        <v>0</v>
      </c>
      <c r="D10" s="25">
        <v>0</v>
      </c>
      <c r="E10" s="25">
        <v>0</v>
      </c>
      <c r="F10" s="25">
        <v>1</v>
      </c>
      <c r="G10" s="25">
        <v>0</v>
      </c>
      <c r="H10" s="25">
        <v>1</v>
      </c>
      <c r="I10" s="25">
        <v>0</v>
      </c>
      <c r="J10" s="26"/>
      <c r="K10" s="26"/>
      <c r="L10" s="26"/>
    </row>
    <row r="11" ht="21" customHeight="1">
      <c r="A11" t="s" s="29">
        <v>5</v>
      </c>
      <c r="B11" s="28"/>
      <c r="C11" s="28"/>
      <c r="D11" s="28"/>
      <c r="E11" s="28"/>
      <c r="F11" s="28">
        <f>F10/F9</f>
        <v>0.03703703703703703</v>
      </c>
      <c r="G11" s="28"/>
      <c r="H11" s="28">
        <f>H10/H9</f>
        <v>0.01219512195121951</v>
      </c>
      <c r="I11" s="28"/>
      <c r="J11" s="26"/>
      <c r="K11" s="26"/>
      <c r="L11" s="26"/>
    </row>
    <row r="12" ht="21" customHeight="1">
      <c r="A12" s="24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</row>
    <row r="13" ht="21" customHeight="1">
      <c r="A13" t="s" s="30">
        <v>18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</row>
    <row r="14" ht="21" customHeight="1">
      <c r="A14" s="24"/>
      <c r="B14" s="25">
        <v>2001</v>
      </c>
      <c r="C14" s="25">
        <v>2002</v>
      </c>
      <c r="D14" s="25">
        <v>2003</v>
      </c>
      <c r="E14" s="25">
        <v>2004</v>
      </c>
      <c r="F14" s="25">
        <v>2005</v>
      </c>
      <c r="G14" s="25">
        <v>2006</v>
      </c>
      <c r="H14" s="25">
        <v>2007</v>
      </c>
      <c r="I14" s="25">
        <v>2008</v>
      </c>
      <c r="J14" s="26"/>
      <c r="K14" s="26"/>
      <c r="L14" s="26"/>
    </row>
    <row r="15" ht="21" customHeight="1">
      <c r="A15" t="s" s="29">
        <v>13</v>
      </c>
      <c r="B15" s="25">
        <v>1</v>
      </c>
      <c r="C15" s="25">
        <v>0</v>
      </c>
      <c r="D15" s="25">
        <v>1</v>
      </c>
      <c r="E15" s="25">
        <v>3</v>
      </c>
      <c r="F15" s="25">
        <v>17</v>
      </c>
      <c r="G15" s="25">
        <v>23</v>
      </c>
      <c r="H15" s="25">
        <v>40</v>
      </c>
      <c r="I15" s="25">
        <v>34</v>
      </c>
      <c r="J15" s="26"/>
      <c r="K15" s="26"/>
      <c r="L15" s="26"/>
    </row>
    <row r="16" ht="21" customHeight="1">
      <c r="A16" t="s" s="29">
        <v>15</v>
      </c>
      <c r="B16" s="25">
        <v>0</v>
      </c>
      <c r="C16" s="25">
        <v>0</v>
      </c>
      <c r="D16" s="25">
        <v>0</v>
      </c>
      <c r="E16" s="25">
        <v>0</v>
      </c>
      <c r="F16" s="25">
        <v>1</v>
      </c>
      <c r="G16" s="25">
        <v>0</v>
      </c>
      <c r="H16" s="25">
        <v>0</v>
      </c>
      <c r="I16" s="25">
        <v>0</v>
      </c>
      <c r="J16" s="26"/>
      <c r="K16" s="26"/>
      <c r="L16" s="26"/>
    </row>
    <row r="17" ht="21" customHeight="1">
      <c r="A17" t="s" s="29">
        <v>5</v>
      </c>
      <c r="B17" s="28"/>
      <c r="C17" s="28"/>
      <c r="D17" s="28"/>
      <c r="E17" s="28"/>
      <c r="F17" s="28">
        <f>F16/F15</f>
        <v>0.05882352941176471</v>
      </c>
      <c r="G17" s="28"/>
      <c r="H17" s="28"/>
      <c r="I17" s="28"/>
      <c r="J17" s="26"/>
      <c r="K17" s="26"/>
      <c r="L17" s="26"/>
    </row>
    <row r="18" ht="21" customHeight="1">
      <c r="A18" s="24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</row>
    <row r="19" ht="21" customHeight="1">
      <c r="A19" t="s" s="30">
        <v>19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</row>
    <row r="20" ht="21" customHeight="1">
      <c r="A20" s="24"/>
      <c r="B20" s="25">
        <v>2001</v>
      </c>
      <c r="C20" s="25">
        <v>2002</v>
      </c>
      <c r="D20" s="25">
        <v>2003</v>
      </c>
      <c r="E20" s="25">
        <v>2004</v>
      </c>
      <c r="F20" s="25">
        <v>2005</v>
      </c>
      <c r="G20" s="25">
        <v>2006</v>
      </c>
      <c r="H20" s="25">
        <v>2007</v>
      </c>
      <c r="I20" s="25">
        <v>2008</v>
      </c>
      <c r="J20" s="26"/>
      <c r="K20" s="26"/>
      <c r="L20" s="26"/>
    </row>
    <row r="21" ht="21" customHeight="1">
      <c r="A21" t="s" s="29">
        <v>13</v>
      </c>
      <c r="B21" s="25">
        <v>2</v>
      </c>
      <c r="C21" s="25">
        <v>0</v>
      </c>
      <c r="D21" s="25">
        <v>27</v>
      </c>
      <c r="E21" s="25">
        <v>14</v>
      </c>
      <c r="F21" s="25">
        <v>47</v>
      </c>
      <c r="G21" s="25">
        <v>51</v>
      </c>
      <c r="H21" s="25">
        <v>49</v>
      </c>
      <c r="I21" s="25">
        <v>37</v>
      </c>
      <c r="J21" s="26"/>
      <c r="K21" s="26"/>
      <c r="L21" s="26"/>
    </row>
    <row r="22" ht="21" customHeight="1">
      <c r="A22" t="s" s="29">
        <v>15</v>
      </c>
      <c r="B22" s="25">
        <v>0</v>
      </c>
      <c r="C22" s="25">
        <v>0</v>
      </c>
      <c r="D22" s="25">
        <v>0</v>
      </c>
      <c r="E22" s="25">
        <v>0</v>
      </c>
      <c r="F22" s="25">
        <v>0</v>
      </c>
      <c r="G22" s="25">
        <v>0</v>
      </c>
      <c r="H22" s="25">
        <v>0</v>
      </c>
      <c r="I22" s="25">
        <v>0</v>
      </c>
      <c r="J22" s="26"/>
      <c r="K22" s="26"/>
      <c r="L22" s="26"/>
    </row>
    <row r="23" ht="21" customHeight="1">
      <c r="A23" s="24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</row>
    <row r="24" ht="21" customHeight="1">
      <c r="A24" s="24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</row>
    <row r="25" ht="21" customHeight="1">
      <c r="A25" t="s" s="30">
        <v>20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</row>
    <row r="26" ht="21" customHeight="1">
      <c r="A26" s="24"/>
      <c r="B26" s="25">
        <v>2001</v>
      </c>
      <c r="C26" s="25">
        <v>2002</v>
      </c>
      <c r="D26" s="25">
        <v>2003</v>
      </c>
      <c r="E26" s="25">
        <v>2004</v>
      </c>
      <c r="F26" s="25">
        <v>2005</v>
      </c>
      <c r="G26" s="25">
        <v>2006</v>
      </c>
      <c r="H26" s="25">
        <v>2007</v>
      </c>
      <c r="I26" s="25">
        <v>2008</v>
      </c>
      <c r="J26" s="26"/>
      <c r="K26" s="26"/>
      <c r="L26" s="26"/>
    </row>
    <row r="27" ht="21" customHeight="1">
      <c r="A27" t="s" s="29">
        <v>13</v>
      </c>
      <c r="B27" s="25">
        <v>0</v>
      </c>
      <c r="C27" s="25">
        <v>0</v>
      </c>
      <c r="D27" s="25">
        <v>2</v>
      </c>
      <c r="E27" s="25">
        <v>3</v>
      </c>
      <c r="F27" s="25">
        <v>0</v>
      </c>
      <c r="G27" s="25">
        <v>4</v>
      </c>
      <c r="H27" s="25">
        <v>2</v>
      </c>
      <c r="I27" s="25">
        <v>0</v>
      </c>
      <c r="J27" s="26"/>
      <c r="K27" s="26"/>
      <c r="L27" s="26"/>
    </row>
    <row r="28" ht="21" customHeight="1">
      <c r="A28" t="s" s="29">
        <v>15</v>
      </c>
      <c r="B28" s="25">
        <v>0</v>
      </c>
      <c r="C28" s="25">
        <v>0</v>
      </c>
      <c r="D28" s="25">
        <v>0</v>
      </c>
      <c r="E28" s="25">
        <v>0</v>
      </c>
      <c r="F28" s="25">
        <v>0</v>
      </c>
      <c r="G28" s="25">
        <v>0</v>
      </c>
      <c r="H28" s="25">
        <v>0</v>
      </c>
      <c r="I28" s="25">
        <v>0</v>
      </c>
      <c r="J28" s="26"/>
      <c r="K28" s="26"/>
      <c r="L28" s="2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P28"/>
  <sheetViews>
    <sheetView workbookViewId="0" showGridLines="0" defaultGridColor="1"/>
  </sheetViews>
  <sheetFormatPr defaultColWidth="19.6" defaultRowHeight="18" customHeight="1" outlineLevelRow="0" outlineLevelCol="0"/>
  <cols>
    <col min="1" max="1" width="19.6016" style="31" customWidth="1"/>
    <col min="2" max="2" width="19.6016" style="31" customWidth="1"/>
    <col min="3" max="3" width="19.6016" style="31" customWidth="1"/>
    <col min="4" max="4" width="19.6016" style="31" customWidth="1"/>
    <col min="5" max="5" width="19.6016" style="31" customWidth="1"/>
    <col min="6" max="6" width="19.6016" style="31" customWidth="1"/>
    <col min="7" max="7" width="19.6016" style="31" customWidth="1"/>
    <col min="8" max="8" width="19.6016" style="31" customWidth="1"/>
    <col min="9" max="9" width="19.6016" style="31" customWidth="1"/>
    <col min="10" max="10" width="19.6016" style="31" customWidth="1"/>
    <col min="11" max="11" width="19.6016" style="31" customWidth="1"/>
    <col min="12" max="12" width="19.6016" style="31" customWidth="1"/>
    <col min="13" max="13" width="19.6016" style="31" customWidth="1"/>
    <col min="14" max="14" width="19.6016" style="31" customWidth="1"/>
    <col min="15" max="15" width="19.6016" style="31" customWidth="1"/>
    <col min="16" max="16" width="19.6016" style="31" customWidth="1"/>
    <col min="17" max="256" width="19.6016" style="31" customWidth="1"/>
  </cols>
  <sheetData>
    <row r="1" ht="23" customHeight="1">
      <c r="A1" t="s" s="21">
        <v>11</v>
      </c>
      <c r="B1" s="32"/>
      <c r="C1" s="32"/>
      <c r="D1" s="32"/>
      <c r="E1" s="32"/>
      <c r="F1" s="32"/>
      <c r="G1" s="32"/>
      <c r="H1" s="32"/>
      <c r="I1" s="32"/>
      <c r="J1" s="22"/>
      <c r="K1" s="22"/>
      <c r="L1" s="22"/>
      <c r="M1" s="22"/>
      <c r="N1" s="22"/>
      <c r="O1" t="s" s="23">
        <v>2</v>
      </c>
      <c r="P1" s="22"/>
    </row>
    <row r="2" ht="21" customHeight="1">
      <c r="A2" s="33"/>
      <c r="B2" s="25">
        <v>1999</v>
      </c>
      <c r="C2" s="25">
        <v>2000</v>
      </c>
      <c r="D2" s="25">
        <v>2001</v>
      </c>
      <c r="E2" s="25">
        <v>2002</v>
      </c>
      <c r="F2" s="25">
        <v>2003</v>
      </c>
      <c r="G2" s="25">
        <v>2004</v>
      </c>
      <c r="H2" s="25">
        <v>2005</v>
      </c>
      <c r="I2" s="25">
        <v>2006</v>
      </c>
      <c r="J2" s="25">
        <v>2007</v>
      </c>
      <c r="K2" s="25">
        <v>2008</v>
      </c>
      <c r="L2" s="25">
        <v>2009</v>
      </c>
      <c r="M2" s="25">
        <v>2010</v>
      </c>
      <c r="N2" s="26"/>
      <c r="O2" t="s" s="27">
        <v>5</v>
      </c>
      <c r="P2" s="28">
        <f>P4/P3</f>
        <v>0.009162303664921465</v>
      </c>
    </row>
    <row r="3" ht="23" customHeight="1">
      <c r="A3" t="s" s="34">
        <v>13</v>
      </c>
      <c r="B3" s="35">
        <v>10</v>
      </c>
      <c r="C3" s="35">
        <v>15</v>
      </c>
      <c r="D3" s="35">
        <v>50</v>
      </c>
      <c r="E3" s="35">
        <v>86</v>
      </c>
      <c r="F3" s="35">
        <v>66</v>
      </c>
      <c r="G3" s="35">
        <v>78</v>
      </c>
      <c r="H3" s="35">
        <v>63</v>
      </c>
      <c r="I3" s="35">
        <v>148</v>
      </c>
      <c r="J3" s="35">
        <v>154</v>
      </c>
      <c r="K3" s="35">
        <v>67</v>
      </c>
      <c r="L3" s="35">
        <v>9</v>
      </c>
      <c r="M3" s="35">
        <v>18</v>
      </c>
      <c r="N3" s="26"/>
      <c r="O3" t="s" s="27">
        <v>14</v>
      </c>
      <c r="P3" s="25">
        <v>764</v>
      </c>
    </row>
    <row r="4" ht="23" customHeight="1">
      <c r="A4" t="s" s="34">
        <v>15</v>
      </c>
      <c r="B4" s="35">
        <v>1</v>
      </c>
      <c r="C4" s="35">
        <v>0</v>
      </c>
      <c r="D4" s="35">
        <v>0</v>
      </c>
      <c r="E4" s="35">
        <v>3</v>
      </c>
      <c r="F4" s="35">
        <v>2</v>
      </c>
      <c r="G4" s="35">
        <v>0</v>
      </c>
      <c r="H4" s="35">
        <v>0</v>
      </c>
      <c r="I4" s="35">
        <v>1</v>
      </c>
      <c r="J4" s="35">
        <v>0</v>
      </c>
      <c r="K4" s="35">
        <v>0</v>
      </c>
      <c r="L4" s="35">
        <v>0</v>
      </c>
      <c r="M4" s="35">
        <v>0</v>
      </c>
      <c r="N4" s="26"/>
      <c r="O4" t="s" s="27">
        <v>16</v>
      </c>
      <c r="P4" s="25">
        <v>7</v>
      </c>
    </row>
    <row r="5" ht="23" customHeight="1">
      <c r="A5" t="s" s="34">
        <v>5</v>
      </c>
      <c r="B5" s="36">
        <f>B4/B3</f>
        <v>0.1</v>
      </c>
      <c r="C5" s="36"/>
      <c r="D5" s="36"/>
      <c r="E5" s="36">
        <f>E4/E3</f>
        <v>0.03488372093023256</v>
      </c>
      <c r="F5" s="36">
        <f>F4/F3</f>
        <v>0.0303030303030303</v>
      </c>
      <c r="G5" s="36"/>
      <c r="H5" s="36"/>
      <c r="I5" s="36">
        <f>I4/I3</f>
        <v>0.006756756756756757</v>
      </c>
      <c r="J5" s="28"/>
      <c r="K5" s="28"/>
      <c r="L5" s="28"/>
      <c r="M5" s="28"/>
      <c r="N5" s="26"/>
      <c r="O5" s="26"/>
      <c r="P5" s="26"/>
    </row>
    <row r="6" ht="23" customHeight="1">
      <c r="A6" s="37"/>
      <c r="B6" s="38"/>
      <c r="C6" s="38"/>
      <c r="D6" s="38"/>
      <c r="E6" s="38"/>
      <c r="F6" s="38"/>
      <c r="G6" s="38"/>
      <c r="H6" s="38"/>
      <c r="I6" s="38"/>
      <c r="J6" s="26"/>
      <c r="K6" s="26"/>
      <c r="L6" s="26"/>
      <c r="M6" s="26"/>
      <c r="N6" s="26"/>
      <c r="O6" s="26"/>
      <c r="P6" s="26"/>
    </row>
    <row r="7" ht="21" customHeight="1">
      <c r="A7" t="s" s="30">
        <v>17</v>
      </c>
      <c r="B7" s="38"/>
      <c r="C7" s="38"/>
      <c r="D7" s="38"/>
      <c r="E7" s="38"/>
      <c r="F7" s="38"/>
      <c r="G7" s="38"/>
      <c r="H7" s="38"/>
      <c r="I7" s="38"/>
      <c r="J7" s="26"/>
      <c r="K7" s="26"/>
      <c r="L7" s="26"/>
      <c r="M7" s="26"/>
      <c r="N7" s="26"/>
      <c r="O7" s="26"/>
      <c r="P7" s="26"/>
    </row>
    <row r="8" ht="21" customHeight="1">
      <c r="A8" s="33"/>
      <c r="B8" s="25">
        <v>1999</v>
      </c>
      <c r="C8" s="25">
        <v>2000</v>
      </c>
      <c r="D8" s="25">
        <v>2001</v>
      </c>
      <c r="E8" s="25">
        <v>2002</v>
      </c>
      <c r="F8" s="25">
        <v>2003</v>
      </c>
      <c r="G8" s="25">
        <v>2004</v>
      </c>
      <c r="H8" s="25">
        <v>2005</v>
      </c>
      <c r="I8" s="25">
        <v>2006</v>
      </c>
      <c r="J8" s="25">
        <v>2007</v>
      </c>
      <c r="K8" s="25">
        <v>2008</v>
      </c>
      <c r="L8" s="25">
        <v>2009</v>
      </c>
      <c r="M8" s="25">
        <v>2010</v>
      </c>
      <c r="N8" s="26"/>
      <c r="O8" s="26"/>
      <c r="P8" s="26"/>
    </row>
    <row r="9" ht="21" customHeight="1">
      <c r="A9" t="s" s="39">
        <v>13</v>
      </c>
      <c r="B9" s="35">
        <v>0</v>
      </c>
      <c r="C9" s="35">
        <v>10</v>
      </c>
      <c r="D9" s="35">
        <v>31</v>
      </c>
      <c r="E9" s="35">
        <v>52</v>
      </c>
      <c r="F9" s="35">
        <v>44</v>
      </c>
      <c r="G9" s="35">
        <v>30</v>
      </c>
      <c r="H9" s="35">
        <v>26</v>
      </c>
      <c r="I9" s="35">
        <v>98</v>
      </c>
      <c r="J9" s="35">
        <v>79</v>
      </c>
      <c r="K9" s="35">
        <v>42</v>
      </c>
      <c r="L9" s="35">
        <v>4</v>
      </c>
      <c r="M9" s="35">
        <v>12</v>
      </c>
      <c r="N9" s="26"/>
      <c r="O9" s="26"/>
      <c r="P9" s="26"/>
    </row>
    <row r="10" ht="21" customHeight="1">
      <c r="A10" t="s" s="39">
        <v>15</v>
      </c>
      <c r="B10" s="35">
        <v>0</v>
      </c>
      <c r="C10" s="35">
        <v>0</v>
      </c>
      <c r="D10" s="35">
        <v>0</v>
      </c>
      <c r="E10" s="35">
        <v>3</v>
      </c>
      <c r="F10" s="35">
        <v>0</v>
      </c>
      <c r="G10" s="35">
        <v>0</v>
      </c>
      <c r="H10" s="35">
        <v>0</v>
      </c>
      <c r="I10" s="35">
        <v>1</v>
      </c>
      <c r="J10" s="35">
        <v>0</v>
      </c>
      <c r="K10" s="35">
        <v>0</v>
      </c>
      <c r="L10" s="35">
        <v>0</v>
      </c>
      <c r="M10" s="35">
        <v>0</v>
      </c>
      <c r="N10" s="26"/>
      <c r="O10" s="26"/>
      <c r="P10" s="26"/>
    </row>
    <row r="11" ht="23" customHeight="1">
      <c r="A11" t="s" s="34">
        <v>5</v>
      </c>
      <c r="B11" s="36"/>
      <c r="C11" s="36"/>
      <c r="D11" s="36"/>
      <c r="E11" s="36">
        <f>E10/E9</f>
        <v>0.0576923076923077</v>
      </c>
      <c r="F11" s="36"/>
      <c r="G11" s="36"/>
      <c r="H11" s="36"/>
      <c r="I11" s="36">
        <f>I10/I9</f>
        <v>0.01020408163265306</v>
      </c>
      <c r="J11" s="28"/>
      <c r="K11" s="28"/>
      <c r="L11" s="28"/>
      <c r="M11" s="28"/>
      <c r="N11" s="26"/>
      <c r="O11" s="26"/>
      <c r="P11" s="26"/>
    </row>
    <row r="12" ht="23" customHeight="1">
      <c r="A12" s="37"/>
      <c r="B12" s="38"/>
      <c r="C12" s="38"/>
      <c r="D12" s="38"/>
      <c r="E12" s="38"/>
      <c r="F12" s="38"/>
      <c r="G12" s="38"/>
      <c r="H12" s="38"/>
      <c r="I12" s="38"/>
      <c r="J12" s="26"/>
      <c r="K12" s="26"/>
      <c r="L12" s="26"/>
      <c r="M12" s="26"/>
      <c r="N12" s="26"/>
      <c r="O12" s="26"/>
      <c r="P12" s="26"/>
    </row>
    <row r="13" ht="21" customHeight="1">
      <c r="A13" t="s" s="30">
        <v>18</v>
      </c>
      <c r="B13" s="38"/>
      <c r="C13" s="38"/>
      <c r="D13" s="38"/>
      <c r="E13" s="38"/>
      <c r="F13" s="38"/>
      <c r="G13" s="38"/>
      <c r="H13" s="38"/>
      <c r="I13" s="38"/>
      <c r="J13" s="26"/>
      <c r="K13" s="26"/>
      <c r="L13" s="26"/>
      <c r="M13" s="26"/>
      <c r="N13" s="26"/>
      <c r="O13" s="26"/>
      <c r="P13" s="26"/>
    </row>
    <row r="14" ht="21" customHeight="1">
      <c r="A14" s="33"/>
      <c r="B14" s="25">
        <v>1999</v>
      </c>
      <c r="C14" s="25">
        <v>2000</v>
      </c>
      <c r="D14" s="25">
        <v>2001</v>
      </c>
      <c r="E14" s="25">
        <v>2002</v>
      </c>
      <c r="F14" s="25">
        <v>2003</v>
      </c>
      <c r="G14" s="25">
        <v>2004</v>
      </c>
      <c r="H14" s="25">
        <v>2005</v>
      </c>
      <c r="I14" s="25">
        <v>2006</v>
      </c>
      <c r="J14" s="25">
        <v>2007</v>
      </c>
      <c r="K14" s="25">
        <v>2008</v>
      </c>
      <c r="L14" s="25">
        <v>2009</v>
      </c>
      <c r="M14" s="25">
        <v>2010</v>
      </c>
      <c r="N14" s="26"/>
      <c r="O14" s="26"/>
      <c r="P14" s="26"/>
    </row>
    <row r="15" ht="21" customHeight="1">
      <c r="A15" t="s" s="39">
        <v>13</v>
      </c>
      <c r="B15" s="35">
        <v>1</v>
      </c>
      <c r="C15" s="35">
        <v>0</v>
      </c>
      <c r="D15" s="35">
        <v>2</v>
      </c>
      <c r="E15" s="35">
        <v>19</v>
      </c>
      <c r="F15" s="35">
        <v>4</v>
      </c>
      <c r="G15" s="35">
        <v>9</v>
      </c>
      <c r="H15" s="35">
        <v>4</v>
      </c>
      <c r="I15" s="35">
        <v>11</v>
      </c>
      <c r="J15" s="35">
        <v>12</v>
      </c>
      <c r="K15" s="35">
        <v>7</v>
      </c>
      <c r="L15" s="35">
        <v>1</v>
      </c>
      <c r="M15" s="35">
        <v>4</v>
      </c>
      <c r="N15" s="26"/>
      <c r="O15" s="26"/>
      <c r="P15" s="26"/>
    </row>
    <row r="16" ht="21" customHeight="1">
      <c r="A16" t="s" s="39">
        <v>15</v>
      </c>
      <c r="B16" s="35">
        <v>1</v>
      </c>
      <c r="C16" s="35">
        <v>0</v>
      </c>
      <c r="D16" s="35">
        <v>0</v>
      </c>
      <c r="E16" s="35">
        <v>0</v>
      </c>
      <c r="F16" s="35">
        <v>1</v>
      </c>
      <c r="G16" s="35">
        <v>0</v>
      </c>
      <c r="H16" s="35">
        <v>0</v>
      </c>
      <c r="I16" s="35">
        <v>0</v>
      </c>
      <c r="J16" s="35">
        <v>0</v>
      </c>
      <c r="K16" s="35">
        <v>0</v>
      </c>
      <c r="L16" s="35">
        <v>0</v>
      </c>
      <c r="M16" s="35">
        <v>0</v>
      </c>
      <c r="N16" s="26"/>
      <c r="O16" s="26"/>
      <c r="P16" s="26"/>
    </row>
    <row r="17" ht="23" customHeight="1">
      <c r="A17" t="s" s="34">
        <v>5</v>
      </c>
      <c r="B17" s="36">
        <f>B16/B15</f>
        <v>1</v>
      </c>
      <c r="C17" s="36"/>
      <c r="D17" s="36"/>
      <c r="E17" s="36"/>
      <c r="F17" s="36">
        <f>F16/F15</f>
        <v>0.25</v>
      </c>
      <c r="G17" s="36"/>
      <c r="H17" s="36"/>
      <c r="I17" s="36"/>
      <c r="J17" s="28"/>
      <c r="K17" s="28"/>
      <c r="L17" s="28"/>
      <c r="M17" s="28"/>
      <c r="N17" s="26"/>
      <c r="O17" s="26"/>
      <c r="P17" s="26"/>
    </row>
    <row r="18" ht="23" customHeight="1">
      <c r="A18" s="37"/>
      <c r="B18" s="38"/>
      <c r="C18" s="38"/>
      <c r="D18" s="38"/>
      <c r="E18" s="38"/>
      <c r="F18" s="38"/>
      <c r="G18" s="38"/>
      <c r="H18" s="38"/>
      <c r="I18" s="38"/>
      <c r="J18" s="26"/>
      <c r="K18" s="26"/>
      <c r="L18" s="26"/>
      <c r="M18" s="26"/>
      <c r="N18" s="26"/>
      <c r="O18" s="26"/>
      <c r="P18" s="26"/>
    </row>
    <row r="19" ht="21" customHeight="1">
      <c r="A19" t="s" s="30">
        <v>19</v>
      </c>
      <c r="B19" s="38"/>
      <c r="C19" s="38"/>
      <c r="D19" s="38"/>
      <c r="E19" s="38"/>
      <c r="F19" s="38"/>
      <c r="G19" s="38"/>
      <c r="H19" s="38"/>
      <c r="I19" s="38"/>
      <c r="J19" s="26"/>
      <c r="K19" s="26"/>
      <c r="L19" s="26"/>
      <c r="M19" s="26"/>
      <c r="N19" s="26"/>
      <c r="O19" s="26"/>
      <c r="P19" s="26"/>
    </row>
    <row r="20" ht="21" customHeight="1">
      <c r="A20" s="33"/>
      <c r="B20" s="25">
        <v>1999</v>
      </c>
      <c r="C20" s="25">
        <v>2000</v>
      </c>
      <c r="D20" s="25">
        <v>2001</v>
      </c>
      <c r="E20" s="25">
        <v>2002</v>
      </c>
      <c r="F20" s="25">
        <v>2003</v>
      </c>
      <c r="G20" s="25">
        <v>2004</v>
      </c>
      <c r="H20" s="25">
        <v>2005</v>
      </c>
      <c r="I20" s="25">
        <v>2006</v>
      </c>
      <c r="J20" s="25">
        <v>2007</v>
      </c>
      <c r="K20" s="25">
        <v>2008</v>
      </c>
      <c r="L20" s="25">
        <v>2009</v>
      </c>
      <c r="M20" s="25">
        <v>2010</v>
      </c>
      <c r="N20" s="26"/>
      <c r="O20" s="26"/>
      <c r="P20" s="26"/>
    </row>
    <row r="21" ht="21" customHeight="1">
      <c r="A21" t="s" s="39">
        <v>13</v>
      </c>
      <c r="B21" s="35">
        <v>8</v>
      </c>
      <c r="C21" s="35">
        <v>4</v>
      </c>
      <c r="D21" s="35">
        <v>16</v>
      </c>
      <c r="E21" s="35">
        <v>15</v>
      </c>
      <c r="F21" s="35">
        <v>18</v>
      </c>
      <c r="G21" s="35">
        <v>39</v>
      </c>
      <c r="H21" s="35">
        <v>33</v>
      </c>
      <c r="I21" s="35">
        <v>38</v>
      </c>
      <c r="J21" s="35">
        <v>62</v>
      </c>
      <c r="K21" s="35">
        <v>18</v>
      </c>
      <c r="L21" s="35">
        <v>4</v>
      </c>
      <c r="M21" s="35">
        <v>2</v>
      </c>
      <c r="N21" s="26"/>
      <c r="O21" s="26"/>
      <c r="P21" s="26"/>
    </row>
    <row r="22" ht="21" customHeight="1">
      <c r="A22" t="s" s="39">
        <v>15</v>
      </c>
      <c r="B22" s="35">
        <v>0</v>
      </c>
      <c r="C22" s="35">
        <v>0</v>
      </c>
      <c r="D22" s="35">
        <v>0</v>
      </c>
      <c r="E22" s="35">
        <v>0</v>
      </c>
      <c r="F22" s="35">
        <v>1</v>
      </c>
      <c r="G22" s="35">
        <v>0</v>
      </c>
      <c r="H22" s="35">
        <v>0</v>
      </c>
      <c r="I22" s="35">
        <v>0</v>
      </c>
      <c r="J22" s="35">
        <v>0</v>
      </c>
      <c r="K22" s="35">
        <v>0</v>
      </c>
      <c r="L22" s="35">
        <v>0</v>
      </c>
      <c r="M22" s="35">
        <v>0</v>
      </c>
      <c r="N22" s="26"/>
      <c r="O22" s="26"/>
      <c r="P22" s="26"/>
    </row>
    <row r="23" ht="23" customHeight="1">
      <c r="A23" t="s" s="34">
        <v>5</v>
      </c>
      <c r="B23" s="36"/>
      <c r="C23" s="36"/>
      <c r="D23" s="36"/>
      <c r="E23" s="36"/>
      <c r="F23" s="36">
        <f>F22/F21</f>
        <v>0.05555555555555555</v>
      </c>
      <c r="G23" s="36"/>
      <c r="H23" s="36"/>
      <c r="I23" s="36"/>
      <c r="J23" s="28"/>
      <c r="K23" s="28"/>
      <c r="L23" s="28"/>
      <c r="M23" s="28"/>
      <c r="N23" s="26"/>
      <c r="O23" s="26"/>
      <c r="P23" s="26"/>
    </row>
    <row r="24" ht="23" customHeight="1">
      <c r="A24" s="37"/>
      <c r="B24" s="38"/>
      <c r="C24" s="38"/>
      <c r="D24" s="38"/>
      <c r="E24" s="38"/>
      <c r="F24" s="38"/>
      <c r="G24" s="38"/>
      <c r="H24" s="38"/>
      <c r="I24" s="38"/>
      <c r="J24" s="26"/>
      <c r="K24" s="26"/>
      <c r="L24" s="26"/>
      <c r="M24" s="26"/>
      <c r="N24" s="26"/>
      <c r="O24" s="26"/>
      <c r="P24" s="26"/>
    </row>
    <row r="25" ht="21" customHeight="1">
      <c r="A25" t="s" s="30">
        <v>20</v>
      </c>
      <c r="B25" s="38"/>
      <c r="C25" s="38"/>
      <c r="D25" s="38"/>
      <c r="E25" s="38"/>
      <c r="F25" s="38"/>
      <c r="G25" s="38"/>
      <c r="H25" s="38"/>
      <c r="I25" s="38"/>
      <c r="J25" s="26"/>
      <c r="K25" s="26"/>
      <c r="L25" s="26"/>
      <c r="M25" s="26"/>
      <c r="N25" s="26"/>
      <c r="O25" s="26"/>
      <c r="P25" s="26"/>
    </row>
    <row r="26" ht="21" customHeight="1">
      <c r="A26" s="33"/>
      <c r="B26" s="25">
        <v>1999</v>
      </c>
      <c r="C26" s="25">
        <v>2000</v>
      </c>
      <c r="D26" s="25">
        <v>2001</v>
      </c>
      <c r="E26" s="25">
        <v>2002</v>
      </c>
      <c r="F26" s="25">
        <v>2003</v>
      </c>
      <c r="G26" s="25">
        <v>2004</v>
      </c>
      <c r="H26" s="25">
        <v>2005</v>
      </c>
      <c r="I26" s="25">
        <v>2006</v>
      </c>
      <c r="J26" s="25">
        <v>2007</v>
      </c>
      <c r="K26" s="25">
        <v>2008</v>
      </c>
      <c r="L26" s="25">
        <v>2009</v>
      </c>
      <c r="M26" s="25">
        <v>2010</v>
      </c>
      <c r="N26" s="26"/>
      <c r="O26" s="26"/>
      <c r="P26" s="26"/>
    </row>
    <row r="27" ht="21" customHeight="1">
      <c r="A27" t="s" s="39">
        <v>13</v>
      </c>
      <c r="B27" s="35">
        <v>0</v>
      </c>
      <c r="C27" s="35">
        <v>1</v>
      </c>
      <c r="D27" s="35">
        <v>1</v>
      </c>
      <c r="E27" s="35">
        <v>0</v>
      </c>
      <c r="F27" s="35">
        <v>0</v>
      </c>
      <c r="G27" s="35">
        <v>0</v>
      </c>
      <c r="H27" s="35">
        <v>0</v>
      </c>
      <c r="I27" s="35">
        <v>1</v>
      </c>
      <c r="J27" s="35">
        <v>1</v>
      </c>
      <c r="K27" s="35">
        <v>0</v>
      </c>
      <c r="L27" s="35">
        <v>0</v>
      </c>
      <c r="M27" s="35">
        <v>0</v>
      </c>
      <c r="N27" s="26"/>
      <c r="O27" s="26"/>
      <c r="P27" s="26"/>
    </row>
    <row r="28" ht="21" customHeight="1">
      <c r="A28" t="s" s="39">
        <v>15</v>
      </c>
      <c r="B28" s="35">
        <v>0</v>
      </c>
      <c r="C28" s="35">
        <v>0</v>
      </c>
      <c r="D28" s="35">
        <v>0</v>
      </c>
      <c r="E28" s="35">
        <v>0</v>
      </c>
      <c r="F28" s="35">
        <v>0</v>
      </c>
      <c r="G28" s="35">
        <v>0</v>
      </c>
      <c r="H28" s="35">
        <v>0</v>
      </c>
      <c r="I28" s="35">
        <v>0</v>
      </c>
      <c r="J28" s="35">
        <v>0</v>
      </c>
      <c r="K28" s="35">
        <v>0</v>
      </c>
      <c r="L28" s="35">
        <v>0</v>
      </c>
      <c r="M28" s="35">
        <v>0</v>
      </c>
      <c r="N28" s="26"/>
      <c r="O28" s="26"/>
      <c r="P28" s="2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0"/>
  <sheetViews>
    <sheetView workbookViewId="0" showGridLines="0" defaultGridColor="1"/>
  </sheetViews>
  <sheetFormatPr defaultColWidth="19.6" defaultRowHeight="18" customHeight="1" outlineLevelRow="0" outlineLevelCol="0"/>
  <cols>
    <col min="1" max="1" width="19.6016" style="40" customWidth="1"/>
    <col min="2" max="2" width="19.6016" style="40" customWidth="1"/>
    <col min="3" max="3" width="19.6016" style="40" customWidth="1"/>
    <col min="4" max="4" width="19.6016" style="40" customWidth="1"/>
    <col min="5" max="5" width="19.6016" style="40" customWidth="1"/>
    <col min="6" max="6" width="19.6016" style="40" customWidth="1"/>
    <col min="7" max="7" width="19.6016" style="40" customWidth="1"/>
    <col min="8" max="8" width="19.6016" style="40" customWidth="1"/>
    <col min="9" max="9" width="19.6016" style="40" customWidth="1"/>
    <col min="10" max="256" width="19.6016" style="40" customWidth="1"/>
  </cols>
  <sheetData>
    <row r="1" ht="23" customHeight="1">
      <c r="A1" t="s" s="21">
        <v>11</v>
      </c>
      <c r="B1" s="22"/>
      <c r="C1" s="22"/>
      <c r="D1" s="22"/>
      <c r="E1" s="22"/>
      <c r="F1" s="22"/>
      <c r="G1" s="22"/>
      <c r="H1" t="s" s="23">
        <v>2</v>
      </c>
      <c r="I1" s="22"/>
    </row>
    <row r="2" ht="21" customHeight="1">
      <c r="A2" s="24"/>
      <c r="B2" s="25">
        <v>2012</v>
      </c>
      <c r="C2" s="25">
        <v>2013</v>
      </c>
      <c r="D2" s="25">
        <v>2014</v>
      </c>
      <c r="E2" s="25">
        <v>2015</v>
      </c>
      <c r="F2" s="25">
        <v>2016</v>
      </c>
      <c r="G2" s="26"/>
      <c r="H2" t="s" s="27">
        <v>5</v>
      </c>
      <c r="I2" s="28">
        <f>I4/I3</f>
        <v>0.1712473572938689</v>
      </c>
    </row>
    <row r="3" ht="21" customHeight="1">
      <c r="A3" t="s" s="29">
        <v>13</v>
      </c>
      <c r="B3" s="25">
        <v>48</v>
      </c>
      <c r="C3" s="25">
        <v>112</v>
      </c>
      <c r="D3" s="25">
        <v>105</v>
      </c>
      <c r="E3" s="25">
        <v>122</v>
      </c>
      <c r="F3" s="25">
        <v>86</v>
      </c>
      <c r="G3" s="26"/>
      <c r="H3" t="s" s="27">
        <v>14</v>
      </c>
      <c r="I3" s="25">
        <f>SUM(B3:F3)</f>
        <v>473</v>
      </c>
    </row>
    <row r="4" ht="21" customHeight="1">
      <c r="A4" t="s" s="29">
        <v>15</v>
      </c>
      <c r="B4" s="25">
        <v>7</v>
      </c>
      <c r="C4" s="25">
        <v>16</v>
      </c>
      <c r="D4" s="25">
        <v>20</v>
      </c>
      <c r="E4" s="25">
        <v>23</v>
      </c>
      <c r="F4" s="25">
        <v>15</v>
      </c>
      <c r="G4" s="26"/>
      <c r="H4" t="s" s="27">
        <v>16</v>
      </c>
      <c r="I4" s="25">
        <f>SUM(B4:F4)</f>
        <v>81</v>
      </c>
    </row>
    <row r="5" ht="23" customHeight="1">
      <c r="A5" t="s" s="41">
        <v>5</v>
      </c>
      <c r="B5" s="42">
        <f>B4/B3</f>
        <v>0.1458333333333333</v>
      </c>
      <c r="C5" s="42">
        <f>C4/C3</f>
        <v>0.1428571428571428</v>
      </c>
      <c r="D5" s="42">
        <f>D4/D3</f>
        <v>0.1904761904761905</v>
      </c>
      <c r="E5" s="42">
        <f>E4/E3</f>
        <v>0.1885245901639344</v>
      </c>
      <c r="F5" s="42">
        <f>F4/F3</f>
        <v>0.1744186046511628</v>
      </c>
      <c r="G5" s="26"/>
      <c r="H5" s="26"/>
      <c r="I5" s="26"/>
    </row>
    <row r="6" ht="23" customHeight="1">
      <c r="A6" s="41"/>
      <c r="B6" s="42"/>
      <c r="C6" s="42"/>
      <c r="D6" s="42"/>
      <c r="E6" s="42"/>
      <c r="F6" s="42"/>
      <c r="G6" s="26"/>
      <c r="H6" t="s" s="27">
        <v>21</v>
      </c>
      <c r="I6" s="25">
        <v>59</v>
      </c>
    </row>
    <row r="7" ht="23" customHeight="1">
      <c r="A7" s="41"/>
      <c r="B7" s="42"/>
      <c r="C7" s="42"/>
      <c r="D7" s="42"/>
      <c r="E7" s="42"/>
      <c r="F7" s="42"/>
      <c r="G7" s="26"/>
      <c r="H7" t="s" s="27">
        <v>22</v>
      </c>
      <c r="I7" s="25">
        <v>22</v>
      </c>
    </row>
    <row r="8" ht="15" customHeight="1">
      <c r="A8" s="43"/>
      <c r="B8" s="44"/>
      <c r="C8" s="44"/>
      <c r="D8" s="44"/>
      <c r="E8" s="44"/>
      <c r="F8" s="44"/>
      <c r="G8" s="44"/>
      <c r="H8" s="44"/>
      <c r="I8" s="45"/>
    </row>
    <row r="9" ht="15" customHeight="1">
      <c r="A9" s="46"/>
      <c r="B9" s="47"/>
      <c r="C9" s="47"/>
      <c r="D9" s="47"/>
      <c r="E9" s="47"/>
      <c r="F9" s="47"/>
      <c r="G9" s="47"/>
      <c r="H9" s="47"/>
      <c r="I9" s="48"/>
    </row>
    <row r="10" ht="15" customHeight="1">
      <c r="A10" s="49"/>
      <c r="B10" s="50"/>
      <c r="C10" s="50"/>
      <c r="D10" s="50"/>
      <c r="E10" s="50"/>
      <c r="F10" s="50"/>
      <c r="G10" s="50"/>
      <c r="H10" s="50"/>
      <c r="I10" s="51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0"/>
  <sheetViews>
    <sheetView workbookViewId="0" showGridLines="0" defaultGridColor="1"/>
  </sheetViews>
  <sheetFormatPr defaultColWidth="19.6" defaultRowHeight="18" customHeight="1" outlineLevelRow="0" outlineLevelCol="0"/>
  <cols>
    <col min="1" max="1" width="19.6016" style="52" customWidth="1"/>
    <col min="2" max="2" width="19.6016" style="52" customWidth="1"/>
    <col min="3" max="3" width="19.6016" style="52" customWidth="1"/>
    <col min="4" max="4" width="19.6016" style="52" customWidth="1"/>
    <col min="5" max="5" width="19.6016" style="52" customWidth="1"/>
    <col min="6" max="6" width="19.6016" style="52" customWidth="1"/>
    <col min="7" max="7" width="19.6016" style="52" customWidth="1"/>
    <col min="8" max="8" width="19.6016" style="52" customWidth="1"/>
    <col min="9" max="9" width="19.6016" style="52" customWidth="1"/>
    <col min="10" max="256" width="19.6016" style="52" customWidth="1"/>
  </cols>
  <sheetData>
    <row r="1" ht="23" customHeight="1">
      <c r="A1" t="s" s="21">
        <v>11</v>
      </c>
      <c r="B1" s="22"/>
      <c r="C1" s="22"/>
      <c r="D1" s="22"/>
      <c r="E1" s="22"/>
      <c r="F1" s="22"/>
      <c r="G1" s="22"/>
      <c r="H1" t="s" s="23">
        <v>2</v>
      </c>
      <c r="I1" s="22"/>
    </row>
    <row r="2" ht="21" customHeight="1">
      <c r="A2" s="24"/>
      <c r="B2" s="25">
        <v>2012</v>
      </c>
      <c r="C2" s="25">
        <v>2013</v>
      </c>
      <c r="D2" s="25">
        <v>2014</v>
      </c>
      <c r="E2" s="25">
        <v>2015</v>
      </c>
      <c r="F2" s="25">
        <v>2016</v>
      </c>
      <c r="G2" s="26"/>
      <c r="H2" t="s" s="27">
        <v>5</v>
      </c>
      <c r="I2" s="28">
        <f>I4/I3</f>
        <v>0.1491691842900302</v>
      </c>
    </row>
    <row r="3" ht="21" customHeight="1">
      <c r="A3" t="s" s="29">
        <v>13</v>
      </c>
      <c r="B3" s="25">
        <v>569</v>
      </c>
      <c r="C3" s="25">
        <v>474</v>
      </c>
      <c r="D3" s="25">
        <v>600</v>
      </c>
      <c r="E3" s="25">
        <v>534</v>
      </c>
      <c r="F3" s="25">
        <v>471</v>
      </c>
      <c r="G3" s="26"/>
      <c r="H3" t="s" s="27">
        <v>14</v>
      </c>
      <c r="I3" s="25">
        <f>SUM(B3:F3)</f>
        <v>2648</v>
      </c>
    </row>
    <row r="4" ht="21" customHeight="1">
      <c r="A4" t="s" s="29">
        <v>15</v>
      </c>
      <c r="B4" s="25">
        <v>61</v>
      </c>
      <c r="C4" s="25">
        <v>51</v>
      </c>
      <c r="D4" s="25">
        <v>99</v>
      </c>
      <c r="E4" s="25">
        <v>94</v>
      </c>
      <c r="F4" s="25">
        <v>90</v>
      </c>
      <c r="G4" s="26"/>
      <c r="H4" t="s" s="27">
        <v>16</v>
      </c>
      <c r="I4" s="25">
        <f>SUM(B4:F4)</f>
        <v>395</v>
      </c>
    </row>
    <row r="5" ht="23" customHeight="1">
      <c r="A5" t="s" s="41">
        <v>5</v>
      </c>
      <c r="B5" s="42">
        <f>B4/B3</f>
        <v>0.1072056239015817</v>
      </c>
      <c r="C5" s="42">
        <f>C4/C3</f>
        <v>0.1075949367088608</v>
      </c>
      <c r="D5" s="42">
        <f>D4/D3</f>
        <v>0.165</v>
      </c>
      <c r="E5" s="42">
        <f>E4/E3</f>
        <v>0.1760299625468165</v>
      </c>
      <c r="F5" s="42">
        <f>F4/F3</f>
        <v>0.1910828025477707</v>
      </c>
      <c r="G5" s="53"/>
      <c r="H5" s="53"/>
      <c r="I5" s="53"/>
    </row>
    <row r="6" ht="23" customHeight="1">
      <c r="A6" s="41"/>
      <c r="B6" s="42"/>
      <c r="C6" s="42"/>
      <c r="D6" s="42"/>
      <c r="E6" s="42"/>
      <c r="F6" s="42"/>
      <c r="G6" s="42"/>
      <c r="H6" s="42"/>
      <c r="I6" s="42"/>
    </row>
    <row r="7" ht="23" customHeight="1">
      <c r="A7" s="41"/>
      <c r="B7" s="42"/>
      <c r="C7" s="42"/>
      <c r="D7" s="42"/>
      <c r="E7" s="26"/>
      <c r="F7" s="26"/>
      <c r="G7" s="26"/>
      <c r="H7" t="s" s="27">
        <v>21</v>
      </c>
      <c r="I7" s="25">
        <v>325</v>
      </c>
    </row>
    <row r="8" ht="23" customHeight="1">
      <c r="A8" s="41"/>
      <c r="B8" s="42"/>
      <c r="C8" s="42"/>
      <c r="D8" s="42"/>
      <c r="E8" s="26"/>
      <c r="F8" s="26"/>
      <c r="G8" s="26"/>
      <c r="H8" t="s" s="27">
        <v>22</v>
      </c>
      <c r="I8" s="25">
        <v>70</v>
      </c>
    </row>
    <row r="9" ht="15" customHeight="1">
      <c r="A9" s="43"/>
      <c r="B9" s="44"/>
      <c r="C9" s="44"/>
      <c r="D9" s="44"/>
      <c r="E9" s="44"/>
      <c r="F9" s="44"/>
      <c r="G9" s="44"/>
      <c r="H9" s="44"/>
      <c r="I9" s="45"/>
    </row>
    <row r="10" ht="15" customHeight="1">
      <c r="A10" s="49"/>
      <c r="B10" s="50"/>
      <c r="C10" s="50"/>
      <c r="D10" s="50"/>
      <c r="E10" s="50"/>
      <c r="F10" s="50"/>
      <c r="G10" s="50"/>
      <c r="H10" s="50"/>
      <c r="I10" s="51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10"/>
  <sheetViews>
    <sheetView workbookViewId="0" showGridLines="0" defaultGridColor="1"/>
  </sheetViews>
  <sheetFormatPr defaultColWidth="19.6" defaultRowHeight="18" customHeight="1" outlineLevelRow="0" outlineLevelCol="0"/>
  <cols>
    <col min="1" max="1" width="19.6016" style="54" customWidth="1"/>
    <col min="2" max="2" width="19.6016" style="54" customWidth="1"/>
    <col min="3" max="3" width="19.6016" style="54" customWidth="1"/>
    <col min="4" max="4" width="19.6016" style="54" customWidth="1"/>
    <col min="5" max="5" width="19.6016" style="54" customWidth="1"/>
    <col min="6" max="6" width="19.6016" style="54" customWidth="1"/>
    <col min="7" max="256" width="19.6016" style="54" customWidth="1"/>
  </cols>
  <sheetData>
    <row r="1" ht="23" customHeight="1">
      <c r="A1" t="s" s="55">
        <v>11</v>
      </c>
      <c r="B1" s="22"/>
      <c r="C1" s="22"/>
      <c r="D1" s="56"/>
      <c r="E1" t="s" s="23">
        <v>2</v>
      </c>
      <c r="F1" s="22"/>
    </row>
    <row r="2" ht="23" customHeight="1">
      <c r="A2" s="24"/>
      <c r="B2" t="s" s="57">
        <v>8</v>
      </c>
      <c r="C2" t="s" s="57">
        <v>9</v>
      </c>
      <c r="D2" s="58"/>
      <c r="E2" t="s" s="27">
        <v>5</v>
      </c>
      <c r="F2" s="28">
        <f>F4/F3</f>
        <v>0.21875</v>
      </c>
    </row>
    <row r="3" ht="21" customHeight="1">
      <c r="A3" t="s" s="29">
        <v>13</v>
      </c>
      <c r="B3" s="25">
        <v>65</v>
      </c>
      <c r="C3" s="25">
        <v>287</v>
      </c>
      <c r="D3" s="59"/>
      <c r="E3" t="s" s="27">
        <v>14</v>
      </c>
      <c r="F3" s="25">
        <f>SUM(B3,C3)</f>
        <v>352</v>
      </c>
    </row>
    <row r="4" ht="21" customHeight="1">
      <c r="A4" t="s" s="29">
        <v>15</v>
      </c>
      <c r="B4" s="25">
        <v>10</v>
      </c>
      <c r="C4" s="25">
        <v>67</v>
      </c>
      <c r="D4" s="59"/>
      <c r="E4" t="s" s="27">
        <v>16</v>
      </c>
      <c r="F4" s="25">
        <f>SUM(B4,C4)</f>
        <v>77</v>
      </c>
    </row>
    <row r="5" ht="23" customHeight="1">
      <c r="A5" t="s" s="41">
        <v>5</v>
      </c>
      <c r="B5" s="42">
        <f>B4/B3</f>
        <v>0.1538461538461539</v>
      </c>
      <c r="C5" s="42">
        <f>C4/C3</f>
        <v>0.2334494773519164</v>
      </c>
      <c r="D5" s="60"/>
      <c r="E5" s="61"/>
      <c r="F5" s="61"/>
    </row>
    <row r="6" ht="23" customHeight="1">
      <c r="A6" s="41"/>
      <c r="B6" s="42"/>
      <c r="C6" s="42"/>
      <c r="D6" s="59"/>
      <c r="E6" t="s" s="27">
        <v>21</v>
      </c>
      <c r="F6" s="25">
        <f>49</f>
        <v>49</v>
      </c>
    </row>
    <row r="7" ht="23" customHeight="1">
      <c r="A7" s="41"/>
      <c r="B7" s="42"/>
      <c r="C7" s="42"/>
      <c r="D7" s="59"/>
      <c r="E7" t="s" s="27">
        <v>22</v>
      </c>
      <c r="F7" s="25">
        <f>28</f>
        <v>28</v>
      </c>
    </row>
    <row r="8" ht="15" customHeight="1">
      <c r="A8" s="43"/>
      <c r="B8" s="44"/>
      <c r="C8" s="44"/>
      <c r="D8" s="62"/>
      <c r="E8" s="44"/>
      <c r="F8" s="45"/>
    </row>
    <row r="9" ht="15" customHeight="1">
      <c r="A9" s="46"/>
      <c r="B9" s="47"/>
      <c r="C9" s="47"/>
      <c r="D9" s="47"/>
      <c r="E9" s="47"/>
      <c r="F9" s="48"/>
    </row>
    <row r="10" ht="15" customHeight="1">
      <c r="A10" s="49"/>
      <c r="B10" s="50"/>
      <c r="C10" s="50"/>
      <c r="D10" s="50"/>
      <c r="E10" s="50"/>
      <c r="F10" s="51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1"/>
  <sheetViews>
    <sheetView workbookViewId="0" showGridLines="0" defaultGridColor="1"/>
  </sheetViews>
  <sheetFormatPr defaultColWidth="19.6" defaultRowHeight="18" customHeight="1" outlineLevelRow="0" outlineLevelCol="0"/>
  <cols>
    <col min="1" max="1" width="19.6016" style="63" customWidth="1"/>
    <col min="2" max="2" width="19.6016" style="63" customWidth="1"/>
    <col min="3" max="3" width="19.6016" style="63" customWidth="1"/>
    <col min="4" max="4" width="19.6016" style="63" customWidth="1"/>
    <col min="5" max="5" width="19.6016" style="63" customWidth="1"/>
    <col min="6" max="256" width="19.6016" style="63" customWidth="1"/>
  </cols>
  <sheetData>
    <row r="1" ht="20.55" customHeight="1">
      <c r="A1" t="s" s="64">
        <v>23</v>
      </c>
      <c r="B1" t="s" s="64">
        <v>24</v>
      </c>
      <c r="C1" s="65"/>
      <c r="D1" s="44"/>
      <c r="E1" s="45"/>
    </row>
    <row r="2" ht="20.55" customHeight="1">
      <c r="A2" s="66">
        <v>0</v>
      </c>
      <c r="B2" s="67">
        <v>22</v>
      </c>
      <c r="C2" s="68"/>
      <c r="D2" s="47"/>
      <c r="E2" s="48"/>
    </row>
    <row r="3" ht="20.35" customHeight="1">
      <c r="A3" s="69">
        <v>1</v>
      </c>
      <c r="B3" s="70">
        <v>32</v>
      </c>
      <c r="C3" s="68"/>
      <c r="D3" s="47"/>
      <c r="E3" s="48"/>
    </row>
    <row r="4" ht="20.35" customHeight="1">
      <c r="A4" s="69">
        <v>2</v>
      </c>
      <c r="B4" s="70">
        <v>26</v>
      </c>
      <c r="C4" s="68"/>
      <c r="D4" s="47"/>
      <c r="E4" s="48"/>
    </row>
    <row r="5" ht="20.35" customHeight="1">
      <c r="A5" s="69">
        <v>3</v>
      </c>
      <c r="B5" s="70">
        <v>14</v>
      </c>
      <c r="C5" s="68"/>
      <c r="D5" s="47"/>
      <c r="E5" s="48"/>
    </row>
    <row r="6" ht="20.35" customHeight="1">
      <c r="A6" s="69">
        <v>4</v>
      </c>
      <c r="B6" s="70">
        <v>4</v>
      </c>
      <c r="C6" s="68"/>
      <c r="D6" s="47"/>
      <c r="E6" s="48"/>
    </row>
    <row r="7" ht="20.35" customHeight="1">
      <c r="A7" s="69">
        <v>5</v>
      </c>
      <c r="B7" s="70">
        <v>5</v>
      </c>
      <c r="C7" s="68"/>
      <c r="D7" s="47"/>
      <c r="E7" s="48"/>
    </row>
    <row r="8" ht="20.35" customHeight="1">
      <c r="A8" s="69">
        <v>6</v>
      </c>
      <c r="B8" s="70">
        <v>8</v>
      </c>
      <c r="C8" s="68"/>
      <c r="D8" s="47"/>
      <c r="E8" s="48"/>
    </row>
    <row r="9" ht="20.35" customHeight="1">
      <c r="A9" s="69">
        <v>7</v>
      </c>
      <c r="B9" s="70">
        <v>0</v>
      </c>
      <c r="C9" s="68"/>
      <c r="D9" s="47"/>
      <c r="E9" s="48"/>
    </row>
    <row r="10" ht="20.35" customHeight="1">
      <c r="A10" s="69">
        <v>8</v>
      </c>
      <c r="B10" s="70">
        <v>1</v>
      </c>
      <c r="C10" s="68"/>
      <c r="D10" s="47"/>
      <c r="E10" s="48"/>
    </row>
    <row r="11" ht="20.35" customHeight="1">
      <c r="A11" t="s" s="71">
        <v>25</v>
      </c>
      <c r="B11" s="70">
        <v>0</v>
      </c>
      <c r="C11" s="72"/>
      <c r="D11" s="50"/>
      <c r="E11" s="51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&amp;C&amp;"Helvetica,Regular"&amp;12&amp;K000000&amp;P</oddFooter>
  </headerFooter>
</worksheet>
</file>

<file path=xl/worksheets/sheet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M10"/>
  <sheetViews>
    <sheetView workbookViewId="0" showGridLines="0" defaultGridColor="1"/>
  </sheetViews>
  <sheetFormatPr defaultColWidth="19.6" defaultRowHeight="18" customHeight="1" outlineLevelRow="0" outlineLevelCol="0"/>
  <cols>
    <col min="1" max="1" width="19.6016" style="73" customWidth="1"/>
    <col min="2" max="2" width="19.6016" style="73" customWidth="1"/>
    <col min="3" max="3" width="19.6016" style="73" customWidth="1"/>
    <col min="4" max="4" width="19.6016" style="73" customWidth="1"/>
    <col min="5" max="5" width="19.6016" style="73" customWidth="1"/>
    <col min="6" max="6" width="19.6016" style="73" customWidth="1"/>
    <col min="7" max="7" width="19.6016" style="73" customWidth="1"/>
    <col min="8" max="8" width="19.6016" style="73" customWidth="1"/>
    <col min="9" max="9" width="19.6016" style="73" customWidth="1"/>
    <col min="10" max="10" width="19.6016" style="73" customWidth="1"/>
    <col min="11" max="11" width="19.6016" style="73" customWidth="1"/>
    <col min="12" max="12" width="19.6016" style="73" customWidth="1"/>
    <col min="13" max="13" width="19.6016" style="73" customWidth="1"/>
    <col min="14" max="256" width="19.6016" style="73" customWidth="1"/>
  </cols>
  <sheetData>
    <row r="1" ht="32.55" customHeight="1">
      <c r="A1" t="s" s="64">
        <v>26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</row>
    <row r="2" ht="20.55" customHeight="1">
      <c r="A2" t="s" s="75">
        <v>27</v>
      </c>
      <c r="B2" s="67">
        <v>0</v>
      </c>
      <c r="C2" s="76">
        <v>7</v>
      </c>
      <c r="D2" s="76">
        <v>14</v>
      </c>
      <c r="E2" s="76">
        <v>21</v>
      </c>
      <c r="F2" t="s" s="77">
        <v>28</v>
      </c>
      <c r="G2" t="s" s="77">
        <v>29</v>
      </c>
      <c r="H2" t="s" s="77">
        <v>30</v>
      </c>
      <c r="I2" t="s" s="77">
        <v>31</v>
      </c>
      <c r="J2" t="s" s="77">
        <v>32</v>
      </c>
      <c r="K2" t="s" s="77">
        <v>33</v>
      </c>
      <c r="L2" t="s" s="77">
        <v>34</v>
      </c>
      <c r="M2" t="s" s="77">
        <v>35</v>
      </c>
    </row>
    <row r="3" ht="20.35" customHeight="1">
      <c r="A3" t="s" s="71">
        <v>36</v>
      </c>
      <c r="B3" s="70">
        <v>127</v>
      </c>
      <c r="C3" s="78">
        <v>236</v>
      </c>
      <c r="D3" s="78">
        <v>58</v>
      </c>
      <c r="E3" s="78">
        <v>47</v>
      </c>
      <c r="F3" s="78">
        <v>31</v>
      </c>
      <c r="G3" s="78">
        <v>46</v>
      </c>
      <c r="H3" s="78">
        <v>23</v>
      </c>
      <c r="I3" s="78">
        <v>10</v>
      </c>
      <c r="J3" s="78">
        <v>7</v>
      </c>
      <c r="K3" s="78">
        <v>5</v>
      </c>
      <c r="L3" s="78">
        <v>2</v>
      </c>
      <c r="M3" s="78">
        <v>4</v>
      </c>
    </row>
    <row r="4" ht="15" customHeight="1">
      <c r="A4" s="79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80"/>
    </row>
    <row r="5" ht="15" customHeight="1">
      <c r="A5" s="46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8"/>
    </row>
    <row r="6" ht="15" customHeight="1">
      <c r="A6" s="46"/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8"/>
    </row>
    <row r="7" ht="15" customHeight="1">
      <c r="A7" s="46"/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8"/>
    </row>
    <row r="8" ht="15" customHeight="1">
      <c r="A8" s="46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8"/>
    </row>
    <row r="9" ht="15" customHeight="1">
      <c r="A9" s="46"/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8"/>
    </row>
    <row r="10" ht="15" customHeight="1">
      <c r="A10" s="49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1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&amp;C&amp;"Helvetica,Regular"&amp;12&amp;K000000&amp;P</oddFooter>
  </headerFooter>
</worksheet>
</file>

<file path=xl/worksheets/sheet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M10"/>
  <sheetViews>
    <sheetView workbookViewId="0" showGridLines="0" defaultGridColor="1"/>
  </sheetViews>
  <sheetFormatPr defaultColWidth="19.6" defaultRowHeight="18" customHeight="1" outlineLevelRow="0" outlineLevelCol="0"/>
  <cols>
    <col min="1" max="1" width="19.6016" style="81" customWidth="1"/>
    <col min="2" max="2" width="19.6016" style="81" customWidth="1"/>
    <col min="3" max="3" width="19.6016" style="81" customWidth="1"/>
    <col min="4" max="4" width="19.6016" style="81" customWidth="1"/>
    <col min="5" max="5" width="19.6016" style="81" customWidth="1"/>
    <col min="6" max="6" width="19.6016" style="81" customWidth="1"/>
    <col min="7" max="7" width="19.6016" style="81" customWidth="1"/>
    <col min="8" max="8" width="19.6016" style="81" customWidth="1"/>
    <col min="9" max="9" width="19.6016" style="81" customWidth="1"/>
    <col min="10" max="10" width="19.6016" style="81" customWidth="1"/>
    <col min="11" max="11" width="19.6016" style="81" customWidth="1"/>
    <col min="12" max="12" width="19.6016" style="81" customWidth="1"/>
    <col min="13" max="13" width="19.6016" style="81" customWidth="1"/>
    <col min="14" max="256" width="19.6016" style="81" customWidth="1"/>
  </cols>
  <sheetData>
    <row r="1" ht="44.55" customHeight="1">
      <c r="A1" t="s" s="64">
        <v>37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</row>
    <row r="2" ht="20.55" customHeight="1">
      <c r="A2" t="s" s="75">
        <v>27</v>
      </c>
      <c r="B2" s="67">
        <v>0</v>
      </c>
      <c r="C2" s="76">
        <v>7</v>
      </c>
      <c r="D2" s="76">
        <v>14</v>
      </c>
      <c r="E2" s="76">
        <v>21</v>
      </c>
      <c r="F2" t="s" s="77">
        <v>28</v>
      </c>
      <c r="G2" t="s" s="77">
        <v>29</v>
      </c>
      <c r="H2" t="s" s="77">
        <v>30</v>
      </c>
      <c r="I2" t="s" s="77">
        <v>31</v>
      </c>
      <c r="J2" t="s" s="77">
        <v>32</v>
      </c>
      <c r="K2" t="s" s="77">
        <v>33</v>
      </c>
      <c r="L2" t="s" s="77">
        <v>34</v>
      </c>
      <c r="M2" t="s" s="77">
        <v>38</v>
      </c>
    </row>
    <row r="3" ht="20.35" customHeight="1">
      <c r="A3" t="s" s="71">
        <v>36</v>
      </c>
      <c r="B3" s="70">
        <v>98</v>
      </c>
      <c r="C3" s="78">
        <v>175</v>
      </c>
      <c r="D3" s="78">
        <v>45</v>
      </c>
      <c r="E3" s="78">
        <v>40</v>
      </c>
      <c r="F3" s="78">
        <v>29</v>
      </c>
      <c r="G3" s="78">
        <v>40</v>
      </c>
      <c r="H3" s="78">
        <v>20</v>
      </c>
      <c r="I3" s="78">
        <v>6</v>
      </c>
      <c r="J3" s="78">
        <v>6</v>
      </c>
      <c r="K3" s="78">
        <v>4</v>
      </c>
      <c r="L3" s="78">
        <v>1</v>
      </c>
      <c r="M3" s="78">
        <v>3</v>
      </c>
    </row>
    <row r="4" ht="20.35" customHeight="1">
      <c r="A4" t="s" s="71">
        <v>39</v>
      </c>
      <c r="B4" s="70">
        <v>98</v>
      </c>
      <c r="C4" s="78">
        <f>SUM(B4,C3)</f>
        <v>273</v>
      </c>
      <c r="D4" s="78">
        <f>SUM(C4,D3)</f>
        <v>318</v>
      </c>
      <c r="E4" s="78">
        <f>SUM(D4,E3)</f>
        <v>358</v>
      </c>
      <c r="F4" s="78">
        <f>SUM(E4,F3)</f>
        <v>387</v>
      </c>
      <c r="G4" s="78">
        <f>SUM(F4,G3)</f>
        <v>427</v>
      </c>
      <c r="H4" s="78">
        <f>SUM(G4,H3)</f>
        <v>447</v>
      </c>
      <c r="I4" s="78">
        <f>SUM(H4,I3)</f>
        <v>453</v>
      </c>
      <c r="J4" s="78">
        <f>SUM(I4,J3)</f>
        <v>459</v>
      </c>
      <c r="K4" s="78">
        <f>SUM(J4,K3)</f>
        <v>463</v>
      </c>
      <c r="L4" s="78">
        <f>SUM(K4,L3)</f>
        <v>464</v>
      </c>
      <c r="M4" s="78">
        <f>SUM(L4,M3)</f>
        <v>467</v>
      </c>
    </row>
    <row r="5" ht="20.35" customHeight="1">
      <c r="A5" s="82"/>
      <c r="B5" s="70">
        <f>B4/M7</f>
        <v>0.02884898439799823</v>
      </c>
      <c r="C5" s="78">
        <f>C4/M7</f>
        <v>0.08036502796585222</v>
      </c>
      <c r="D5" s="78">
        <f>D4/M7</f>
        <v>0.0936120105975861</v>
      </c>
      <c r="E5" s="78">
        <f>E4/M7</f>
        <v>0.1053871062702385</v>
      </c>
      <c r="F5" s="78">
        <f>F4/M7</f>
        <v>0.1139240506329114</v>
      </c>
      <c r="G5" s="78">
        <f>G4/M7</f>
        <v>0.1256991463055637</v>
      </c>
      <c r="H5" s="78">
        <f>H4/M7</f>
        <v>0.1315866941418899</v>
      </c>
      <c r="I5" s="78">
        <f>I4/M7</f>
        <v>0.1333529584927877</v>
      </c>
      <c r="J5" s="78">
        <f>J4/M7</f>
        <v>0.1351192228436856</v>
      </c>
      <c r="K5" s="78">
        <f>K4/M7</f>
        <v>0.1362967324109508</v>
      </c>
      <c r="L5" s="78">
        <f>L4/M7</f>
        <v>0.1365911098027671</v>
      </c>
      <c r="M5" s="78">
        <f>M4/M7</f>
        <v>0.1374742419782161</v>
      </c>
    </row>
    <row r="6" ht="20.35" customHeight="1">
      <c r="A6" s="82"/>
      <c r="B6" s="83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</row>
    <row r="7" ht="20.35" customHeight="1">
      <c r="A7" s="82"/>
      <c r="B7" s="83"/>
      <c r="C7" s="84"/>
      <c r="D7" s="84"/>
      <c r="E7" s="84"/>
      <c r="F7" s="84"/>
      <c r="G7" s="84"/>
      <c r="H7" s="84"/>
      <c r="I7" s="84"/>
      <c r="J7" s="84"/>
      <c r="K7" s="84"/>
      <c r="L7" t="s" s="85">
        <v>14</v>
      </c>
      <c r="M7" s="78">
        <v>3397</v>
      </c>
    </row>
    <row r="8" ht="20.35" customHeight="1">
      <c r="A8" s="82"/>
      <c r="B8" s="83"/>
      <c r="C8" s="84"/>
      <c r="D8" s="84"/>
      <c r="E8" s="84"/>
      <c r="F8" s="84"/>
      <c r="G8" s="84"/>
      <c r="H8" s="84"/>
      <c r="I8" s="84"/>
      <c r="J8" s="84"/>
      <c r="K8" s="84"/>
      <c r="L8" t="s" s="85">
        <v>40</v>
      </c>
      <c r="M8" s="78">
        <v>467</v>
      </c>
    </row>
    <row r="9" ht="15" customHeight="1">
      <c r="A9" s="79"/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80"/>
    </row>
    <row r="10" ht="15" customHeight="1">
      <c r="A10" s="49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1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&amp;C&amp;"Helvetica,Regular"&amp;12&amp;K000000&amp;P</oddFooter>
  </headerFooter>
</worksheet>
</file>

<file path=xl/worksheets/sheet1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0"/>
  <sheetViews>
    <sheetView workbookViewId="0" showGridLines="0" defaultGridColor="1"/>
  </sheetViews>
  <sheetFormatPr defaultColWidth="19.6" defaultRowHeight="18" customHeight="1" outlineLevelRow="0" outlineLevelCol="0"/>
  <cols>
    <col min="1" max="1" width="19.6016" style="86" customWidth="1"/>
    <col min="2" max="2" width="19.6016" style="86" customWidth="1"/>
    <col min="3" max="3" width="19.6016" style="86" customWidth="1"/>
    <col min="4" max="4" width="19.6016" style="86" customWidth="1"/>
    <col min="5" max="5" width="19.6016" style="86" customWidth="1"/>
    <col min="6" max="6" width="19.6016" style="86" customWidth="1"/>
    <col min="7" max="7" width="19.6016" style="86" customWidth="1"/>
    <col min="8" max="256" width="19.6016" style="86" customWidth="1"/>
  </cols>
  <sheetData>
    <row r="1" ht="20.55" customHeight="1">
      <c r="A1" t="s" s="64">
        <v>41</v>
      </c>
      <c r="B1" t="s" s="64">
        <v>42</v>
      </c>
      <c r="C1" t="s" s="64">
        <v>11</v>
      </c>
      <c r="D1" t="s" s="64">
        <v>43</v>
      </c>
      <c r="E1" s="74"/>
      <c r="F1" t="s" s="64">
        <v>14</v>
      </c>
      <c r="G1" t="s" s="64">
        <v>16</v>
      </c>
    </row>
    <row r="2" ht="20.55" customHeight="1">
      <c r="A2" s="66">
        <v>0</v>
      </c>
      <c r="B2" s="67">
        <v>20</v>
      </c>
      <c r="C2" s="76">
        <v>20</v>
      </c>
      <c r="D2" s="87">
        <v>0.0568</v>
      </c>
      <c r="E2" s="88"/>
      <c r="F2" s="76">
        <v>352</v>
      </c>
      <c r="G2" s="76">
        <v>77</v>
      </c>
    </row>
    <row r="3" ht="20.35" customHeight="1">
      <c r="A3" s="69">
        <v>1</v>
      </c>
      <c r="B3" s="70">
        <v>29</v>
      </c>
      <c r="C3" s="78">
        <v>49</v>
      </c>
      <c r="D3" s="89">
        <v>0.1392</v>
      </c>
      <c r="E3" s="84"/>
      <c r="F3" s="84"/>
      <c r="G3" s="84"/>
    </row>
    <row r="4" ht="20.35" customHeight="1">
      <c r="A4" s="69">
        <v>2</v>
      </c>
      <c r="B4" s="70">
        <v>18</v>
      </c>
      <c r="C4" s="78">
        <v>67</v>
      </c>
      <c r="D4" s="89">
        <v>0.1903</v>
      </c>
      <c r="E4" s="84"/>
      <c r="F4" s="84"/>
      <c r="G4" s="84"/>
    </row>
    <row r="5" ht="20.35" customHeight="1">
      <c r="A5" s="69">
        <v>3</v>
      </c>
      <c r="B5" s="70">
        <v>4</v>
      </c>
      <c r="C5" s="78">
        <v>71</v>
      </c>
      <c r="D5" s="89">
        <v>0.2017</v>
      </c>
      <c r="E5" s="84"/>
      <c r="F5" s="84"/>
      <c r="G5" s="84"/>
    </row>
    <row r="6" ht="20.35" customHeight="1">
      <c r="A6" s="69">
        <v>4</v>
      </c>
      <c r="B6" s="70">
        <v>3</v>
      </c>
      <c r="C6" s="78">
        <v>74</v>
      </c>
      <c r="D6" s="89">
        <v>0.2102</v>
      </c>
      <c r="E6" s="84"/>
      <c r="F6" s="84"/>
      <c r="G6" s="84"/>
    </row>
    <row r="7" ht="20.35" customHeight="1">
      <c r="A7" s="69">
        <v>5</v>
      </c>
      <c r="B7" s="70">
        <v>1</v>
      </c>
      <c r="C7" s="78">
        <v>75</v>
      </c>
      <c r="D7" s="89">
        <v>0.2131</v>
      </c>
      <c r="E7" s="84"/>
      <c r="F7" s="84"/>
      <c r="G7" s="84"/>
    </row>
    <row r="8" ht="20.35" customHeight="1">
      <c r="A8" s="69">
        <v>6</v>
      </c>
      <c r="B8" s="70">
        <v>1</v>
      </c>
      <c r="C8" s="78">
        <v>76</v>
      </c>
      <c r="D8" s="89">
        <v>0.2159</v>
      </c>
      <c r="E8" s="84"/>
      <c r="F8" s="84"/>
      <c r="G8" s="84"/>
    </row>
    <row r="9" ht="20.35" customHeight="1">
      <c r="A9" s="69">
        <v>7</v>
      </c>
      <c r="B9" s="70">
        <v>0</v>
      </c>
      <c r="C9" s="78">
        <v>76</v>
      </c>
      <c r="D9" s="89">
        <v>0.2159</v>
      </c>
      <c r="E9" s="84"/>
      <c r="F9" s="84"/>
      <c r="G9" s="84"/>
    </row>
    <row r="10" ht="20.35" customHeight="1">
      <c r="A10" s="69">
        <v>8</v>
      </c>
      <c r="B10" s="70">
        <v>1</v>
      </c>
      <c r="C10" s="78">
        <v>77</v>
      </c>
      <c r="D10" s="89">
        <v>0.2188</v>
      </c>
      <c r="E10" s="84"/>
      <c r="F10" s="84"/>
      <c r="G10" s="8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&amp;C&amp;"Helvetica,Regular"&amp;12&amp;K000000&amp;P</oddFooter>
  </headerFooter>
</worksheet>
</file>

<file path=xl/worksheets/sheet1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"/>
  <sheetViews>
    <sheetView workbookViewId="0" showGridLines="0" defaultGridColor="1"/>
  </sheetViews>
  <sheetFormatPr defaultColWidth="19.6" defaultRowHeight="18" customHeight="1" outlineLevelRow="0" outlineLevelCol="0"/>
  <cols>
    <col min="1" max="1" width="19.6016" style="90" customWidth="1"/>
    <col min="2" max="2" width="19.6016" style="90" customWidth="1"/>
    <col min="3" max="3" width="19.6016" style="90" customWidth="1"/>
    <col min="4" max="4" width="19.6016" style="90" customWidth="1"/>
    <col min="5" max="5" width="19.6016" style="90" customWidth="1"/>
    <col min="6" max="256" width="19.6016" style="90" customWidth="1"/>
  </cols>
  <sheetData>
    <row r="1" ht="20.55" customHeight="1">
      <c r="A1" t="s" s="64">
        <v>44</v>
      </c>
      <c r="B1" s="74"/>
      <c r="C1" s="74"/>
      <c r="D1" s="74"/>
      <c r="E1" s="74"/>
    </row>
    <row r="2" ht="20.55" customHeight="1">
      <c r="A2" t="s" s="75">
        <v>27</v>
      </c>
      <c r="B2" t="s" s="91">
        <v>28</v>
      </c>
      <c r="C2" t="s" s="77">
        <v>29</v>
      </c>
      <c r="D2" t="s" s="77">
        <v>30</v>
      </c>
      <c r="E2" t="s" s="77">
        <v>31</v>
      </c>
    </row>
    <row r="3" ht="20.35" customHeight="1">
      <c r="A3" t="s" s="71">
        <v>45</v>
      </c>
      <c r="B3" s="70">
        <v>387</v>
      </c>
      <c r="C3" s="78">
        <v>40</v>
      </c>
      <c r="D3" s="78">
        <v>20</v>
      </c>
      <c r="E3" s="78">
        <v>6</v>
      </c>
    </row>
    <row r="4" ht="20.35" customHeight="1">
      <c r="A4" t="s" s="71">
        <v>46</v>
      </c>
      <c r="B4" s="70">
        <v>49</v>
      </c>
      <c r="C4" s="78">
        <v>18</v>
      </c>
      <c r="D4" s="78">
        <v>4</v>
      </c>
      <c r="E4" s="78">
        <v>3</v>
      </c>
    </row>
    <row r="5" ht="20.35" customHeight="1">
      <c r="A5" s="82"/>
      <c r="B5" s="83"/>
      <c r="C5" s="84"/>
      <c r="D5" s="84"/>
      <c r="E5" s="84"/>
    </row>
    <row r="6" ht="20.35" customHeight="1">
      <c r="A6" s="82"/>
      <c r="B6" s="83"/>
      <c r="C6" s="84"/>
      <c r="D6" s="84"/>
      <c r="E6" s="84"/>
    </row>
    <row r="7" ht="20.35" customHeight="1">
      <c r="A7" s="82"/>
      <c r="B7" s="83"/>
      <c r="C7" s="84"/>
      <c r="D7" s="84"/>
      <c r="E7" s="84"/>
    </row>
    <row r="8" ht="20.35" customHeight="1">
      <c r="A8" s="82"/>
      <c r="B8" s="83"/>
      <c r="C8" s="84"/>
      <c r="D8" s="84"/>
      <c r="E8" s="84"/>
    </row>
    <row r="9" ht="20.35" customHeight="1">
      <c r="A9" s="82"/>
      <c r="B9" s="83"/>
      <c r="C9" s="84"/>
      <c r="D9" s="84"/>
      <c r="E9" s="84"/>
    </row>
    <row r="10" ht="20.35" customHeight="1">
      <c r="A10" s="82"/>
      <c r="B10" s="83"/>
      <c r="C10" s="84"/>
      <c r="D10" s="84"/>
      <c r="E10" s="8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&amp;C&amp;"Helvetica,Regular"&amp;12&amp;K000000&amp;P</oddFooter>
  </headerFooter>
</worksheet>
</file>

<file path=xl/worksheets/sheet1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0"/>
  <sheetViews>
    <sheetView workbookViewId="0" showGridLines="0" defaultGridColor="1"/>
  </sheetViews>
  <sheetFormatPr defaultColWidth="19.6" defaultRowHeight="18" customHeight="1" outlineLevelRow="0" outlineLevelCol="0"/>
  <cols>
    <col min="1" max="1" width="19.6016" style="92" customWidth="1"/>
    <col min="2" max="2" width="19.6016" style="92" customWidth="1"/>
    <col min="3" max="3" width="19.6016" style="92" customWidth="1"/>
    <col min="4" max="4" width="19.6016" style="92" customWidth="1"/>
    <col min="5" max="5" width="19.6016" style="92" customWidth="1"/>
    <col min="6" max="6" width="19.6016" style="92" customWidth="1"/>
    <col min="7" max="7" width="19.6016" style="92" customWidth="1"/>
    <col min="8" max="256" width="19.6016" style="92" customWidth="1"/>
  </cols>
  <sheetData>
    <row r="1" ht="28" customHeight="1">
      <c r="A1" t="s" s="93">
        <v>47</v>
      </c>
      <c r="B1" s="94"/>
      <c r="C1" s="95"/>
      <c r="D1" s="95"/>
      <c r="E1" s="94"/>
      <c r="F1" s="94"/>
      <c r="G1" s="96"/>
    </row>
    <row r="2" ht="20.35" customHeight="1">
      <c r="A2" t="s" s="85">
        <v>48</v>
      </c>
      <c r="B2" s="84"/>
      <c r="C2" s="84"/>
      <c r="D2" s="84"/>
      <c r="E2" s="84"/>
      <c r="F2" s="84"/>
      <c r="G2" s="84"/>
    </row>
    <row r="3" ht="32.35" customHeight="1">
      <c r="A3" t="s" s="85">
        <v>49</v>
      </c>
      <c r="B3" t="s" s="85">
        <v>50</v>
      </c>
      <c r="C3" t="s" s="85">
        <v>51</v>
      </c>
      <c r="D3" t="s" s="85">
        <v>52</v>
      </c>
      <c r="E3" t="s" s="85">
        <v>53</v>
      </c>
      <c r="F3" t="s" s="85">
        <v>54</v>
      </c>
      <c r="G3" t="s" s="85">
        <v>55</v>
      </c>
    </row>
    <row r="4" ht="20.35" customHeight="1">
      <c r="A4" t="s" s="85">
        <v>56</v>
      </c>
      <c r="B4" t="s" s="85">
        <v>57</v>
      </c>
      <c r="C4" t="s" s="85">
        <v>58</v>
      </c>
      <c r="D4" s="78">
        <v>6817</v>
      </c>
      <c r="E4" s="78">
        <v>3397</v>
      </c>
      <c r="F4" s="78">
        <v>468</v>
      </c>
      <c r="G4" s="89">
        <f>F4/E4</f>
        <v>0.1377686193700324</v>
      </c>
    </row>
    <row r="5" ht="20.35" customHeight="1">
      <c r="A5" t="s" s="85">
        <v>59</v>
      </c>
      <c r="B5" t="s" s="85">
        <v>60</v>
      </c>
      <c r="C5" t="s" s="85">
        <v>61</v>
      </c>
      <c r="D5" s="78">
        <v>1112</v>
      </c>
      <c r="E5" s="78">
        <v>473</v>
      </c>
      <c r="F5" s="78">
        <v>81</v>
      </c>
      <c r="G5" s="89">
        <f>F5/E5</f>
        <v>0.1712473572938689</v>
      </c>
    </row>
    <row r="6" ht="20.35" customHeight="1">
      <c r="A6" t="s" s="85">
        <v>62</v>
      </c>
      <c r="B6" t="s" s="85">
        <v>63</v>
      </c>
      <c r="C6" t="s" s="85">
        <v>64</v>
      </c>
      <c r="D6" s="78">
        <v>352</v>
      </c>
      <c r="E6" s="78">
        <v>352</v>
      </c>
      <c r="F6" s="78">
        <v>77</v>
      </c>
      <c r="G6" s="89">
        <f>F6/E6</f>
        <v>0.21875</v>
      </c>
    </row>
    <row r="7" ht="20.35" customHeight="1">
      <c r="A7" t="s" s="85">
        <v>10</v>
      </c>
      <c r="B7" t="s" s="85">
        <v>65</v>
      </c>
      <c r="C7" t="s" s="85">
        <v>66</v>
      </c>
      <c r="D7" s="78">
        <v>85</v>
      </c>
      <c r="E7" s="78">
        <v>85</v>
      </c>
      <c r="F7" s="78">
        <v>2</v>
      </c>
      <c r="G7" s="89">
        <f>F7/E7</f>
        <v>0.02352941176470588</v>
      </c>
    </row>
    <row r="8" ht="20.35" customHeight="1">
      <c r="A8" s="84"/>
      <c r="B8" s="84"/>
      <c r="C8" s="84"/>
      <c r="D8" s="84"/>
      <c r="E8" s="84"/>
      <c r="F8" s="84"/>
      <c r="G8" s="84"/>
    </row>
    <row r="9" ht="20.35" customHeight="1">
      <c r="A9" t="s" s="85">
        <v>67</v>
      </c>
      <c r="B9" t="s" s="85">
        <v>12</v>
      </c>
      <c r="C9" s="85"/>
      <c r="D9" s="78">
        <f>SUM(D4:D7)</f>
        <v>8366</v>
      </c>
      <c r="E9" s="78">
        <f>SUM(E4:E7)</f>
        <v>4307</v>
      </c>
      <c r="F9" s="78">
        <f>SUM(F4:F7)</f>
        <v>628</v>
      </c>
      <c r="G9" s="89">
        <f>F9/E9</f>
        <v>0.1458091478987694</v>
      </c>
    </row>
    <row r="10" ht="15" customHeight="1">
      <c r="A10" s="97"/>
      <c r="B10" s="98"/>
      <c r="C10" s="98"/>
      <c r="D10" s="98"/>
      <c r="E10" s="98"/>
      <c r="F10" s="98"/>
      <c r="G10" s="99"/>
    </row>
  </sheetData>
  <mergeCells count="1">
    <mergeCell ref="A1:G1"/>
  </mergeCells>
  <pageMargins left="0.5" right="0.5" top="0.75" bottom="0.75" header="0.277778" footer="0.277778"/>
  <pageSetup firstPageNumber="1" fitToHeight="1" fitToWidth="1" scale="100" useFirstPageNumber="0" orientation="portrait" pageOrder="downThenOver"/>
  <headerFooter>
    <oddFooter>&amp;C&amp;"Helvetica,Regular"&amp;12&amp;K000000&amp;P</oddFooter>
  </headerFooter>
</worksheet>
</file>

<file path=xl/worksheets/sheet1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"/>
  <sheetViews>
    <sheetView workbookViewId="0" showGridLines="0" defaultGridColor="1"/>
  </sheetViews>
  <sheetFormatPr defaultColWidth="19.6" defaultRowHeight="18" customHeight="1" outlineLevelRow="0" outlineLevelCol="0"/>
  <cols>
    <col min="1" max="1" width="19.6016" style="100" customWidth="1"/>
    <col min="2" max="2" width="19.6016" style="100" customWidth="1"/>
    <col min="3" max="3" width="19.6016" style="100" customWidth="1"/>
    <col min="4" max="4" width="19.6016" style="100" customWidth="1"/>
    <col min="5" max="5" width="19.6016" style="100" customWidth="1"/>
    <col min="6" max="256" width="19.6016" style="100" customWidth="1"/>
  </cols>
  <sheetData>
    <row r="1" ht="23" customHeight="1">
      <c r="A1" t="s" s="101">
        <v>68</v>
      </c>
      <c r="B1" s="102"/>
      <c r="C1" s="102"/>
      <c r="D1" s="102"/>
      <c r="E1" s="103"/>
    </row>
    <row r="2" ht="23" customHeight="1">
      <c r="A2" s="24"/>
      <c r="B2" t="s" s="104">
        <v>17</v>
      </c>
      <c r="C2" t="s" s="104">
        <v>19</v>
      </c>
      <c r="D2" t="s" s="104">
        <v>20</v>
      </c>
      <c r="E2" s="105"/>
    </row>
    <row r="3" ht="21" customHeight="1">
      <c r="A3" s="106">
        <v>2012</v>
      </c>
      <c r="B3" s="28">
        <v>0.11</v>
      </c>
      <c r="C3" s="28"/>
      <c r="D3" s="28"/>
      <c r="E3" s="105"/>
    </row>
    <row r="4" ht="21" customHeight="1">
      <c r="A4" s="106">
        <v>2013</v>
      </c>
      <c r="B4" s="28">
        <v>0.114</v>
      </c>
      <c r="C4" s="28"/>
      <c r="D4" s="28"/>
      <c r="E4" s="105"/>
    </row>
    <row r="5" ht="21" customHeight="1">
      <c r="A5" s="106">
        <v>2014</v>
      </c>
      <c r="B5" s="28">
        <v>0.169</v>
      </c>
      <c r="C5" s="28"/>
      <c r="D5" s="28">
        <v>0</v>
      </c>
      <c r="E5" s="105"/>
    </row>
    <row r="6" ht="21" customHeight="1">
      <c r="A6" s="106">
        <v>2015</v>
      </c>
      <c r="B6" s="28">
        <v>0.178</v>
      </c>
      <c r="C6" s="28">
        <v>0.154</v>
      </c>
      <c r="D6" s="28">
        <v>0.065</v>
      </c>
      <c r="E6" s="105"/>
    </row>
    <row r="7" ht="21" customHeight="1">
      <c r="A7" s="106">
        <v>2016</v>
      </c>
      <c r="B7" s="28">
        <v>0.188</v>
      </c>
      <c r="C7" s="28">
        <v>0.233</v>
      </c>
      <c r="D7" s="28">
        <v>0</v>
      </c>
      <c r="E7" s="105"/>
    </row>
    <row r="8" ht="15" customHeight="1">
      <c r="A8" s="43"/>
      <c r="B8" s="44"/>
      <c r="C8" s="44"/>
      <c r="D8" s="44"/>
      <c r="E8" s="48"/>
    </row>
    <row r="9" ht="15" customHeight="1">
      <c r="A9" s="46"/>
      <c r="B9" s="47"/>
      <c r="C9" s="47"/>
      <c r="D9" s="47"/>
      <c r="E9" s="48"/>
    </row>
    <row r="10" ht="15" customHeight="1">
      <c r="A10" s="49"/>
      <c r="B10" s="50"/>
      <c r="C10" s="50"/>
      <c r="D10" s="50"/>
      <c r="E10" s="51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&amp;C&amp;"Helvetica,Regular"&amp;12&amp;K000000&amp;P</oddFooter>
  </headerFooter>
</worksheet>
</file>

<file path=xl/worksheets/sheet1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"/>
  <sheetViews>
    <sheetView workbookViewId="0" showGridLines="0" defaultGridColor="1"/>
  </sheetViews>
  <sheetFormatPr defaultColWidth="19.6" defaultRowHeight="18" customHeight="1" outlineLevelRow="0" outlineLevelCol="0"/>
  <cols>
    <col min="1" max="1" width="19.6016" style="107" customWidth="1"/>
    <col min="2" max="2" width="19.6016" style="107" customWidth="1"/>
    <col min="3" max="3" width="19.6016" style="107" customWidth="1"/>
    <col min="4" max="4" width="19.6016" style="107" customWidth="1"/>
    <col min="5" max="5" width="19.6016" style="107" customWidth="1"/>
    <col min="6" max="256" width="19.6016" style="107" customWidth="1"/>
  </cols>
  <sheetData>
    <row r="1" ht="20.55" customHeight="1">
      <c r="A1" s="74"/>
      <c r="B1" t="s" s="64">
        <v>69</v>
      </c>
      <c r="C1" t="s" s="64">
        <v>70</v>
      </c>
      <c r="D1" t="s" s="64">
        <v>71</v>
      </c>
      <c r="E1" s="74"/>
    </row>
    <row r="2" ht="20.55" customHeight="1">
      <c r="A2" s="66">
        <v>2009</v>
      </c>
      <c r="B2" s="108"/>
      <c r="C2" s="109">
        <v>0.02</v>
      </c>
      <c r="D2" s="109"/>
      <c r="E2" s="88"/>
    </row>
    <row r="3" ht="20.35" customHeight="1">
      <c r="A3" s="69">
        <v>2010</v>
      </c>
      <c r="B3" s="110"/>
      <c r="C3" s="111">
        <v>0.091</v>
      </c>
      <c r="D3" s="112"/>
      <c r="E3" s="84"/>
    </row>
    <row r="4" ht="20.35" customHeight="1">
      <c r="A4" s="69">
        <v>2011</v>
      </c>
      <c r="B4" s="110"/>
      <c r="C4" s="112">
        <v>0.11</v>
      </c>
      <c r="D4" s="112"/>
      <c r="E4" s="84"/>
    </row>
    <row r="5" ht="20.35" customHeight="1">
      <c r="A5" s="69">
        <v>2012</v>
      </c>
      <c r="B5" s="113">
        <v>0.146</v>
      </c>
      <c r="C5" s="111">
        <v>0.107</v>
      </c>
      <c r="D5" s="112"/>
      <c r="E5" s="84"/>
    </row>
    <row r="6" ht="20.35" customHeight="1">
      <c r="A6" s="69">
        <v>2013</v>
      </c>
      <c r="B6" s="113">
        <v>0.143</v>
      </c>
      <c r="C6" s="111">
        <v>0.108</v>
      </c>
      <c r="D6" s="112"/>
      <c r="E6" s="84"/>
    </row>
    <row r="7" ht="20.35" customHeight="1">
      <c r="A7" s="69">
        <v>2014</v>
      </c>
      <c r="B7" s="110">
        <v>0.19</v>
      </c>
      <c r="C7" s="111">
        <v>0.165</v>
      </c>
      <c r="D7" s="112"/>
      <c r="E7" s="84"/>
    </row>
    <row r="8" ht="20.35" customHeight="1">
      <c r="A8" s="69">
        <v>2015</v>
      </c>
      <c r="B8" s="113">
        <v>0.189</v>
      </c>
      <c r="C8" s="111">
        <v>0.176</v>
      </c>
      <c r="D8" s="111">
        <v>0.154</v>
      </c>
      <c r="E8" s="84"/>
    </row>
    <row r="9" ht="20.35" customHeight="1">
      <c r="A9" s="69">
        <v>2016</v>
      </c>
      <c r="B9" s="113">
        <v>0.174</v>
      </c>
      <c r="C9" s="111">
        <v>0.191</v>
      </c>
      <c r="D9" s="111">
        <v>0.233</v>
      </c>
      <c r="E9" s="84"/>
    </row>
    <row r="10" ht="20.35" customHeight="1">
      <c r="A10" t="s" s="71">
        <v>72</v>
      </c>
      <c r="B10" s="113">
        <v>0.171</v>
      </c>
      <c r="C10" s="111">
        <v>0.138</v>
      </c>
      <c r="D10" s="111">
        <v>0.219</v>
      </c>
      <c r="E10" s="8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